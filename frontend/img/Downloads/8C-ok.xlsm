
<file path=[Content_Types].xml><?xml version="1.0" encoding="utf-8"?>
<Types xmlns="http://schemas.openxmlformats.org/package/2006/content-types">
  <Default Extension="xml" ContentType="application/xml"/>
  <Default Extension="jpeg" ContentType="image/jpeg"/>
  <Default Extension="JPG" ContentType="image/.jpg"/>
  <Default Extension="wdp" ContentType="image/vnd.ms-photo"/>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updateLinks="never"/>
  <bookViews>
    <workbookView windowWidth="28800" windowHeight="12495" tabRatio="768"/>
  </bookViews>
  <sheets>
    <sheet name="Macros" sheetId="15" r:id="rId1"/>
    <sheet name="Petunjuk" sheetId="30" state="veryHidden" r:id="rId2"/>
    <sheet name="Presensi" sheetId="54" state="veryHidden" r:id="rId3"/>
    <sheet name="RefGuru" sheetId="52" state="veryHidden" r:id="rId4"/>
    <sheet name="siswa" sheetId="19" state="veryHidden" r:id="rId5"/>
    <sheet name="RefKI3KI4" sheetId="47" state="veryHidden" r:id="rId6"/>
    <sheet name="LOGIN" sheetId="17" state="veryHidden" r:id="rId7"/>
    <sheet name="KI3" sheetId="50" state="veryHidden" r:id="rId8"/>
    <sheet name="KI4" sheetId="36" state="veryHidden" r:id="rId9"/>
    <sheet name="RekapTengahSemester" sheetId="55" state="veryHidden" r:id="rId10"/>
    <sheet name="RekapAkhirSemester" sheetId="44" state="veryHidden" r:id="rId11"/>
    <sheet name="KONVERSI" sheetId="5" state="veryHidden" r:id="rId12"/>
  </sheets>
  <definedNames>
    <definedName name="DSISWA">siswa!$B$5:$F$51</definedName>
    <definedName name="KI1_LIST" localSheetId="5">RefKI3KI4!$B$5:$B$8</definedName>
    <definedName name="KI2_LIST" localSheetId="5">RefKI3KI4!$B$26:$B$34</definedName>
    <definedName name="list_PD">siswa!$B$5:$B$51</definedName>
    <definedName name="_xlnm.Print_Area" localSheetId="7">'KI3'!$B$1:$FN$66</definedName>
    <definedName name="_xlnm.Print_Area" localSheetId="8">'KI4'!$B$1:$M$66</definedName>
    <definedName name="_xlnm.Print_Area" localSheetId="10">RekapAkhirSemester!$A$1:$J$65</definedName>
    <definedName name="_xlnm.Print_Titles" localSheetId="7">'KI3'!$5:$8</definedName>
    <definedName name="_xlnm.Print_Titles" localSheetId="8">'KI4'!$5:$8</definedName>
    <definedName name="_xlnm.Print_Titles" localSheetId="10">RekapAkhirSemester!$5:$7</definedName>
  </definedNames>
  <calcPr calcId="144525"/>
</workbook>
</file>

<file path=xl/sharedStrings.xml><?xml version="1.0" encoding="utf-8"?>
<sst xmlns="http://schemas.openxmlformats.org/spreadsheetml/2006/main" count="794" uniqueCount="260">
  <si>
    <t>JANGAN MERUBAH NAMA SHEET (Macros)!!</t>
  </si>
  <si>
    <t xml:space="preserve">MOHON MAAF, UNTUK MENJAGA RUMUS DAN FORMAT </t>
  </si>
  <si>
    <t xml:space="preserve">AGAR TETAP BERFUNGSI DENGAN BAIK BAPAK/IBU HARUS MENGAKTIFKAN MACRO </t>
  </si>
  <si>
    <t>APLIKASI TIDAK AKAN BERJALAN APABILA ANDA BELUM MENGAKTIFKAN MACROS.</t>
  </si>
  <si>
    <t>Developer : Aliansyah Akbar - 2016 (c) All Right Reserved - ahdan.f@gmail.com- 085224680123 - schidnetwork.com</t>
  </si>
  <si>
    <t>Ket:</t>
  </si>
  <si>
    <t>1 = Hadir</t>
  </si>
  <si>
    <t>S = Sakit</t>
  </si>
  <si>
    <t>Hide Baris/Kolom yang Kosong</t>
  </si>
  <si>
    <t>Kelas</t>
  </si>
  <si>
    <t>i = Ijin</t>
  </si>
  <si>
    <t>A = Alpha/Absent</t>
  </si>
  <si>
    <t>untuk mempercantik tampilan!</t>
  </si>
  <si>
    <t>NO</t>
  </si>
  <si>
    <t>NAMA</t>
  </si>
  <si>
    <t>NIS</t>
  </si>
  <si>
    <t>NISN</t>
  </si>
  <si>
    <t>JK</t>
  </si>
  <si>
    <t>PERTEMUAN</t>
  </si>
  <si>
    <t>Hadir</t>
  </si>
  <si>
    <t>Absent</t>
  </si>
  <si>
    <t>Jml</t>
  </si>
  <si>
    <t>%</t>
  </si>
  <si>
    <t>S</t>
  </si>
  <si>
    <t>I</t>
  </si>
  <si>
    <t>A</t>
  </si>
  <si>
    <t>DATA INDUK</t>
  </si>
  <si>
    <t>APLIKASI PENILAIAN MATA PELAJARAN</t>
  </si>
  <si>
    <t>Nama Sekolah</t>
  </si>
  <si>
    <t>:</t>
  </si>
  <si>
    <t>SMP NEGERI 1 LANGGAM</t>
  </si>
  <si>
    <t>Alamat Sekolah</t>
  </si>
  <si>
    <t>JL. Hang Tuah , Makmur, Pangkalan Kerinci</t>
  </si>
  <si>
    <t>Tahun Pelajaran</t>
  </si>
  <si>
    <t>2021/2022</t>
  </si>
  <si>
    <t>Semester</t>
  </si>
  <si>
    <t>Ganjil</t>
  </si>
  <si>
    <t>Genap</t>
  </si>
  <si>
    <t>Nama Mata Pelajaran</t>
  </si>
  <si>
    <t>Prakarya</t>
  </si>
  <si>
    <t>Nama Kelas yang di Nilai</t>
  </si>
  <si>
    <t>8C</t>
  </si>
  <si>
    <t>Nama Guru</t>
  </si>
  <si>
    <t>VERI USDI, S.E</t>
  </si>
  <si>
    <t>NIP Guru</t>
  </si>
  <si>
    <t>-</t>
  </si>
  <si>
    <t>Contact Admin Sekolah :...................................</t>
  </si>
  <si>
    <t>DATA SISWA</t>
  </si>
  <si>
    <t>NO INDUK</t>
  </si>
  <si>
    <t>Gender (L/P)</t>
  </si>
  <si>
    <t>ADELIA SELVIA</t>
  </si>
  <si>
    <t>0076418581</t>
  </si>
  <si>
    <t>AMBRESIUS NERI ELYANTO LUBIS</t>
  </si>
  <si>
    <t>0078375102</t>
  </si>
  <si>
    <t>AQELA FIRDAUSI AHLA</t>
  </si>
  <si>
    <t>0085224303</t>
  </si>
  <si>
    <t>DAVINA MOZHA HARIYANTO</t>
  </si>
  <si>
    <t>0078185439</t>
  </si>
  <si>
    <t>DEWI PUSPITA</t>
  </si>
  <si>
    <t>0085929261</t>
  </si>
  <si>
    <t>ENGGAR WIDI CAHYONO</t>
  </si>
  <si>
    <t>0088952958</t>
  </si>
  <si>
    <t>ESTER IMELDA MANURUNG</t>
  </si>
  <si>
    <t>0079387483</t>
  </si>
  <si>
    <t>EUIS AGUSTINA W</t>
  </si>
  <si>
    <t>0077800322</t>
  </si>
  <si>
    <t>FACHRI ANDHIKA PUTRA</t>
  </si>
  <si>
    <t>0075445372</t>
  </si>
  <si>
    <t>FAIZ ADLY</t>
  </si>
  <si>
    <t>0089824121</t>
  </si>
  <si>
    <t>GEBRIEL ALFARO VIQINZO SIAHAAN</t>
  </si>
  <si>
    <t>0086359853</t>
  </si>
  <si>
    <t>IQBAL RAMADHAN</t>
  </si>
  <si>
    <t>0072560925</t>
  </si>
  <si>
    <t>JHONATAN MARCEL TAMPUBOLON</t>
  </si>
  <si>
    <t>0081472736</t>
  </si>
  <si>
    <t>JULFAN HANDIKA TELAUMBANUA</t>
  </si>
  <si>
    <t>0072125800</t>
  </si>
  <si>
    <t>JULI ROSISKA</t>
  </si>
  <si>
    <t>0078843844</t>
  </si>
  <si>
    <t>MAWARNI ZAI</t>
  </si>
  <si>
    <t>0078932423</t>
  </si>
  <si>
    <t>MUHAMMAD JUNAIDI SAPUTRA</t>
  </si>
  <si>
    <t>0083680463</t>
  </si>
  <si>
    <t>MUHAMMAD SAHIT</t>
  </si>
  <si>
    <t>0072107516</t>
  </si>
  <si>
    <t>OLIVIA OCTAVIA PARHUSIP</t>
  </si>
  <si>
    <t>0085664996</t>
  </si>
  <si>
    <t>RICKY VELY SITANGGANG</t>
  </si>
  <si>
    <t>0081662285</t>
  </si>
  <si>
    <t>RISKI HARUN ARITONANG</t>
  </si>
  <si>
    <t>0079010307</t>
  </si>
  <si>
    <t>RIZAL AFRIANDI HUTAGAOL</t>
  </si>
  <si>
    <t>0079205396</t>
  </si>
  <si>
    <t>T. SYARIFAH RAISYA KHAIRANI</t>
  </si>
  <si>
    <t>0089443712</t>
  </si>
  <si>
    <t>TAGON BOAS BARUARA</t>
  </si>
  <si>
    <t>0088075987</t>
  </si>
  <si>
    <t>TRIAS RAMADAN PASARIBU</t>
  </si>
  <si>
    <t>0073859790</t>
  </si>
  <si>
    <t>TUAHMAN</t>
  </si>
  <si>
    <t>0074996561</t>
  </si>
  <si>
    <t>VHARIL SUHAIB SIMBOLON</t>
  </si>
  <si>
    <t>0085321326</t>
  </si>
  <si>
    <t>SISKA DIANA PUTRI</t>
  </si>
  <si>
    <t>0087659070</t>
  </si>
  <si>
    <t>SUMBER PENILAIAN KI-3 DAN KI-4</t>
  </si>
  <si>
    <t>KD</t>
  </si>
  <si>
    <t>PENGETAHUAN (KI-3)</t>
  </si>
  <si>
    <t>jenis, sifat, karakter dan teknik pengolahan kerang, kaca, keramik dan botol plastik</t>
  </si>
  <si>
    <t>prinsip perancangan, pembuatan dan penyajian produk kerajinan kerang, kaca, keramik dan botol plastik yang kreatif dan inovatif</t>
  </si>
  <si>
    <t>KETERAMPILAN (KI-4)</t>
  </si>
  <si>
    <t>memilih jenis, bahan dan teknik pengolahan kerang, kaca, keramik dan botol plastik sesuai dengan potensi daerah setempat</t>
  </si>
  <si>
    <t>perancangan pembuatan dan penyajian kerajinan kerang, kaca, keramik dan botol plastik yang kreatif dan inovatif</t>
  </si>
  <si>
    <t>Rekap Nilai Pengetahuan (KI-3) --&gt; kolom 1-5 merupakan rekap nilai Harian pada KD tsb.</t>
  </si>
  <si>
    <t>Set "(50%:50%)" jika tidak ada pembobotan</t>
  </si>
  <si>
    <t>Bobot Nilai Akhir/Rapor</t>
  </si>
  <si>
    <t>K</t>
  </si>
  <si>
    <t>Mata Pelajaran:</t>
  </si>
  <si>
    <t>Kelas :</t>
  </si>
  <si>
    <t>Ket</t>
  </si>
  <si>
    <t>T</t>
  </si>
  <si>
    <t>UH</t>
  </si>
  <si>
    <t>N.KD</t>
  </si>
  <si>
    <t>TOT</t>
  </si>
  <si>
    <t>RR.KD</t>
  </si>
  <si>
    <t>P.TS</t>
  </si>
  <si>
    <t>P.AS</t>
  </si>
  <si>
    <t>C</t>
  </si>
  <si>
    <t>Nama Guru Mapel :</t>
  </si>
  <si>
    <t>Semester :</t>
  </si>
  <si>
    <t>RATIO</t>
  </si>
  <si>
    <t>Bobot</t>
  </si>
  <si>
    <t>B</t>
  </si>
  <si>
    <t>NIP :</t>
  </si>
  <si>
    <t>Tahun Pelajaran :</t>
  </si>
  <si>
    <t>T= Tugas ; UH = Ulangan Harian</t>
  </si>
  <si>
    <t>cat: * Nilai P.TS tidak harus ada jika tidak diujikan.</t>
  </si>
  <si>
    <t>KKM=</t>
  </si>
  <si>
    <t>SB</t>
  </si>
  <si>
    <t>NAMA SISWA</t>
  </si>
  <si>
    <t>NILAI RAPOR KI-3</t>
  </si>
  <si>
    <t>Rekap Nilai Pengetahuan</t>
  </si>
  <si>
    <t>N.A</t>
  </si>
  <si>
    <t>Pred NA</t>
  </si>
  <si>
    <t>Keterangan (Dr Nilai Akhir)</t>
  </si>
  <si>
    <t>Tengah semester</t>
  </si>
  <si>
    <t>(NH+TG)</t>
  </si>
  <si>
    <t>Pred/ Status</t>
  </si>
  <si>
    <t>cont nol</t>
  </si>
  <si>
    <t>MAX</t>
  </si>
  <si>
    <t>DES-MAX</t>
  </si>
  <si>
    <t>MIN</t>
  </si>
  <si>
    <t>DES-MIN</t>
  </si>
  <si>
    <t>Gabung</t>
  </si>
  <si>
    <t>Nilai Sama MAX</t>
  </si>
  <si>
    <t>Deskripsi harus muncul</t>
  </si>
  <si>
    <t>Nilai Sama Min</t>
  </si>
  <si>
    <t>Penilaian</t>
  </si>
  <si>
    <t>Gabung MAX</t>
  </si>
  <si>
    <t>count OK</t>
  </si>
  <si>
    <t>Gabung Min</t>
  </si>
  <si>
    <t>Gabung Max, Min</t>
  </si>
  <si>
    <t>T1</t>
  </si>
  <si>
    <t>T2</t>
  </si>
  <si>
    <t>T3</t>
  </si>
  <si>
    <t>T4</t>
  </si>
  <si>
    <t>T5</t>
  </si>
  <si>
    <t>UH1</t>
  </si>
  <si>
    <t>UH2</t>
  </si>
  <si>
    <t>ULANGAN</t>
  </si>
  <si>
    <t>TUGAS</t>
  </si>
  <si>
    <t>N.KD1</t>
  </si>
  <si>
    <t>N.KD2</t>
  </si>
  <si>
    <t>N.KD3</t>
  </si>
  <si>
    <t>N.KD4</t>
  </si>
  <si>
    <t>N.KD5</t>
  </si>
  <si>
    <t>N.KD6</t>
  </si>
  <si>
    <t>N.KD7</t>
  </si>
  <si>
    <t>N.KD8</t>
  </si>
  <si>
    <t>N.KD9</t>
  </si>
  <si>
    <t>N.KD10</t>
  </si>
  <si>
    <t>N.KD11</t>
  </si>
  <si>
    <t>N.KD12</t>
  </si>
  <si>
    <t>N.KD13</t>
  </si>
  <si>
    <t>N.KD14</t>
  </si>
  <si>
    <t>N.KD15</t>
  </si>
  <si>
    <t>ran</t>
  </si>
  <si>
    <t>fixed</t>
  </si>
  <si>
    <t/>
  </si>
  <si>
    <t>Rekap Nilai Keterampilan (KI-4) --&gt; GUNAKAN METODE PENILAIAN SKALA (0-100)</t>
  </si>
  <si>
    <t>KKM</t>
  </si>
  <si>
    <t>N. Rapor KI4</t>
  </si>
  <si>
    <t>Pred</t>
  </si>
  <si>
    <t>Praktik</t>
  </si>
  <si>
    <t>Produk/Tertulis</t>
  </si>
  <si>
    <t>Project</t>
  </si>
  <si>
    <t>Porto.f</t>
  </si>
  <si>
    <t>opt1</t>
  </si>
  <si>
    <t>opt2</t>
  </si>
  <si>
    <t>opt3</t>
  </si>
  <si>
    <t>opt4</t>
  </si>
  <si>
    <t>REKAPITULASI NILAI TENGAH SEMESTER</t>
  </si>
  <si>
    <t>SHEET INI TERISI OTOMATIS SESUAI NILAI YANG DIPEROLEH siswa SAMPAI DENGAN UJIAN TENGAH SEMESTER, GUNAKAN UNTUK MEMBUAT RAPOR TENGAH SEMESTER!</t>
  </si>
  <si>
    <t>Guru</t>
  </si>
  <si>
    <t>BOBOT NA.TS</t>
  </si>
  <si>
    <t>KET</t>
  </si>
  <si>
    <t>H.PH</t>
  </si>
  <si>
    <t>H.PTS</t>
  </si>
  <si>
    <t>Mapel</t>
  </si>
  <si>
    <t>BOBOT</t>
  </si>
  <si>
    <t>KI-3</t>
  </si>
  <si>
    <t>KI-4</t>
  </si>
  <si>
    <t>Sikap Spiritual dan Sosial dalam Mata Pelajaran (KI-1 &amp; KI-2)</t>
  </si>
  <si>
    <t>NA.TS</t>
  </si>
  <si>
    <t>Nilai*</t>
  </si>
  <si>
    <t>DEVELOPER : ALIANSYAH AKBAR,S.Si</t>
  </si>
  <si>
    <t>Licensed to :</t>
  </si>
  <si>
    <t>* H.PH = HASIL PENILAIAN HARIAN</t>
  </si>
  <si>
    <t>* H.PTS = HASIL PENILAIAN UTS</t>
  </si>
  <si>
    <t>(Isikan Tanggal)</t>
  </si>
  <si>
    <t>Mengetahui,</t>
  </si>
  <si>
    <t>(isikan tanggal)</t>
  </si>
  <si>
    <t>Guru Mata Pelajaran</t>
  </si>
  <si>
    <t>Kepala Sekolah</t>
  </si>
  <si>
    <t>...............</t>
  </si>
  <si>
    <t>NIP..............</t>
  </si>
  <si>
    <t>REKAPITULASI NILAI AKHIR SEMESTER</t>
  </si>
  <si>
    <t>SHEET INI TERISI OTOMATIS SESUAI NILAI YANG DIPEROLEH PESERTA DIDIK SAMPAI DENGAN UJIAN AKHIR SEMESTER, GUNAKAN UNTUK MEMBUAT RAPOR AKHIR SEMESTER!</t>
  </si>
  <si>
    <t>NILAI PENGETAHUAN (KI-3)</t>
  </si>
  <si>
    <t>NILAI KETERAMPILAN (KI-4)</t>
  </si>
  <si>
    <t>SKOR RERATA</t>
  </si>
  <si>
    <t>Desk</t>
  </si>
  <si>
    <t>SKOR OPTIMUM</t>
  </si>
  <si>
    <t>Observasi</t>
  </si>
  <si>
    <t>Diri Sendiri</t>
  </si>
  <si>
    <t>Penilaian Teman</t>
  </si>
  <si>
    <t>Jurnal</t>
  </si>
  <si>
    <t>RATA-RATA/ DAYA SERAP</t>
  </si>
  <si>
    <t>KETUNTASAN BELAJAR</t>
  </si>
  <si>
    <t>Pangkalan Kerinci, 17-12-2021</t>
  </si>
  <si>
    <t>SILAHKAN DI RUBAH JIKA PERLU</t>
  </si>
  <si>
    <t>INTERVAL NILAI DAN PREDIKAT PENGETAHUAN (KI3)</t>
  </si>
  <si>
    <t>Interval Nilai</t>
  </si>
  <si>
    <t>Predikat</t>
  </si>
  <si>
    <t>Sangat baik</t>
  </si>
  <si>
    <t>Baik</t>
  </si>
  <si>
    <t>Cukup Baik</t>
  </si>
  <si>
    <t>D</t>
  </si>
  <si>
    <t>Kurang</t>
  </si>
  <si>
    <t>INTERVAL NILAI DAN PREDIKAT KETERAMPILAN (KI4)</t>
  </si>
  <si>
    <t>Sangat terampil</t>
  </si>
  <si>
    <t>Terampil</t>
  </si>
  <si>
    <t>Cukup Terampil</t>
  </si>
  <si>
    <t>Kurang Terampil</t>
  </si>
  <si>
    <t>KATA - KATA POSITIF JIKA TERDAPAT KD YANG NILAINYA &lt;KKM</t>
  </si>
  <si>
    <t>PENGETAHUAN</t>
  </si>
  <si>
    <t>Belum optimal dalam pengetahuan</t>
  </si>
  <si>
    <t>KETERAMPILAN</t>
  </si>
  <si>
    <t>Belum optimal dalam keterampilan</t>
  </si>
</sst>
</file>

<file path=xl/styles.xml><?xml version="1.0" encoding="utf-8"?>
<styleSheet xmlns="http://schemas.openxmlformats.org/spreadsheetml/2006/main">
  <numFmts count="5">
    <numFmt numFmtId="176" formatCode="_-&quot;Rp&quot;* #,##0.00_-;\-&quot;Rp&quot;* #,##0.00_-;_-&quot;Rp&quot;* &quot;-&quot;??_-;_-@_-"/>
    <numFmt numFmtId="177" formatCode="_(* #,##0_);_(* \(#,##0\);_(* &quot;-&quot;_);_(@_)"/>
    <numFmt numFmtId="178" formatCode="_(* #,##0.00_);_(* \(#,##0.00\);_(* &quot;-&quot;??_);_(@_)"/>
    <numFmt numFmtId="179" formatCode="_-&quot;Rp&quot;* #,##0_-;\-&quot;Rp&quot;* #,##0_-;_-&quot;Rp&quot;* &quot;-&quot;??_-;_-@_-"/>
    <numFmt numFmtId="180" formatCode="dd\-mmm"/>
  </numFmts>
  <fonts count="83">
    <font>
      <sz val="12"/>
      <color theme="1"/>
      <name val="Calibri"/>
      <charset val="1"/>
      <scheme val="minor"/>
    </font>
    <font>
      <sz val="28"/>
      <color theme="1"/>
      <name val="Calibri"/>
      <charset val="1"/>
      <scheme val="minor"/>
    </font>
    <font>
      <sz val="28"/>
      <color theme="0"/>
      <name val="Calibri"/>
      <charset val="1"/>
      <scheme val="minor"/>
    </font>
    <font>
      <b/>
      <sz val="28"/>
      <color theme="1"/>
      <name val="Calibri"/>
      <charset val="134"/>
      <scheme val="minor"/>
    </font>
    <font>
      <b/>
      <sz val="28"/>
      <color theme="1"/>
      <name val="Times New Roman"/>
      <charset val="134"/>
    </font>
    <font>
      <sz val="28"/>
      <color theme="1"/>
      <name val="Times New Roman"/>
      <charset val="134"/>
    </font>
    <font>
      <sz val="28"/>
      <color rgb="FF000000"/>
      <name val="Times New Roman"/>
      <charset val="134"/>
    </font>
    <font>
      <sz val="12"/>
      <name val="Arial Narrow"/>
      <charset val="134"/>
    </font>
    <font>
      <sz val="12"/>
      <name val="Calibri"/>
      <charset val="1"/>
      <scheme val="minor"/>
    </font>
    <font>
      <b/>
      <sz val="16"/>
      <color theme="0"/>
      <name val="Arial Narrow"/>
      <charset val="134"/>
    </font>
    <font>
      <b/>
      <sz val="12"/>
      <name val="Arial Narrow"/>
      <charset val="134"/>
    </font>
    <font>
      <b/>
      <sz val="12"/>
      <color theme="0"/>
      <name val="Arial Narrow"/>
      <charset val="134"/>
    </font>
    <font>
      <b/>
      <sz val="10"/>
      <name val="Arial Narrow"/>
      <charset val="134"/>
    </font>
    <font>
      <sz val="10"/>
      <color theme="1"/>
      <name val="Calibri"/>
      <charset val="1"/>
      <scheme val="minor"/>
    </font>
    <font>
      <sz val="9"/>
      <name val="Arial Narrow"/>
      <charset val="134"/>
    </font>
    <font>
      <b/>
      <sz val="12"/>
      <color theme="1"/>
      <name val="Calibri"/>
      <charset val="134"/>
      <scheme val="minor"/>
    </font>
    <font>
      <sz val="10"/>
      <color theme="0"/>
      <name val="Calibri"/>
      <charset val="1"/>
      <scheme val="minor"/>
    </font>
    <font>
      <sz val="12"/>
      <color rgb="FFFFFF00"/>
      <name val="Calibri"/>
      <charset val="1"/>
      <scheme val="minor"/>
    </font>
    <font>
      <sz val="9"/>
      <color theme="1"/>
      <name val="Arial Narrow"/>
      <charset val="134"/>
    </font>
    <font>
      <sz val="12"/>
      <color theme="1" tint="0.249977111117893"/>
      <name val="Calibri"/>
      <charset val="1"/>
      <scheme val="minor"/>
    </font>
    <font>
      <sz val="12"/>
      <color theme="0"/>
      <name val="Calibri"/>
      <charset val="1"/>
      <scheme val="minor"/>
    </font>
    <font>
      <b/>
      <sz val="12"/>
      <color theme="0"/>
      <name val="Calibri"/>
      <charset val="134"/>
      <scheme val="minor"/>
    </font>
    <font>
      <b/>
      <sz val="16"/>
      <name val="Arial Narrow"/>
      <charset val="134"/>
    </font>
    <font>
      <b/>
      <sz val="10"/>
      <color theme="0"/>
      <name val="Calibri"/>
      <charset val="134"/>
      <scheme val="minor"/>
    </font>
    <font>
      <sz val="12"/>
      <color theme="1"/>
      <name val="Arial Narrow"/>
      <charset val="134"/>
    </font>
    <font>
      <b/>
      <sz val="14"/>
      <color theme="0"/>
      <name val="Arial Narrow"/>
      <charset val="134"/>
    </font>
    <font>
      <b/>
      <sz val="14"/>
      <color rgb="FFFFFF00"/>
      <name val="Arial Narrow"/>
      <charset val="134"/>
    </font>
    <font>
      <sz val="10"/>
      <name val="Arial Narrow"/>
      <charset val="134"/>
    </font>
    <font>
      <b/>
      <sz val="9"/>
      <name val="Arial Narrow"/>
      <charset val="134"/>
    </font>
    <font>
      <sz val="11"/>
      <color theme="1"/>
      <name val="Calibri"/>
      <charset val="1"/>
      <scheme val="minor"/>
    </font>
    <font>
      <sz val="18"/>
      <color theme="0"/>
      <name val="Arial Narrow"/>
      <charset val="134"/>
    </font>
    <font>
      <b/>
      <sz val="18"/>
      <name val="Arial Narrow"/>
      <charset val="134"/>
    </font>
    <font>
      <b/>
      <sz val="11"/>
      <color theme="0"/>
      <name val="Arial Narrow"/>
      <charset val="134"/>
    </font>
    <font>
      <sz val="10"/>
      <color theme="1"/>
      <name val="Arial Narrow"/>
      <charset val="134"/>
    </font>
    <font>
      <b/>
      <sz val="14"/>
      <color theme="0" tint="-0.0499893185216834"/>
      <name val="Arial Narrow"/>
      <charset val="134"/>
    </font>
    <font>
      <b/>
      <sz val="9"/>
      <color rgb="FFFF0000"/>
      <name val="Arial Narrow"/>
      <charset val="134"/>
    </font>
    <font>
      <b/>
      <sz val="11"/>
      <color theme="1"/>
      <name val="Calibri"/>
      <charset val="134"/>
      <scheme val="minor"/>
    </font>
    <font>
      <b/>
      <sz val="14"/>
      <name val="Arial Narrow"/>
      <charset val="134"/>
    </font>
    <font>
      <sz val="14"/>
      <color theme="0"/>
      <name val="Arial Narrow"/>
      <charset val="134"/>
    </font>
    <font>
      <sz val="12"/>
      <color rgb="FFFF0000"/>
      <name val="Calibri"/>
      <charset val="1"/>
      <scheme val="minor"/>
    </font>
    <font>
      <sz val="12"/>
      <color theme="0"/>
      <name val="Arial"/>
      <charset val="134"/>
    </font>
    <font>
      <sz val="12"/>
      <color theme="1"/>
      <name val="Arial"/>
      <charset val="134"/>
    </font>
    <font>
      <b/>
      <sz val="22"/>
      <color theme="0"/>
      <name val="Arial"/>
      <charset val="134"/>
    </font>
    <font>
      <b/>
      <sz val="20"/>
      <color theme="0"/>
      <name val="Arial"/>
      <charset val="134"/>
    </font>
    <font>
      <b/>
      <sz val="18"/>
      <color theme="0"/>
      <name val="Arial Narrow"/>
      <charset val="134"/>
    </font>
    <font>
      <sz val="12"/>
      <color theme="0"/>
      <name val="Arial Narrow"/>
      <charset val="134"/>
    </font>
    <font>
      <b/>
      <sz val="12"/>
      <color theme="1"/>
      <name val="Arial Narrow"/>
      <charset val="134"/>
    </font>
    <font>
      <b/>
      <sz val="12"/>
      <color theme="0"/>
      <name val="Arial"/>
      <charset val="134"/>
    </font>
    <font>
      <b/>
      <sz val="14"/>
      <color theme="1"/>
      <name val="Arial"/>
      <charset val="134"/>
    </font>
    <font>
      <b/>
      <sz val="16"/>
      <color rgb="FFFFFF00"/>
      <name val="Arial"/>
      <charset val="134"/>
    </font>
    <font>
      <b/>
      <sz val="12"/>
      <color rgb="FF00FF00"/>
      <name val="Arial"/>
      <charset val="134"/>
    </font>
    <font>
      <sz val="11"/>
      <color theme="1"/>
      <name val="Times New Roman"/>
      <charset val="134"/>
    </font>
    <font>
      <sz val="12"/>
      <color theme="1"/>
      <name val="Arial Rounded MT Bold"/>
      <charset val="134"/>
    </font>
    <font>
      <sz val="12"/>
      <color theme="0"/>
      <name val="Arial Rounded MT Bold"/>
      <charset val="134"/>
    </font>
    <font>
      <sz val="26"/>
      <color theme="0"/>
      <name val="Arial Rounded MT Bold"/>
      <charset val="134"/>
    </font>
    <font>
      <sz val="18"/>
      <color theme="0"/>
      <name val="Arial Rounded MT Bold"/>
      <charset val="134"/>
    </font>
    <font>
      <i/>
      <sz val="10"/>
      <color rgb="FFFF0000"/>
      <name val="Arial Rounded MT Bold"/>
      <charset val="134"/>
    </font>
    <font>
      <sz val="12"/>
      <color theme="1"/>
      <name val="Calibri"/>
      <charset val="134"/>
      <scheme val="minor"/>
    </font>
    <font>
      <b/>
      <sz val="14"/>
      <color theme="1"/>
      <name val="Calibri"/>
      <charset val="134"/>
      <scheme val="minor"/>
    </font>
    <font>
      <sz val="11"/>
      <name val="Calibri"/>
      <charset val="134"/>
      <scheme val="minor"/>
    </font>
    <font>
      <sz val="12"/>
      <color theme="1"/>
      <name val="Calibri"/>
      <charset val="134"/>
    </font>
    <font>
      <b/>
      <sz val="20"/>
      <color theme="1"/>
      <name val="Calibri"/>
      <charset val="134"/>
      <scheme val="minor"/>
    </font>
    <font>
      <b/>
      <sz val="10"/>
      <color theme="1"/>
      <name val="Calibri"/>
      <charset val="134"/>
      <scheme val="minor"/>
    </font>
    <font>
      <sz val="11"/>
      <color rgb="FF9C6500"/>
      <name val="Calibri"/>
      <charset val="0"/>
      <scheme val="minor"/>
    </font>
    <font>
      <sz val="11"/>
      <color theme="1"/>
      <name val="Calibri"/>
      <charset val="0"/>
      <scheme val="minor"/>
    </font>
    <font>
      <sz val="11"/>
      <color theme="0"/>
      <name val="Calibri"/>
      <charset val="0"/>
      <scheme val="minor"/>
    </font>
    <font>
      <sz val="11"/>
      <color rgb="FF006100"/>
      <name val="Calibri"/>
      <charset val="0"/>
      <scheme val="minor"/>
    </font>
    <font>
      <sz val="11"/>
      <color rgb="FF3F3F76"/>
      <name val="Calibri"/>
      <charset val="0"/>
      <scheme val="minor"/>
    </font>
    <font>
      <i/>
      <sz val="11"/>
      <color rgb="FF7F7F7F"/>
      <name val="Calibri"/>
      <charset val="0"/>
      <scheme val="minor"/>
    </font>
    <font>
      <sz val="11"/>
      <color theme="1"/>
      <name val="Calibri"/>
      <charset val="134"/>
      <scheme val="minor"/>
    </font>
    <font>
      <b/>
      <sz val="11"/>
      <color rgb="FF3F3F3F"/>
      <name val="Calibri"/>
      <charset val="0"/>
      <scheme val="minor"/>
    </font>
    <font>
      <b/>
      <sz val="11"/>
      <color theme="3"/>
      <name val="Calibri"/>
      <charset val="134"/>
      <scheme val="minor"/>
    </font>
    <font>
      <u/>
      <sz val="11"/>
      <color rgb="FF0000FF"/>
      <name val="Calibri"/>
      <charset val="0"/>
      <scheme val="minor"/>
    </font>
    <font>
      <u/>
      <sz val="11"/>
      <color rgb="FF800080"/>
      <name val="Calibri"/>
      <charset val="0"/>
      <scheme val="minor"/>
    </font>
    <font>
      <sz val="11"/>
      <color rgb="FFFA7D00"/>
      <name val="Calibri"/>
      <charset val="0"/>
      <scheme val="minor"/>
    </font>
    <font>
      <sz val="11"/>
      <color rgb="FFFF0000"/>
      <name val="Calibri"/>
      <charset val="0"/>
      <scheme val="minor"/>
    </font>
    <font>
      <b/>
      <sz val="11"/>
      <color rgb="FFFFFFFF"/>
      <name val="Calibri"/>
      <charset val="0"/>
      <scheme val="minor"/>
    </font>
    <font>
      <b/>
      <sz val="11"/>
      <color theme="1"/>
      <name val="Calibri"/>
      <charset val="0"/>
      <scheme val="minor"/>
    </font>
    <font>
      <b/>
      <sz val="15"/>
      <color theme="3"/>
      <name val="Calibri"/>
      <charset val="134"/>
      <scheme val="minor"/>
    </font>
    <font>
      <b/>
      <sz val="13"/>
      <color theme="3"/>
      <name val="Calibri"/>
      <charset val="134"/>
      <scheme val="minor"/>
    </font>
    <font>
      <sz val="11"/>
      <color rgb="FF9C0006"/>
      <name val="Calibri"/>
      <charset val="0"/>
      <scheme val="minor"/>
    </font>
    <font>
      <b/>
      <sz val="18"/>
      <color theme="3"/>
      <name val="Calibri"/>
      <charset val="134"/>
      <scheme val="minor"/>
    </font>
    <font>
      <b/>
      <sz val="11"/>
      <color rgb="FFFA7D00"/>
      <name val="Calibri"/>
      <charset val="0"/>
      <scheme val="minor"/>
    </font>
  </fonts>
  <fills count="61">
    <fill>
      <patternFill patternType="none"/>
    </fill>
    <fill>
      <patternFill patternType="gray125"/>
    </fill>
    <fill>
      <patternFill patternType="solid">
        <fgColor theme="1" tint="0.249977111117893"/>
        <bgColor indexed="64"/>
      </patternFill>
    </fill>
    <fill>
      <patternFill patternType="solid">
        <fgColor rgb="FFFDE9D9"/>
        <bgColor indexed="64"/>
      </patternFill>
    </fill>
    <fill>
      <patternFill patternType="solid">
        <fgColor theme="2" tint="-0.899990844447157"/>
        <bgColor indexed="64"/>
      </patternFill>
    </fill>
    <fill>
      <patternFill patternType="solid">
        <fgColor rgb="FFFFFF00"/>
        <bgColor indexed="64"/>
      </patternFill>
    </fill>
    <fill>
      <patternFill patternType="solid">
        <fgColor theme="2" tint="-0.499984740745262"/>
        <bgColor indexed="64"/>
      </patternFill>
    </fill>
    <fill>
      <patternFill patternType="solid">
        <fgColor theme="9" tint="-0.499984740745262"/>
        <bgColor indexed="64"/>
      </patternFill>
    </fill>
    <fill>
      <patternFill patternType="solid">
        <fgColor rgb="FF00B0F0"/>
        <bgColor indexed="64"/>
      </patternFill>
    </fill>
    <fill>
      <patternFill patternType="solid">
        <fgColor rgb="FFC00000"/>
        <bgColor indexed="64"/>
      </patternFill>
    </fill>
    <fill>
      <patternFill patternType="solid">
        <fgColor rgb="FF00FF00"/>
        <bgColor indexed="64"/>
      </patternFill>
    </fill>
    <fill>
      <patternFill patternType="solid">
        <fgColor rgb="FFFFFF99"/>
        <bgColor indexed="64"/>
      </patternFill>
    </fill>
    <fill>
      <patternFill patternType="solid">
        <fgColor theme="4"/>
        <bgColor indexed="64"/>
      </patternFill>
    </fill>
    <fill>
      <patternFill patternType="solid">
        <fgColor rgb="FF00FFFF"/>
        <bgColor indexed="64"/>
      </patternFill>
    </fill>
    <fill>
      <patternFill patternType="solid">
        <fgColor rgb="FF000066"/>
        <bgColor indexed="64"/>
      </patternFill>
    </fill>
    <fill>
      <patternFill patternType="solid">
        <fgColor theme="1"/>
        <bgColor indexed="64"/>
      </patternFill>
    </fill>
    <fill>
      <patternFill patternType="solid">
        <fgColor theme="0" tint="-0.249977111117893"/>
        <bgColor indexed="64"/>
      </patternFill>
    </fill>
    <fill>
      <patternFill patternType="solid">
        <fgColor rgb="FF92D050"/>
        <bgColor indexed="64"/>
      </patternFill>
    </fill>
    <fill>
      <patternFill patternType="solid">
        <fgColor theme="3" tint="0.599993896298105"/>
        <bgColor indexed="64"/>
      </patternFill>
    </fill>
    <fill>
      <patternFill patternType="solid">
        <fgColor rgb="FF002060"/>
        <bgColor indexed="64"/>
      </patternFill>
    </fill>
    <fill>
      <patternFill patternType="solid">
        <fgColor rgb="FF0070C0"/>
        <bgColor indexed="64"/>
      </patternFill>
    </fill>
    <fill>
      <patternFill patternType="solid">
        <fgColor rgb="FFFF0000"/>
        <bgColor indexed="64"/>
      </patternFill>
    </fill>
    <fill>
      <patternFill patternType="solid">
        <fgColor theme="0"/>
        <bgColor indexed="64"/>
      </patternFill>
    </fill>
    <fill>
      <patternFill patternType="solid">
        <fgColor rgb="FFFF3300"/>
        <bgColor indexed="64"/>
      </patternFill>
    </fill>
    <fill>
      <patternFill patternType="solid">
        <fgColor rgb="FF00B050"/>
        <bgColor indexed="64"/>
      </patternFill>
    </fill>
    <fill>
      <patternFill patternType="solid">
        <fgColor rgb="FFFFC000"/>
        <bgColor indexed="64"/>
      </patternFill>
    </fill>
    <fill>
      <patternFill patternType="solid">
        <fgColor theme="1" tint="0.149998474074526"/>
        <bgColor indexed="64"/>
      </patternFill>
    </fill>
    <fill>
      <patternFill patternType="solid">
        <fgColor rgb="FFFF00FF"/>
        <bgColor indexed="64"/>
      </patternFill>
    </fill>
    <fill>
      <patternFill patternType="solid">
        <fgColor theme="3" tint="-0.249977111117893"/>
        <bgColor indexed="64"/>
      </patternFill>
    </fill>
    <fill>
      <patternFill patternType="solid">
        <fgColor theme="0" tint="-0.149998474074526"/>
        <bgColor indexed="64"/>
      </patternFill>
    </fill>
    <fill>
      <patternFill patternType="solid">
        <fgColor theme="1" tint="0.499984740745262"/>
        <bgColor indexed="64"/>
      </patternFill>
    </fill>
    <fill>
      <patternFill patternType="solid">
        <fgColor rgb="FFFFEB9C"/>
        <bgColor indexed="64"/>
      </patternFill>
    </fill>
    <fill>
      <patternFill patternType="solid">
        <fgColor theme="4" tint="0.599993896298105"/>
        <bgColor indexed="64"/>
      </patternFill>
    </fill>
    <fill>
      <patternFill patternType="solid">
        <fgColor theme="6"/>
        <bgColor indexed="64"/>
      </patternFill>
    </fill>
    <fill>
      <patternFill patternType="solid">
        <fgColor theme="4" tint="0.399975585192419"/>
        <bgColor indexed="64"/>
      </patternFill>
    </fill>
    <fill>
      <patternFill patternType="solid">
        <fgColor theme="4" tint="0.799981688894314"/>
        <bgColor indexed="64"/>
      </patternFill>
    </fill>
    <fill>
      <patternFill patternType="solid">
        <fgColor rgb="FFC6EFCE"/>
        <bgColor indexed="64"/>
      </patternFill>
    </fill>
    <fill>
      <patternFill patternType="solid">
        <fgColor theme="5"/>
        <bgColor indexed="64"/>
      </patternFill>
    </fill>
    <fill>
      <patternFill patternType="solid">
        <fgColor rgb="FFFFCC99"/>
        <bgColor indexed="64"/>
      </patternFill>
    </fill>
    <fill>
      <patternFill patternType="solid">
        <fgColor rgb="FFF2F2F2"/>
        <bgColor indexed="64"/>
      </patternFill>
    </fill>
    <fill>
      <patternFill patternType="solid">
        <fgColor rgb="FFFFFFCC"/>
        <bgColor indexed="64"/>
      </patternFill>
    </fill>
    <fill>
      <patternFill patternType="solid">
        <fgColor theme="9"/>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rgb="FFA5A5A5"/>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rgb="FFFFC7CE"/>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8" tint="0.799981688894314"/>
        <bgColor indexed="64"/>
      </patternFill>
    </fill>
    <fill>
      <patternFill patternType="solid">
        <fgColor theme="9" tint="0.399975585192419"/>
        <bgColor indexed="64"/>
      </patternFill>
    </fill>
    <fill>
      <patternFill patternType="solid">
        <fgColor theme="8"/>
        <bgColor indexed="64"/>
      </patternFill>
    </fill>
    <fill>
      <patternFill patternType="solid">
        <fgColor theme="7"/>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7" tint="0.799981688894314"/>
        <bgColor indexed="64"/>
      </patternFill>
    </fill>
  </fills>
  <borders count="75">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style="medium">
        <color auto="1"/>
      </right>
      <top/>
      <bottom/>
      <diagonal/>
    </border>
    <border>
      <left style="thin">
        <color rgb="FFFF0000"/>
      </left>
      <right style="thin">
        <color rgb="FFFF0000"/>
      </right>
      <top style="medium">
        <color auto="1"/>
      </top>
      <bottom style="medium">
        <color auto="1"/>
      </bottom>
      <diagonal/>
    </border>
    <border>
      <left style="medium">
        <color auto="1"/>
      </left>
      <right style="medium">
        <color auto="1"/>
      </right>
      <top/>
      <bottom style="thin">
        <color auto="1"/>
      </bottom>
      <diagonal/>
    </border>
    <border>
      <left style="thin">
        <color auto="1"/>
      </left>
      <right style="thin">
        <color auto="1"/>
      </right>
      <top style="medium">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auto="1"/>
      </right>
      <top style="medium">
        <color auto="1"/>
      </top>
      <bottom style="medium">
        <color auto="1"/>
      </bottom>
      <diagonal/>
    </border>
    <border>
      <left style="medium">
        <color auto="1"/>
      </left>
      <right style="thin">
        <color rgb="FFFF0000"/>
      </right>
      <top style="medium">
        <color auto="1"/>
      </top>
      <bottom style="medium">
        <color auto="1"/>
      </bottom>
      <diagonal/>
    </border>
    <border>
      <left style="thin">
        <color rgb="FFFF0000"/>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bottom style="thin">
        <color auto="1"/>
      </bottom>
      <diagonal/>
    </border>
    <border>
      <left/>
      <right style="thin">
        <color rgb="FFFF0000"/>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style="thin">
        <color auto="1"/>
      </right>
      <top style="thin">
        <color auto="1"/>
      </top>
      <bottom style="thin">
        <color auto="1"/>
      </bottom>
      <diagonal/>
    </border>
    <border>
      <left/>
      <right/>
      <top style="medium">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style="thin">
        <color auto="1"/>
      </right>
      <top style="thin">
        <color auto="1"/>
      </top>
      <bottom/>
      <diagonal/>
    </border>
    <border>
      <left/>
      <right style="thin">
        <color auto="1"/>
      </right>
      <top style="thin">
        <color auto="1"/>
      </top>
      <bottom style="medium">
        <color auto="1"/>
      </bottom>
      <diagonal/>
    </border>
    <border>
      <left style="thin">
        <color auto="1"/>
      </left>
      <right/>
      <top/>
      <bottom style="thin">
        <color auto="1"/>
      </bottom>
      <diagonal/>
    </border>
    <border>
      <left style="thin">
        <color auto="1"/>
      </left>
      <right style="thin">
        <color auto="1"/>
      </right>
      <top/>
      <bottom style="medium">
        <color auto="1"/>
      </bottom>
      <diagonal/>
    </border>
    <border>
      <left style="thin">
        <color auto="1"/>
      </left>
      <right/>
      <top style="thin">
        <color auto="1"/>
      </top>
      <bottom/>
      <diagonal/>
    </border>
    <border>
      <left style="thin">
        <color auto="1"/>
      </left>
      <right/>
      <top/>
      <bottom style="medium">
        <color auto="1"/>
      </bottom>
      <diagonal/>
    </border>
    <border>
      <left/>
      <right style="thin">
        <color auto="1"/>
      </right>
      <top/>
      <bottom/>
      <diagonal/>
    </border>
    <border>
      <left style="thin">
        <color auto="1"/>
      </left>
      <right style="thin">
        <color auto="1"/>
      </right>
      <top/>
      <bottom/>
      <diagonal/>
    </border>
    <border>
      <left/>
      <right style="thin">
        <color auto="1"/>
      </right>
      <top/>
      <bottom style="medium">
        <color auto="1"/>
      </bottom>
      <diagonal/>
    </border>
    <border>
      <left/>
      <right/>
      <top/>
      <bottom style="thin">
        <color auto="1"/>
      </bottom>
      <diagonal/>
    </border>
    <border>
      <left/>
      <right style="thin">
        <color rgb="FFFF0000"/>
      </right>
      <top/>
      <bottom style="thin">
        <color auto="1"/>
      </bottom>
      <diagonal/>
    </border>
    <border>
      <left style="thin">
        <color auto="1"/>
      </left>
      <right/>
      <top/>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left style="thin">
        <color rgb="FF002060"/>
      </left>
      <right style="thin">
        <color rgb="FF002060"/>
      </right>
      <top/>
      <bottom style="thin">
        <color rgb="FF002060"/>
      </bottom>
      <diagonal/>
    </border>
    <border>
      <left style="thin">
        <color rgb="FF002060"/>
      </left>
      <right style="thin">
        <color rgb="FF002060"/>
      </right>
      <top style="thin">
        <color rgb="FF002060"/>
      </top>
      <bottom style="thin">
        <color rgb="FF002060"/>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rgb="FFFF00FF"/>
      </left>
      <right/>
      <top/>
      <bottom/>
      <diagonal/>
    </border>
    <border>
      <left/>
      <right style="thick">
        <color rgb="FFFF00FF"/>
      </right>
      <top/>
      <bottom/>
      <diagonal/>
    </border>
    <border>
      <left style="thin">
        <color auto="1"/>
      </left>
      <right style="thick">
        <color auto="1"/>
      </right>
      <top style="thin">
        <color auto="1"/>
      </top>
      <bottom style="thick">
        <color auto="1"/>
      </bottom>
      <diagonal/>
    </border>
    <border>
      <left/>
      <right/>
      <top style="thick">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theme="4"/>
      </bottom>
      <diagonal/>
    </border>
    <border>
      <left/>
      <right/>
      <top/>
      <bottom style="medium">
        <color theme="4" tint="0.499984740745262"/>
      </bottom>
      <diagonal/>
    </border>
  </borders>
  <cellStyleXfs count="51">
    <xf numFmtId="0" fontId="0" fillId="0" borderId="0"/>
    <xf numFmtId="0" fontId="64" fillId="32" borderId="0" applyNumberFormat="0" applyBorder="0" applyAlignment="0" applyProtection="0">
      <alignment vertical="center"/>
    </xf>
    <xf numFmtId="178" fontId="69" fillId="0" borderId="0" applyFont="0" applyFill="0" applyBorder="0" applyAlignment="0" applyProtection="0">
      <alignment vertical="center"/>
    </xf>
    <xf numFmtId="177" fontId="69" fillId="0" borderId="0" applyFont="0" applyFill="0" applyBorder="0" applyAlignment="0" applyProtection="0">
      <alignment vertical="center"/>
    </xf>
    <xf numFmtId="179" fontId="69" fillId="0" borderId="0" applyFont="0" applyFill="0" applyBorder="0" applyAlignment="0" applyProtection="0">
      <alignment vertical="center"/>
    </xf>
    <xf numFmtId="176" fontId="69" fillId="0" borderId="0" applyFont="0" applyFill="0" applyBorder="0" applyAlignment="0" applyProtection="0">
      <alignment vertical="center"/>
    </xf>
    <xf numFmtId="9" fontId="0" fillId="0" borderId="0" applyFont="0" applyFill="0" applyBorder="0" applyAlignment="0" applyProtection="0"/>
    <xf numFmtId="0" fontId="72" fillId="0" borderId="0" applyNumberFormat="0" applyFill="0" applyBorder="0" applyAlignment="0" applyProtection="0">
      <alignment vertical="center"/>
    </xf>
    <xf numFmtId="0" fontId="65" fillId="42" borderId="0" applyNumberFormat="0" applyBorder="0" applyAlignment="0" applyProtection="0">
      <alignment vertical="center"/>
    </xf>
    <xf numFmtId="0" fontId="73" fillId="0" borderId="0" applyNumberFormat="0" applyFill="0" applyBorder="0" applyAlignment="0" applyProtection="0">
      <alignment vertical="center"/>
    </xf>
    <xf numFmtId="0" fontId="76" fillId="45" borderId="71" applyNumberFormat="0" applyAlignment="0" applyProtection="0">
      <alignment vertical="center"/>
    </xf>
    <xf numFmtId="0" fontId="79" fillId="0" borderId="73" applyNumberFormat="0" applyFill="0" applyAlignment="0" applyProtection="0">
      <alignment vertical="center"/>
    </xf>
    <xf numFmtId="0" fontId="69" fillId="40" borderId="69" applyNumberFormat="0" applyFont="0" applyAlignment="0" applyProtection="0">
      <alignment vertical="center"/>
    </xf>
    <xf numFmtId="0" fontId="64" fillId="44" borderId="0" applyNumberFormat="0" applyBorder="0" applyAlignment="0" applyProtection="0">
      <alignment vertical="center"/>
    </xf>
    <xf numFmtId="0" fontId="75" fillId="0" borderId="0" applyNumberFormat="0" applyFill="0" applyBorder="0" applyAlignment="0" applyProtection="0">
      <alignment vertical="center"/>
    </xf>
    <xf numFmtId="0" fontId="64" fillId="49" borderId="0" applyNumberFormat="0" applyBorder="0" applyAlignment="0" applyProtection="0">
      <alignment vertical="center"/>
    </xf>
    <xf numFmtId="0" fontId="81"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8" fillId="0" borderId="73" applyNumberFormat="0" applyFill="0" applyAlignment="0" applyProtection="0">
      <alignment vertical="center"/>
    </xf>
    <xf numFmtId="0" fontId="71" fillId="0" borderId="74" applyNumberFormat="0" applyFill="0" applyAlignment="0" applyProtection="0">
      <alignment vertical="center"/>
    </xf>
    <xf numFmtId="0" fontId="71" fillId="0" borderId="0" applyNumberFormat="0" applyFill="0" applyBorder="0" applyAlignment="0" applyProtection="0">
      <alignment vertical="center"/>
    </xf>
    <xf numFmtId="0" fontId="67" fillId="38" borderId="67" applyNumberFormat="0" applyAlignment="0" applyProtection="0">
      <alignment vertical="center"/>
    </xf>
    <xf numFmtId="0" fontId="65" fillId="51" borderId="0" applyNumberFormat="0" applyBorder="0" applyAlignment="0" applyProtection="0">
      <alignment vertical="center"/>
    </xf>
    <xf numFmtId="0" fontId="66" fillId="36" borderId="0" applyNumberFormat="0" applyBorder="0" applyAlignment="0" applyProtection="0">
      <alignment vertical="center"/>
    </xf>
    <xf numFmtId="0" fontId="70" fillId="39" borderId="68" applyNumberFormat="0" applyAlignment="0" applyProtection="0">
      <alignment vertical="center"/>
    </xf>
    <xf numFmtId="0" fontId="64" fillId="35" borderId="0" applyNumberFormat="0" applyBorder="0" applyAlignment="0" applyProtection="0">
      <alignment vertical="center"/>
    </xf>
    <xf numFmtId="0" fontId="82" fillId="39" borderId="67" applyNumberFormat="0" applyAlignment="0" applyProtection="0">
      <alignment vertical="center"/>
    </xf>
    <xf numFmtId="0" fontId="74" fillId="0" borderId="70" applyNumberFormat="0" applyFill="0" applyAlignment="0" applyProtection="0">
      <alignment vertical="center"/>
    </xf>
    <xf numFmtId="0" fontId="77" fillId="0" borderId="72" applyNumberFormat="0" applyFill="0" applyAlignment="0" applyProtection="0">
      <alignment vertical="center"/>
    </xf>
    <xf numFmtId="0" fontId="80" fillId="48" borderId="0" applyNumberFormat="0" applyBorder="0" applyAlignment="0" applyProtection="0">
      <alignment vertical="center"/>
    </xf>
    <xf numFmtId="0" fontId="63" fillId="31" borderId="0" applyNumberFormat="0" applyBorder="0" applyAlignment="0" applyProtection="0">
      <alignment vertical="center"/>
    </xf>
    <xf numFmtId="0" fontId="65" fillId="12" borderId="0" applyNumberFormat="0" applyBorder="0" applyAlignment="0" applyProtection="0">
      <alignment vertical="center"/>
    </xf>
    <xf numFmtId="0" fontId="69" fillId="0" borderId="0"/>
    <xf numFmtId="0" fontId="64" fillId="54" borderId="0" applyNumberFormat="0" applyBorder="0" applyAlignment="0" applyProtection="0">
      <alignment vertical="center"/>
    </xf>
    <xf numFmtId="0" fontId="65" fillId="34" borderId="0" applyNumberFormat="0" applyBorder="0" applyAlignment="0" applyProtection="0">
      <alignment vertical="center"/>
    </xf>
    <xf numFmtId="0" fontId="65" fillId="37" borderId="0" applyNumberFormat="0" applyBorder="0" applyAlignment="0" applyProtection="0">
      <alignment vertical="center"/>
    </xf>
    <xf numFmtId="0" fontId="64" fillId="47" borderId="0" applyNumberFormat="0" applyBorder="0" applyAlignment="0" applyProtection="0">
      <alignment vertical="center"/>
    </xf>
    <xf numFmtId="0" fontId="29" fillId="0" borderId="0"/>
    <xf numFmtId="0" fontId="64" fillId="50" borderId="0" applyNumberFormat="0" applyBorder="0" applyAlignment="0" applyProtection="0">
      <alignment vertical="center"/>
    </xf>
    <xf numFmtId="0" fontId="65" fillId="46" borderId="0" applyNumberFormat="0" applyBorder="0" applyAlignment="0" applyProtection="0">
      <alignment vertical="center"/>
    </xf>
    <xf numFmtId="0" fontId="65" fillId="33" borderId="0" applyNumberFormat="0" applyBorder="0" applyAlignment="0" applyProtection="0">
      <alignment vertical="center"/>
    </xf>
    <xf numFmtId="0" fontId="64" fillId="43" borderId="0" applyNumberFormat="0" applyBorder="0" applyAlignment="0" applyProtection="0">
      <alignment vertical="center"/>
    </xf>
    <xf numFmtId="0" fontId="65" fillId="57" borderId="0" applyNumberFormat="0" applyBorder="0" applyAlignment="0" applyProtection="0">
      <alignment vertical="center"/>
    </xf>
    <xf numFmtId="0" fontId="64" fillId="60" borderId="0" applyNumberFormat="0" applyBorder="0" applyAlignment="0" applyProtection="0">
      <alignment vertical="center"/>
    </xf>
    <xf numFmtId="0" fontId="64" fillId="53" borderId="0" applyNumberFormat="0" applyBorder="0" applyAlignment="0" applyProtection="0">
      <alignment vertical="center"/>
    </xf>
    <xf numFmtId="0" fontId="65" fillId="56" borderId="0" applyNumberFormat="0" applyBorder="0" applyAlignment="0" applyProtection="0">
      <alignment vertical="center"/>
    </xf>
    <xf numFmtId="0" fontId="64" fillId="52" borderId="0" applyNumberFormat="0" applyBorder="0" applyAlignment="0" applyProtection="0">
      <alignment vertical="center"/>
    </xf>
    <xf numFmtId="0" fontId="65" fillId="59" borderId="0" applyNumberFormat="0" applyBorder="0" applyAlignment="0" applyProtection="0">
      <alignment vertical="center"/>
    </xf>
    <xf numFmtId="0" fontId="65" fillId="41" borderId="0" applyNumberFormat="0" applyBorder="0" applyAlignment="0" applyProtection="0">
      <alignment vertical="center"/>
    </xf>
    <xf numFmtId="0" fontId="64" fillId="58" borderId="0" applyNumberFormat="0" applyBorder="0" applyAlignment="0" applyProtection="0">
      <alignment vertical="center"/>
    </xf>
    <xf numFmtId="0" fontId="65" fillId="55" borderId="0" applyNumberFormat="0" applyBorder="0" applyAlignment="0" applyProtection="0">
      <alignment vertical="center"/>
    </xf>
  </cellStyleXfs>
  <cellXfs count="490">
    <xf numFmtId="0" fontId="0" fillId="0" borderId="0" xfId="0"/>
    <xf numFmtId="0" fontId="1" fillId="0" borderId="0" xfId="0" applyFont="1" applyAlignment="1">
      <alignment horizontal="center" vertical="center"/>
    </xf>
    <xf numFmtId="2" fontId="1" fillId="0" borderId="0" xfId="0" applyNumberFormat="1" applyFont="1" applyAlignment="1">
      <alignment horizontal="center" vertical="center"/>
    </xf>
    <xf numFmtId="0" fontId="2" fillId="2" borderId="0" xfId="0" applyFont="1" applyFill="1" applyAlignment="1">
      <alignment horizontal="center" vertical="center"/>
    </xf>
    <xf numFmtId="0" fontId="3" fillId="0" borderId="0" xfId="0" applyFont="1" applyBorder="1" applyAlignment="1">
      <alignment horizontal="center" vertical="center"/>
    </xf>
    <xf numFmtId="0" fontId="4" fillId="3" borderId="1" xfId="0" applyFont="1" applyFill="1" applyBorder="1" applyAlignment="1">
      <alignment horizontal="center" vertical="center" wrapText="1"/>
    </xf>
    <xf numFmtId="0" fontId="5" fillId="0" borderId="1" xfId="0" applyFont="1" applyBorder="1" applyAlignment="1">
      <alignment horizontal="center" vertical="center" wrapText="1"/>
    </xf>
    <xf numFmtId="2" fontId="1" fillId="0" borderId="1" xfId="0" applyNumberFormat="1" applyFont="1" applyBorder="1" applyAlignment="1">
      <alignment horizontal="center" vertical="center"/>
    </xf>
    <xf numFmtId="0" fontId="6" fillId="0" borderId="1" xfId="0" applyFont="1" applyBorder="1" applyAlignment="1">
      <alignment horizontal="center" vertical="center" wrapText="1"/>
    </xf>
    <xf numFmtId="0" fontId="6" fillId="0" borderId="0" xfId="0" applyFont="1" applyBorder="1" applyAlignment="1">
      <alignment horizontal="center" vertical="center" wrapText="1"/>
    </xf>
    <xf numFmtId="0" fontId="5" fillId="0" borderId="0" xfId="0" applyFont="1" applyBorder="1" applyAlignment="1">
      <alignment horizontal="center" vertical="center" wrapText="1"/>
    </xf>
    <xf numFmtId="2" fontId="1" fillId="0" borderId="0" xfId="0" applyNumberFormat="1" applyFont="1" applyBorder="1" applyAlignment="1">
      <alignment horizontal="center" vertical="center"/>
    </xf>
    <xf numFmtId="0" fontId="2" fillId="4" borderId="0" xfId="0" applyFont="1" applyFill="1" applyAlignment="1">
      <alignment horizontal="center" vertical="center"/>
    </xf>
    <xf numFmtId="0" fontId="1" fillId="5" borderId="1" xfId="0" applyFont="1" applyFill="1" applyBorder="1" applyAlignment="1">
      <alignment horizontal="center" vertical="center"/>
    </xf>
    <xf numFmtId="0" fontId="1" fillId="6" borderId="1" xfId="0" applyFont="1" applyFill="1" applyBorder="1" applyAlignment="1">
      <alignment horizontal="center" vertical="center"/>
    </xf>
    <xf numFmtId="0" fontId="7" fillId="0" borderId="0" xfId="0" applyFont="1" applyAlignment="1" applyProtection="1">
      <alignment horizontal="center" vertical="center"/>
      <protection locked="0"/>
    </xf>
    <xf numFmtId="1"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wrapText="1"/>
      <protection locked="0"/>
    </xf>
    <xf numFmtId="0" fontId="0" fillId="2" borderId="0" xfId="0" applyFill="1" applyProtection="1">
      <protection locked="0"/>
    </xf>
    <xf numFmtId="0" fontId="8" fillId="0" borderId="0" xfId="0" applyFont="1" applyProtection="1">
      <protection locked="0"/>
    </xf>
    <xf numFmtId="0" fontId="9" fillId="7" borderId="2" xfId="0" applyFont="1" applyFill="1" applyBorder="1" applyAlignment="1" applyProtection="1">
      <alignment horizontal="center" vertical="center"/>
      <protection hidden="1"/>
    </xf>
    <xf numFmtId="0" fontId="9" fillId="7" borderId="3" xfId="0" applyFont="1" applyFill="1" applyBorder="1" applyAlignment="1" applyProtection="1">
      <alignment horizontal="center" vertical="center"/>
      <protection hidden="1"/>
    </xf>
    <xf numFmtId="0" fontId="9" fillId="0" borderId="4" xfId="0" applyFont="1" applyFill="1" applyBorder="1" applyAlignment="1" applyProtection="1">
      <alignment horizontal="center" vertical="center" wrapText="1"/>
      <protection hidden="1"/>
    </xf>
    <xf numFmtId="0" fontId="9" fillId="0" borderId="5" xfId="0" applyFont="1" applyFill="1" applyBorder="1" applyAlignment="1" applyProtection="1">
      <alignment horizontal="center" vertical="center" wrapText="1"/>
      <protection hidden="1"/>
    </xf>
    <xf numFmtId="0" fontId="9" fillId="0" borderId="6" xfId="0" applyFont="1" applyFill="1" applyBorder="1" applyAlignment="1" applyProtection="1">
      <alignment horizontal="center" vertical="center" wrapText="1"/>
      <protection hidden="1"/>
    </xf>
    <xf numFmtId="0" fontId="10" fillId="0" borderId="0" xfId="0" applyFont="1" applyFill="1" applyAlignment="1" applyProtection="1">
      <alignment horizontal="right" vertical="center"/>
      <protection hidden="1"/>
    </xf>
    <xf numFmtId="1" fontId="7" fillId="0" borderId="0" xfId="0" applyNumberFormat="1" applyFont="1" applyFill="1" applyAlignment="1" applyProtection="1">
      <alignment horizontal="left" vertical="center"/>
      <protection hidden="1"/>
    </xf>
    <xf numFmtId="0" fontId="9" fillId="0" borderId="7" xfId="0" applyFont="1" applyFill="1" applyBorder="1" applyAlignment="1" applyProtection="1">
      <alignment horizontal="center" vertical="center" wrapText="1"/>
      <protection hidden="1"/>
    </xf>
    <xf numFmtId="0" fontId="9" fillId="0" borderId="0" xfId="0" applyFont="1" applyFill="1" applyBorder="1" applyAlignment="1" applyProtection="1">
      <alignment horizontal="center" vertical="center" wrapText="1"/>
      <protection hidden="1"/>
    </xf>
    <xf numFmtId="0" fontId="9" fillId="0" borderId="8" xfId="0" applyFont="1" applyFill="1" applyBorder="1" applyAlignment="1" applyProtection="1">
      <alignment horizontal="center" vertical="center" wrapText="1"/>
      <protection hidden="1"/>
    </xf>
    <xf numFmtId="0" fontId="9" fillId="0" borderId="9" xfId="0" applyFont="1" applyFill="1" applyBorder="1" applyAlignment="1" applyProtection="1">
      <alignment horizontal="center" vertical="center" wrapText="1"/>
      <protection hidden="1"/>
    </xf>
    <xf numFmtId="0" fontId="9" fillId="0" borderId="10" xfId="0" applyFont="1" applyFill="1" applyBorder="1" applyAlignment="1" applyProtection="1">
      <alignment horizontal="center" vertical="center" wrapText="1"/>
      <protection hidden="1"/>
    </xf>
    <xf numFmtId="0" fontId="9" fillId="0" borderId="11" xfId="0" applyFont="1" applyFill="1" applyBorder="1" applyAlignment="1" applyProtection="1">
      <alignment horizontal="center" vertical="center" wrapText="1"/>
      <protection hidden="1"/>
    </xf>
    <xf numFmtId="0" fontId="10" fillId="0" borderId="0" xfId="0" applyFont="1" applyFill="1" applyBorder="1" applyAlignment="1" applyProtection="1">
      <alignment horizontal="right" vertical="center"/>
      <protection hidden="1"/>
    </xf>
    <xf numFmtId="0" fontId="10" fillId="8" borderId="12" xfId="0" applyFont="1" applyFill="1" applyBorder="1" applyAlignment="1" applyProtection="1">
      <alignment horizontal="center" vertical="center"/>
      <protection hidden="1"/>
    </xf>
    <xf numFmtId="0" fontId="11" fillId="9" borderId="2" xfId="0" applyFont="1" applyFill="1" applyBorder="1" applyAlignment="1" applyProtection="1">
      <alignment horizontal="center" vertical="center"/>
      <protection hidden="1"/>
    </xf>
    <xf numFmtId="0" fontId="11" fillId="9" borderId="3" xfId="0" applyFont="1" applyFill="1" applyBorder="1" applyAlignment="1" applyProtection="1">
      <alignment horizontal="center" vertical="center"/>
      <protection hidden="1"/>
    </xf>
    <xf numFmtId="0" fontId="11" fillId="9" borderId="13" xfId="0" applyFont="1" applyFill="1" applyBorder="1" applyAlignment="1" applyProtection="1">
      <alignment horizontal="center" vertical="center"/>
      <protection hidden="1"/>
    </xf>
    <xf numFmtId="0" fontId="11" fillId="9" borderId="14" xfId="0" applyFont="1" applyFill="1" applyBorder="1" applyAlignment="1" applyProtection="1">
      <alignment horizontal="center" vertical="center"/>
      <protection hidden="1"/>
    </xf>
    <xf numFmtId="0" fontId="10" fillId="8" borderId="15" xfId="0" applyFont="1" applyFill="1" applyBorder="1" applyAlignment="1" applyProtection="1">
      <alignment horizontal="center" vertical="center"/>
      <protection hidden="1"/>
    </xf>
    <xf numFmtId="1" fontId="12" fillId="8" borderId="16" xfId="0" applyNumberFormat="1" applyFont="1" applyFill="1" applyBorder="1" applyAlignment="1" applyProtection="1">
      <alignment horizontal="center" vertical="center" wrapText="1"/>
      <protection hidden="1"/>
    </xf>
    <xf numFmtId="0" fontId="12" fillId="8" borderId="16" xfId="0" applyFont="1" applyFill="1" applyBorder="1" applyAlignment="1" applyProtection="1">
      <alignment horizontal="center" vertical="center" wrapText="1"/>
      <protection hidden="1"/>
    </xf>
    <xf numFmtId="1" fontId="12" fillId="10" borderId="16" xfId="0" applyNumberFormat="1" applyFont="1" applyFill="1" applyBorder="1" applyAlignment="1" applyProtection="1">
      <alignment horizontal="center" vertical="center" wrapText="1"/>
      <protection hidden="1"/>
    </xf>
    <xf numFmtId="0" fontId="10" fillId="8" borderId="17" xfId="0" applyFont="1" applyFill="1" applyBorder="1" applyAlignment="1" applyProtection="1">
      <alignment horizontal="center" vertical="center"/>
      <protection hidden="1"/>
    </xf>
    <xf numFmtId="1" fontId="10" fillId="11" borderId="18" xfId="0" applyNumberFormat="1" applyFont="1" applyFill="1" applyBorder="1" applyAlignment="1" applyProtection="1">
      <alignment horizontal="center" vertical="center"/>
      <protection hidden="1"/>
    </xf>
    <xf numFmtId="0" fontId="10" fillId="11" borderId="18" xfId="0" applyFont="1" applyFill="1" applyBorder="1" applyAlignment="1" applyProtection="1">
      <alignment horizontal="center" vertical="center"/>
      <protection hidden="1"/>
    </xf>
    <xf numFmtId="0" fontId="10" fillId="11" borderId="18" xfId="0" applyFont="1" applyFill="1" applyBorder="1" applyAlignment="1" applyProtection="1">
      <alignment horizontal="center" vertical="center" wrapText="1"/>
      <protection hidden="1"/>
    </xf>
    <xf numFmtId="1" fontId="10" fillId="11" borderId="18" xfId="0" applyNumberFormat="1" applyFont="1" applyFill="1" applyBorder="1" applyAlignment="1" applyProtection="1">
      <alignment horizontal="center" vertical="center" wrapText="1"/>
      <protection hidden="1"/>
    </xf>
    <xf numFmtId="0" fontId="7" fillId="0" borderId="1" xfId="0" applyFont="1" applyBorder="1" applyAlignment="1" applyProtection="1">
      <alignment horizontal="center" vertical="center" shrinkToFit="1"/>
      <protection hidden="1"/>
    </xf>
    <xf numFmtId="0" fontId="13" fillId="0" borderId="1" xfId="0" applyFont="1" applyBorder="1" applyAlignment="1" applyProtection="1">
      <alignment vertical="center" wrapText="1"/>
      <protection hidden="1"/>
    </xf>
    <xf numFmtId="0" fontId="13" fillId="0" borderId="1" xfId="0" applyFont="1" applyBorder="1" applyAlignment="1" applyProtection="1">
      <alignment horizontal="center" vertical="center"/>
      <protection hidden="1"/>
    </xf>
    <xf numFmtId="1" fontId="10" fillId="0" borderId="1" xfId="0" applyNumberFormat="1" applyFont="1" applyBorder="1" applyAlignment="1" applyProtection="1">
      <alignment horizontal="center" vertical="center" shrinkToFit="1"/>
      <protection hidden="1"/>
    </xf>
    <xf numFmtId="2" fontId="14" fillId="5" borderId="1" xfId="0" applyNumberFormat="1" applyFont="1" applyFill="1" applyBorder="1" applyAlignment="1" applyProtection="1">
      <alignment horizontal="left" vertical="top" wrapText="1" shrinkToFit="1"/>
      <protection hidden="1"/>
    </xf>
    <xf numFmtId="0" fontId="0" fillId="0" borderId="1" xfId="0" applyBorder="1" applyProtection="1">
      <protection locked="0"/>
    </xf>
    <xf numFmtId="0" fontId="15" fillId="8" borderId="19" xfId="0" applyFont="1" applyFill="1" applyBorder="1" applyAlignment="1" applyProtection="1">
      <alignment horizontal="left" vertical="center"/>
      <protection locked="0"/>
    </xf>
    <xf numFmtId="0" fontId="15" fillId="8" borderId="20" xfId="0" applyFont="1" applyFill="1" applyBorder="1" applyAlignment="1" applyProtection="1">
      <alignment horizontal="left" vertical="center"/>
      <protection locked="0"/>
    </xf>
    <xf numFmtId="0" fontId="15" fillId="8" borderId="21" xfId="0" applyFont="1" applyFill="1" applyBorder="1" applyAlignment="1" applyProtection="1">
      <alignment horizontal="left" vertical="center"/>
      <protection locked="0"/>
    </xf>
    <xf numFmtId="0" fontId="15" fillId="8" borderId="1" xfId="0" applyFont="1" applyFill="1" applyBorder="1" applyAlignment="1" applyProtection="1">
      <alignment horizontal="center" vertical="center"/>
      <protection hidden="1"/>
    </xf>
    <xf numFmtId="1" fontId="15" fillId="8" borderId="1" xfId="0" applyNumberFormat="1" applyFont="1" applyFill="1" applyBorder="1" applyAlignment="1" applyProtection="1">
      <alignment horizontal="center" vertical="center"/>
      <protection hidden="1"/>
    </xf>
    <xf numFmtId="9" fontId="15" fillId="8" borderId="1" xfId="6" applyFont="1" applyFill="1" applyBorder="1" applyAlignment="1" applyProtection="1">
      <alignment horizontal="center" vertical="center"/>
      <protection hidden="1"/>
    </xf>
    <xf numFmtId="0" fontId="7" fillId="0" borderId="0" xfId="0" applyFont="1" applyAlignment="1" applyProtection="1">
      <alignment horizontal="left" vertical="center"/>
      <protection locked="0"/>
    </xf>
    <xf numFmtId="1" fontId="10" fillId="0" borderId="0" xfId="0" applyNumberFormat="1" applyFont="1" applyAlignment="1" applyProtection="1">
      <alignment horizontal="center" vertical="center"/>
      <protection locked="0"/>
    </xf>
    <xf numFmtId="0" fontId="9" fillId="7" borderId="22" xfId="0" applyFont="1" applyFill="1" applyBorder="1" applyAlignment="1" applyProtection="1">
      <alignment horizontal="center" vertical="center"/>
      <protection hidden="1"/>
    </xf>
    <xf numFmtId="0" fontId="16" fillId="2" borderId="0" xfId="0" applyFont="1" applyFill="1" applyAlignment="1" applyProtection="1">
      <alignment horizontal="center" vertical="center" wrapText="1"/>
      <protection hidden="1"/>
    </xf>
    <xf numFmtId="0" fontId="8" fillId="0" borderId="0" xfId="0" applyFont="1" applyProtection="1">
      <protection hidden="1"/>
    </xf>
    <xf numFmtId="0" fontId="9" fillId="12" borderId="3" xfId="0" applyFont="1" applyFill="1" applyBorder="1" applyAlignment="1" applyProtection="1">
      <alignment horizontal="center" vertical="center"/>
      <protection hidden="1"/>
    </xf>
    <xf numFmtId="0" fontId="7" fillId="0" borderId="0" xfId="0" applyFont="1" applyFill="1" applyBorder="1" applyAlignment="1" applyProtection="1">
      <alignment horizontal="left" vertical="center"/>
      <protection hidden="1"/>
    </xf>
    <xf numFmtId="0" fontId="11" fillId="9" borderId="22" xfId="0" applyFont="1" applyFill="1" applyBorder="1" applyAlignment="1" applyProtection="1">
      <alignment horizontal="center" vertical="center"/>
      <protection hidden="1"/>
    </xf>
    <xf numFmtId="0" fontId="12" fillId="10" borderId="16" xfId="0" applyFont="1" applyFill="1" applyBorder="1" applyAlignment="1" applyProtection="1">
      <alignment horizontal="center" vertical="center" wrapText="1"/>
      <protection hidden="1"/>
    </xf>
    <xf numFmtId="0" fontId="0" fillId="2" borderId="0" xfId="0" applyFill="1" applyProtection="1">
      <protection hidden="1"/>
    </xf>
    <xf numFmtId="0" fontId="12" fillId="13" borderId="16" xfId="0" applyFont="1" applyFill="1" applyBorder="1" applyAlignment="1" applyProtection="1">
      <alignment horizontal="center" vertical="center" wrapText="1"/>
      <protection hidden="1"/>
    </xf>
    <xf numFmtId="0" fontId="17" fillId="5" borderId="0" xfId="0" applyFont="1" applyFill="1" applyAlignment="1" applyProtection="1">
      <alignment horizontal="center"/>
      <protection hidden="1"/>
    </xf>
    <xf numFmtId="2" fontId="10" fillId="0" borderId="1" xfId="0" applyNumberFormat="1" applyFont="1" applyBorder="1" applyAlignment="1" applyProtection="1">
      <alignment horizontal="center" vertical="center" shrinkToFit="1"/>
      <protection hidden="1"/>
    </xf>
    <xf numFmtId="2" fontId="18" fillId="5" borderId="1" xfId="0" applyNumberFormat="1" applyFont="1" applyFill="1" applyBorder="1" applyAlignment="1" applyProtection="1">
      <alignment horizontal="left" vertical="top" wrapText="1" shrinkToFit="1"/>
      <protection hidden="1"/>
    </xf>
    <xf numFmtId="0" fontId="19" fillId="2" borderId="0" xfId="0" applyFont="1" applyFill="1" applyAlignment="1" applyProtection="1">
      <alignment horizontal="center" vertical="top"/>
      <protection hidden="1"/>
    </xf>
    <xf numFmtId="1" fontId="7" fillId="0" borderId="1" xfId="0" applyNumberFormat="1" applyFont="1" applyBorder="1" applyAlignment="1" applyProtection="1">
      <alignment horizontal="center" vertical="center" shrinkToFit="1"/>
      <protection hidden="1"/>
    </xf>
    <xf numFmtId="0" fontId="20" fillId="2" borderId="0" xfId="0" applyFont="1" applyFill="1" applyAlignment="1" applyProtection="1">
      <alignment horizontal="center"/>
      <protection hidden="1"/>
    </xf>
    <xf numFmtId="0" fontId="21" fillId="14" borderId="0" xfId="0" applyFont="1" applyFill="1" applyAlignment="1" applyProtection="1">
      <alignment horizontal="center" vertical="center" wrapText="1"/>
      <protection hidden="1"/>
    </xf>
    <xf numFmtId="2" fontId="7" fillId="0" borderId="0" xfId="0" applyNumberFormat="1" applyFont="1" applyAlignment="1" applyProtection="1">
      <alignment horizontal="center" vertical="center" shrinkToFit="1"/>
      <protection hidden="1"/>
    </xf>
    <xf numFmtId="0" fontId="7" fillId="0" borderId="0" xfId="0" applyFont="1" applyAlignment="1" applyProtection="1">
      <alignment horizontal="left" vertical="center"/>
      <protection hidden="1"/>
    </xf>
    <xf numFmtId="0" fontId="7" fillId="0" borderId="0" xfId="0" applyFont="1" applyAlignment="1" applyProtection="1">
      <alignment horizontal="center" vertical="center"/>
      <protection hidden="1"/>
    </xf>
    <xf numFmtId="1" fontId="7" fillId="0" borderId="0" xfId="0" applyNumberFormat="1" applyFont="1" applyAlignment="1" applyProtection="1">
      <alignment horizontal="left" vertical="center"/>
      <protection hidden="1"/>
    </xf>
    <xf numFmtId="0" fontId="7" fillId="15" borderId="0" xfId="0" applyFont="1" applyFill="1" applyAlignment="1" applyProtection="1">
      <alignment horizontal="center" vertical="center"/>
      <protection hidden="1"/>
    </xf>
    <xf numFmtId="1" fontId="7" fillId="15" borderId="0" xfId="0" applyNumberFormat="1" applyFont="1" applyFill="1" applyAlignment="1" applyProtection="1">
      <alignment horizontal="center" vertical="center"/>
      <protection hidden="1"/>
    </xf>
    <xf numFmtId="0" fontId="7" fillId="15" borderId="0" xfId="0" applyFont="1" applyFill="1" applyAlignment="1" applyProtection="1">
      <alignment horizontal="center" vertical="center" wrapText="1"/>
      <protection hidden="1"/>
    </xf>
    <xf numFmtId="0" fontId="22" fillId="16" borderId="2" xfId="0" applyFont="1" applyFill="1" applyBorder="1" applyAlignment="1" applyProtection="1">
      <alignment horizontal="center" vertical="center"/>
      <protection locked="0"/>
    </xf>
    <xf numFmtId="0" fontId="22" fillId="16" borderId="3" xfId="0" applyFont="1" applyFill="1" applyBorder="1" applyAlignment="1" applyProtection="1">
      <alignment horizontal="center" vertical="center"/>
      <protection locked="0"/>
    </xf>
    <xf numFmtId="0" fontId="7" fillId="0" borderId="0" xfId="0" applyFont="1" applyFill="1" applyBorder="1" applyAlignment="1" applyProtection="1">
      <alignment vertical="center"/>
      <protection hidden="1"/>
    </xf>
    <xf numFmtId="1" fontId="7" fillId="0" borderId="0" xfId="0" applyNumberFormat="1" applyFont="1" applyFill="1" applyBorder="1" applyAlignment="1" applyProtection="1">
      <alignment horizontal="left" vertical="center" shrinkToFit="1"/>
      <protection hidden="1"/>
    </xf>
    <xf numFmtId="0" fontId="0" fillId="0" borderId="0" xfId="0" applyFont="1" applyBorder="1" applyAlignment="1">
      <alignment vertical="center" shrinkToFit="1"/>
    </xf>
    <xf numFmtId="1" fontId="10" fillId="17" borderId="5" xfId="0" applyNumberFormat="1" applyFont="1" applyFill="1" applyBorder="1" applyAlignment="1" applyProtection="1">
      <alignment horizontal="center" vertical="center" wrapText="1"/>
      <protection hidden="1"/>
    </xf>
    <xf numFmtId="0" fontId="7" fillId="0" borderId="0" xfId="0" applyFont="1" applyFill="1" applyBorder="1" applyAlignment="1" applyProtection="1">
      <alignment horizontal="right" vertical="center" wrapText="1"/>
      <protection hidden="1"/>
    </xf>
    <xf numFmtId="0" fontId="7" fillId="0" borderId="0" xfId="0" applyFont="1" applyFill="1" applyBorder="1" applyAlignment="1" applyProtection="1">
      <alignment horizontal="left" vertical="center" wrapText="1"/>
      <protection hidden="1"/>
    </xf>
    <xf numFmtId="1" fontId="7" fillId="0" borderId="0" xfId="0" applyNumberFormat="1" applyFont="1" applyBorder="1" applyAlignment="1" applyProtection="1">
      <alignment vertical="center" wrapText="1"/>
      <protection locked="0"/>
    </xf>
    <xf numFmtId="1" fontId="7" fillId="17" borderId="0" xfId="0" applyNumberFormat="1" applyFont="1" applyFill="1" applyBorder="1" applyAlignment="1" applyProtection="1">
      <alignment vertical="center" wrapText="1"/>
      <protection hidden="1"/>
    </xf>
    <xf numFmtId="1" fontId="7" fillId="17" borderId="0" xfId="0" applyNumberFormat="1" applyFont="1" applyFill="1" applyBorder="1" applyAlignment="1" applyProtection="1">
      <alignment horizontal="center" vertical="center"/>
      <protection hidden="1"/>
    </xf>
    <xf numFmtId="0" fontId="7" fillId="0" borderId="0" xfId="0" applyFont="1" applyBorder="1" applyAlignment="1" applyProtection="1">
      <alignment horizontal="right" vertical="center"/>
      <protection hidden="1"/>
    </xf>
    <xf numFmtId="0" fontId="7" fillId="0" borderId="0" xfId="0" applyFont="1" applyFill="1" applyBorder="1" applyAlignment="1" applyProtection="1">
      <alignment vertical="center" shrinkToFit="1"/>
      <protection hidden="1"/>
    </xf>
    <xf numFmtId="9" fontId="7" fillId="0" borderId="0" xfId="6" applyFont="1" applyBorder="1" applyAlignment="1" applyProtection="1">
      <alignment horizontal="center" vertical="center" wrapText="1"/>
      <protection locked="0"/>
    </xf>
    <xf numFmtId="0" fontId="11" fillId="9" borderId="2" xfId="0" applyFont="1" applyFill="1" applyBorder="1" applyAlignment="1" applyProtection="1">
      <alignment horizontal="center" vertical="center"/>
      <protection locked="0"/>
    </xf>
    <xf numFmtId="0" fontId="11" fillId="9" borderId="3" xfId="0" applyFont="1" applyFill="1" applyBorder="1" applyAlignment="1" applyProtection="1">
      <alignment horizontal="center" vertical="center"/>
      <protection locked="0"/>
    </xf>
    <xf numFmtId="1" fontId="12" fillId="18" borderId="23" xfId="0" applyNumberFormat="1" applyFont="1" applyFill="1" applyBorder="1" applyAlignment="1" applyProtection="1">
      <alignment horizontal="center" vertical="center" wrapText="1"/>
      <protection locked="0"/>
    </xf>
    <xf numFmtId="0" fontId="12" fillId="18" borderId="16" xfId="0" applyFont="1" applyFill="1" applyBorder="1" applyAlignment="1" applyProtection="1">
      <alignment horizontal="center" vertical="center" wrapText="1"/>
      <protection locked="0"/>
    </xf>
    <xf numFmtId="1" fontId="12" fillId="18" borderId="24" xfId="0" applyNumberFormat="1" applyFont="1" applyFill="1" applyBorder="1" applyAlignment="1" applyProtection="1">
      <alignment horizontal="center" vertical="center" wrapText="1"/>
      <protection locked="0"/>
    </xf>
    <xf numFmtId="0" fontId="10" fillId="8" borderId="25" xfId="0" applyFont="1" applyFill="1" applyBorder="1" applyAlignment="1" applyProtection="1">
      <alignment horizontal="center" vertical="center"/>
      <protection hidden="1"/>
    </xf>
    <xf numFmtId="1" fontId="10" fillId="11" borderId="26" xfId="0" applyNumberFormat="1" applyFont="1" applyFill="1" applyBorder="1" applyAlignment="1" applyProtection="1">
      <alignment horizontal="center" vertical="center"/>
      <protection hidden="1"/>
    </xf>
    <xf numFmtId="0" fontId="10" fillId="11" borderId="27" xfId="0" applyFont="1" applyFill="1" applyBorder="1" applyAlignment="1" applyProtection="1">
      <alignment horizontal="center" vertical="center"/>
      <protection hidden="1"/>
    </xf>
    <xf numFmtId="0" fontId="10" fillId="11" borderId="27" xfId="0" applyFont="1" applyFill="1" applyBorder="1" applyAlignment="1" applyProtection="1">
      <alignment horizontal="center" vertical="center" wrapText="1"/>
      <protection hidden="1"/>
    </xf>
    <xf numFmtId="1" fontId="10" fillId="11" borderId="27" xfId="0" applyNumberFormat="1" applyFont="1" applyFill="1" applyBorder="1" applyAlignment="1" applyProtection="1">
      <alignment horizontal="center" vertical="center" wrapText="1"/>
      <protection hidden="1"/>
    </xf>
    <xf numFmtId="0" fontId="7" fillId="0" borderId="28" xfId="0" applyFont="1" applyBorder="1" applyAlignment="1" applyProtection="1">
      <alignment horizontal="center" vertical="center" shrinkToFit="1"/>
      <protection hidden="1"/>
    </xf>
    <xf numFmtId="0" fontId="13" fillId="0" borderId="28" xfId="0" applyFont="1" applyBorder="1" applyAlignment="1" applyProtection="1">
      <alignment vertical="center" wrapText="1"/>
      <protection hidden="1"/>
    </xf>
    <xf numFmtId="0" fontId="13" fillId="0" borderId="28" xfId="0" applyFont="1" applyBorder="1" applyAlignment="1" applyProtection="1">
      <alignment horizontal="center" vertical="center" wrapText="1"/>
      <protection hidden="1"/>
    </xf>
    <xf numFmtId="1" fontId="10" fillId="0" borderId="28" xfId="0" applyNumberFormat="1" applyFont="1" applyBorder="1" applyAlignment="1" applyProtection="1">
      <alignment horizontal="center" vertical="center" shrinkToFit="1"/>
      <protection hidden="1"/>
    </xf>
    <xf numFmtId="2" fontId="10" fillId="0" borderId="28" xfId="0" applyNumberFormat="1" applyFont="1" applyBorder="1" applyAlignment="1" applyProtection="1">
      <alignment horizontal="center" vertical="center" shrinkToFit="1"/>
      <protection hidden="1"/>
    </xf>
    <xf numFmtId="1" fontId="7" fillId="0" borderId="0" xfId="0" applyNumberFormat="1" applyFont="1" applyAlignment="1" applyProtection="1">
      <alignment horizontal="center" vertical="center" shrinkToFit="1"/>
      <protection hidden="1"/>
    </xf>
    <xf numFmtId="2" fontId="7" fillId="0" borderId="0" xfId="0" applyNumberFormat="1" applyFont="1" applyAlignment="1" applyProtection="1">
      <alignment horizontal="center" vertical="center" wrapText="1" shrinkToFit="1"/>
      <protection hidden="1"/>
    </xf>
    <xf numFmtId="2" fontId="7" fillId="0" borderId="0" xfId="0" applyNumberFormat="1" applyFont="1" applyAlignment="1" applyProtection="1">
      <alignment horizontal="left" vertical="center"/>
      <protection locked="0"/>
    </xf>
    <xf numFmtId="0" fontId="7" fillId="0" borderId="0" xfId="0" applyFont="1" applyAlignment="1" applyProtection="1">
      <alignment horizontal="left" vertical="center"/>
      <protection locked="0" hidden="1"/>
    </xf>
    <xf numFmtId="0" fontId="10" fillId="0" borderId="0" xfId="0" applyFont="1" applyAlignment="1" applyProtection="1">
      <alignment horizontal="left" vertical="center"/>
      <protection locked="0" hidden="1"/>
    </xf>
    <xf numFmtId="0" fontId="22" fillId="16" borderId="22" xfId="0" applyFont="1" applyFill="1" applyBorder="1" applyAlignment="1" applyProtection="1">
      <alignment horizontal="center" vertical="center"/>
      <protection locked="0"/>
    </xf>
    <xf numFmtId="0" fontId="16" fillId="2" borderId="0" xfId="0" applyFont="1" applyFill="1" applyAlignment="1" applyProtection="1">
      <alignment horizontal="center" vertical="center" wrapText="1"/>
      <protection locked="0"/>
    </xf>
    <xf numFmtId="1" fontId="7" fillId="17" borderId="0" xfId="0" applyNumberFormat="1" applyFont="1" applyFill="1" applyBorder="1" applyAlignment="1" applyProtection="1">
      <alignment horizontal="center" vertical="center" wrapText="1"/>
      <protection hidden="1"/>
    </xf>
    <xf numFmtId="9" fontId="7" fillId="0" borderId="0" xfId="6" applyFont="1" applyBorder="1" applyAlignment="1" applyProtection="1">
      <alignment horizontal="center" vertical="center" wrapText="1"/>
    </xf>
    <xf numFmtId="0" fontId="11" fillId="9" borderId="22" xfId="0" applyFont="1" applyFill="1" applyBorder="1" applyAlignment="1" applyProtection="1">
      <alignment horizontal="center" vertical="center"/>
      <protection locked="0"/>
    </xf>
    <xf numFmtId="0" fontId="12" fillId="10" borderId="29" xfId="0" applyFont="1" applyFill="1" applyBorder="1" applyAlignment="1" applyProtection="1">
      <alignment horizontal="center" vertical="center" wrapText="1"/>
      <protection locked="0"/>
    </xf>
    <xf numFmtId="0" fontId="12" fillId="10" borderId="24" xfId="0" applyFont="1" applyFill="1" applyBorder="1" applyAlignment="1" applyProtection="1">
      <alignment horizontal="center" vertical="center" wrapText="1"/>
      <protection locked="0"/>
    </xf>
    <xf numFmtId="0" fontId="19" fillId="2" borderId="0" xfId="0" applyFont="1" applyFill="1" applyAlignment="1" applyProtection="1">
      <alignment horizontal="center"/>
      <protection hidden="1"/>
    </xf>
    <xf numFmtId="0" fontId="10" fillId="11" borderId="30" xfId="0" applyFont="1" applyFill="1" applyBorder="1" applyAlignment="1" applyProtection="1">
      <alignment horizontal="center" vertical="center" wrapText="1"/>
      <protection hidden="1"/>
    </xf>
    <xf numFmtId="0" fontId="23" fillId="14" borderId="0" xfId="0" applyFont="1" applyFill="1" applyAlignment="1" applyProtection="1">
      <alignment horizontal="center" vertical="center" wrapText="1"/>
      <protection hidden="1"/>
    </xf>
    <xf numFmtId="0" fontId="0" fillId="0" borderId="0" xfId="0" applyProtection="1">
      <protection locked="0" hidden="1"/>
    </xf>
    <xf numFmtId="0" fontId="7" fillId="0" borderId="0" xfId="0" applyFont="1" applyAlignment="1" applyProtection="1">
      <alignment horizontal="center" vertical="center"/>
    </xf>
    <xf numFmtId="1" fontId="7" fillId="0" borderId="0" xfId="0" applyNumberFormat="1" applyFont="1" applyAlignment="1" applyProtection="1">
      <alignment horizontal="center" vertical="center"/>
    </xf>
    <xf numFmtId="0" fontId="7" fillId="0" borderId="0" xfId="0" applyFont="1" applyFill="1" applyBorder="1" applyAlignment="1" applyProtection="1">
      <alignment horizontal="center" vertical="center"/>
    </xf>
    <xf numFmtId="0" fontId="8" fillId="0" borderId="0" xfId="0" applyFont="1" applyAlignment="1" applyProtection="1">
      <alignment vertical="center"/>
      <protection locked="0"/>
    </xf>
    <xf numFmtId="0" fontId="8" fillId="0" borderId="0" xfId="0" applyFont="1" applyAlignment="1" applyProtection="1">
      <protection locked="0"/>
    </xf>
    <xf numFmtId="0" fontId="8" fillId="5" borderId="0" xfId="0" applyFont="1" applyFill="1" applyAlignment="1" applyProtection="1">
      <protection locked="0"/>
    </xf>
    <xf numFmtId="0" fontId="24" fillId="15" borderId="0" xfId="0" applyFont="1" applyFill="1" applyAlignment="1" applyProtection="1">
      <alignment horizontal="center" vertical="center"/>
    </xf>
    <xf numFmtId="0" fontId="25" fillId="19" borderId="2" xfId="0" applyFont="1" applyFill="1" applyBorder="1" applyAlignment="1" applyProtection="1">
      <alignment vertical="center"/>
    </xf>
    <xf numFmtId="0" fontId="9" fillId="19" borderId="3" xfId="0" applyFont="1" applyFill="1" applyBorder="1" applyAlignment="1" applyProtection="1">
      <alignment vertical="center"/>
    </xf>
    <xf numFmtId="0" fontId="26" fillId="5" borderId="4" xfId="0" applyFont="1" applyFill="1" applyBorder="1" applyAlignment="1" applyProtection="1">
      <alignment horizontal="center" vertical="center" wrapText="1"/>
    </xf>
    <xf numFmtId="0" fontId="26" fillId="5" borderId="5" xfId="0" applyFont="1" applyFill="1" applyBorder="1" applyAlignment="1" applyProtection="1">
      <alignment horizontal="center" vertical="center" wrapText="1"/>
    </xf>
    <xf numFmtId="0" fontId="26" fillId="5" borderId="6" xfId="0" applyFont="1" applyFill="1" applyBorder="1" applyAlignment="1" applyProtection="1">
      <alignment horizontal="center" vertical="center" wrapText="1"/>
    </xf>
    <xf numFmtId="0" fontId="27" fillId="0" borderId="0" xfId="0" applyFont="1" applyAlignment="1" applyProtection="1">
      <alignment horizontal="center" vertical="center"/>
    </xf>
    <xf numFmtId="0" fontId="12" fillId="0" borderId="0" xfId="0" applyFont="1" applyFill="1" applyAlignment="1" applyProtection="1">
      <alignment horizontal="right" vertical="center"/>
      <protection locked="0"/>
    </xf>
    <xf numFmtId="1" fontId="12" fillId="0" borderId="0" xfId="0" applyNumberFormat="1" applyFont="1" applyFill="1" applyAlignment="1" applyProtection="1">
      <alignment horizontal="left" vertical="center"/>
      <protection hidden="1"/>
    </xf>
    <xf numFmtId="0" fontId="26" fillId="5" borderId="7" xfId="0" applyFont="1" applyFill="1" applyBorder="1" applyAlignment="1" applyProtection="1">
      <alignment horizontal="center" vertical="center" wrapText="1"/>
    </xf>
    <xf numFmtId="0" fontId="26" fillId="5" borderId="0" xfId="0" applyFont="1" applyFill="1" applyBorder="1" applyAlignment="1" applyProtection="1">
      <alignment horizontal="center" vertical="center" wrapText="1"/>
    </xf>
    <xf numFmtId="0" fontId="26" fillId="5" borderId="8" xfId="0" applyFont="1" applyFill="1" applyBorder="1" applyAlignment="1" applyProtection="1">
      <alignment horizontal="center" vertical="center" wrapText="1"/>
    </xf>
    <xf numFmtId="0" fontId="24" fillId="15" borderId="0" xfId="0" applyFont="1" applyFill="1" applyAlignment="1" applyProtection="1">
      <alignment horizontal="center" vertical="center"/>
      <protection hidden="1"/>
    </xf>
    <xf numFmtId="0" fontId="26" fillId="5" borderId="9" xfId="0" applyFont="1" applyFill="1" applyBorder="1" applyAlignment="1" applyProtection="1">
      <alignment horizontal="center" vertical="center" wrapText="1"/>
    </xf>
    <xf numFmtId="0" fontId="26" fillId="5" borderId="10" xfId="0" applyFont="1" applyFill="1" applyBorder="1" applyAlignment="1" applyProtection="1">
      <alignment horizontal="center" vertical="center" wrapText="1"/>
    </xf>
    <xf numFmtId="0" fontId="26" fillId="5" borderId="11" xfId="0" applyFont="1" applyFill="1" applyBorder="1" applyAlignment="1" applyProtection="1">
      <alignment horizontal="center" vertical="center" wrapText="1"/>
    </xf>
    <xf numFmtId="0" fontId="12" fillId="0" borderId="0" xfId="0" applyFont="1" applyFill="1" applyBorder="1" applyAlignment="1" applyProtection="1">
      <alignment horizontal="right" vertical="center"/>
      <protection locked="0"/>
    </xf>
    <xf numFmtId="0" fontId="10" fillId="20" borderId="31" xfId="0" applyFont="1" applyFill="1" applyBorder="1" applyAlignment="1" applyProtection="1">
      <alignment horizontal="center" vertical="center"/>
    </xf>
    <xf numFmtId="0" fontId="10" fillId="20" borderId="32" xfId="0" applyFont="1" applyFill="1" applyBorder="1" applyAlignment="1" applyProtection="1">
      <alignment horizontal="center" vertical="center"/>
    </xf>
    <xf numFmtId="0" fontId="10" fillId="20" borderId="33" xfId="0" applyFont="1" applyFill="1" applyBorder="1" applyAlignment="1" applyProtection="1">
      <alignment horizontal="center" vertical="center"/>
    </xf>
    <xf numFmtId="0" fontId="11" fillId="20" borderId="2" xfId="0" applyFont="1" applyFill="1" applyBorder="1" applyAlignment="1" applyProtection="1">
      <alignment horizontal="center" vertical="center"/>
    </xf>
    <xf numFmtId="0" fontId="11" fillId="20" borderId="3" xfId="0" applyFont="1" applyFill="1" applyBorder="1" applyAlignment="1" applyProtection="1">
      <alignment horizontal="center" vertical="center"/>
    </xf>
    <xf numFmtId="0" fontId="10" fillId="20" borderId="34" xfId="0" applyFont="1" applyFill="1" applyBorder="1" applyAlignment="1" applyProtection="1">
      <alignment horizontal="center" vertical="center"/>
    </xf>
    <xf numFmtId="0" fontId="10" fillId="20" borderId="1" xfId="0" applyFont="1" applyFill="1" applyBorder="1" applyAlignment="1" applyProtection="1">
      <alignment horizontal="center" vertical="center"/>
    </xf>
    <xf numFmtId="0" fontId="28" fillId="8" borderId="33" xfId="0" applyFont="1" applyFill="1" applyBorder="1" applyAlignment="1" applyProtection="1">
      <alignment horizontal="center" vertical="center" wrapText="1"/>
      <protection hidden="1"/>
    </xf>
    <xf numFmtId="0" fontId="28" fillId="8" borderId="35" xfId="0" applyFont="1" applyFill="1" applyBorder="1" applyAlignment="1" applyProtection="1">
      <alignment horizontal="center" vertical="center" wrapText="1"/>
      <protection hidden="1"/>
    </xf>
    <xf numFmtId="0" fontId="10" fillId="20" borderId="36" xfId="0" applyFont="1" applyFill="1" applyBorder="1" applyAlignment="1" applyProtection="1">
      <alignment horizontal="center" vertical="center"/>
    </xf>
    <xf numFmtId="0" fontId="10" fillId="20" borderId="37" xfId="0" applyFont="1" applyFill="1" applyBorder="1" applyAlignment="1" applyProtection="1">
      <alignment horizontal="center" vertical="center"/>
    </xf>
    <xf numFmtId="0" fontId="28" fillId="8" borderId="19" xfId="0" applyFont="1" applyFill="1" applyBorder="1" applyAlignment="1" applyProtection="1">
      <alignment horizontal="center" vertical="center" wrapText="1"/>
      <protection locked="0"/>
    </xf>
    <xf numFmtId="0" fontId="28" fillId="8" borderId="21" xfId="0" applyFont="1" applyFill="1" applyBorder="1" applyAlignment="1" applyProtection="1">
      <alignment horizontal="center" vertical="center" wrapText="1"/>
      <protection locked="0"/>
    </xf>
    <xf numFmtId="0" fontId="28" fillId="8" borderId="19" xfId="0" applyFont="1" applyFill="1" applyBorder="1" applyAlignment="1" applyProtection="1">
      <alignment horizontal="center" vertical="center" shrinkToFit="1"/>
      <protection locked="0"/>
    </xf>
    <xf numFmtId="0" fontId="28" fillId="8" borderId="21" xfId="0" applyFont="1" applyFill="1" applyBorder="1" applyAlignment="1" applyProtection="1">
      <alignment horizontal="center" vertical="center" shrinkToFit="1"/>
      <protection locked="0"/>
    </xf>
    <xf numFmtId="0" fontId="10" fillId="20" borderId="38" xfId="0" applyFont="1" applyFill="1" applyBorder="1" applyAlignment="1" applyProtection="1">
      <alignment horizontal="center" vertical="center"/>
    </xf>
    <xf numFmtId="0" fontId="10" fillId="20" borderId="39" xfId="0" applyFont="1" applyFill="1" applyBorder="1" applyAlignment="1" applyProtection="1">
      <alignment horizontal="center" vertical="center"/>
    </xf>
    <xf numFmtId="0" fontId="28" fillId="11" borderId="40" xfId="0" applyFont="1" applyFill="1" applyBorder="1" applyAlignment="1" applyProtection="1">
      <alignment horizontal="center" vertical="center"/>
    </xf>
    <xf numFmtId="0" fontId="28" fillId="11" borderId="41" xfId="0" applyFont="1" applyFill="1" applyBorder="1" applyAlignment="1" applyProtection="1">
      <alignment horizontal="center" vertical="center"/>
    </xf>
    <xf numFmtId="0" fontId="7" fillId="0" borderId="28" xfId="0" applyFont="1" applyBorder="1" applyAlignment="1" applyProtection="1">
      <alignment horizontal="center" vertical="center" shrinkToFit="1"/>
    </xf>
    <xf numFmtId="0" fontId="13" fillId="0" borderId="42" xfId="0" applyFont="1" applyFill="1" applyBorder="1" applyAlignment="1" applyProtection="1">
      <alignment horizontal="left" vertical="center" wrapText="1"/>
      <protection hidden="1"/>
    </xf>
    <xf numFmtId="0" fontId="13" fillId="0" borderId="42" xfId="0" applyFont="1" applyBorder="1" applyAlignment="1" applyProtection="1">
      <alignment horizontal="center" vertical="center" wrapText="1"/>
      <protection hidden="1"/>
    </xf>
    <xf numFmtId="0" fontId="29" fillId="0" borderId="1" xfId="0" applyFont="1" applyFill="1" applyBorder="1" applyAlignment="1" applyProtection="1">
      <protection locked="0"/>
    </xf>
    <xf numFmtId="2" fontId="27" fillId="0" borderId="28" xfId="0" applyNumberFormat="1" applyFont="1" applyBorder="1" applyAlignment="1" applyProtection="1">
      <alignment horizontal="center" vertical="center" shrinkToFit="1"/>
      <protection locked="0"/>
    </xf>
    <xf numFmtId="0" fontId="7" fillId="0" borderId="1" xfId="0" applyFont="1" applyBorder="1" applyAlignment="1" applyProtection="1">
      <alignment horizontal="center" vertical="center" shrinkToFit="1"/>
    </xf>
    <xf numFmtId="0" fontId="13" fillId="0" borderId="19" xfId="0" applyFont="1" applyFill="1" applyBorder="1" applyAlignment="1" applyProtection="1">
      <alignment horizontal="left" vertical="center" wrapText="1"/>
      <protection hidden="1"/>
    </xf>
    <xf numFmtId="0" fontId="24" fillId="15" borderId="0" xfId="0" applyFont="1" applyFill="1" applyAlignment="1" applyProtection="1">
      <alignment horizontal="center" vertical="center"/>
      <protection locked="0"/>
    </xf>
    <xf numFmtId="0" fontId="13" fillId="0" borderId="19" xfId="0" applyFont="1" applyBorder="1" applyAlignment="1" applyProtection="1">
      <alignment horizontal="left" vertical="center" wrapText="1"/>
      <protection hidden="1"/>
    </xf>
    <xf numFmtId="2" fontId="27" fillId="0" borderId="1" xfId="0" applyNumberFormat="1" applyFont="1" applyBorder="1" applyAlignment="1" applyProtection="1">
      <alignment horizontal="center" vertical="center" shrinkToFit="1"/>
      <protection locked="0"/>
    </xf>
    <xf numFmtId="0" fontId="7" fillId="0" borderId="0" xfId="0" applyFont="1" applyBorder="1" applyAlignment="1" applyProtection="1">
      <alignment horizontal="center" vertical="center" shrinkToFit="1"/>
      <protection locked="0"/>
    </xf>
    <xf numFmtId="0" fontId="13" fillId="0" borderId="0" xfId="0" applyFont="1" applyBorder="1" applyAlignment="1" applyProtection="1">
      <alignment vertical="center"/>
      <protection locked="0"/>
    </xf>
    <xf numFmtId="0" fontId="13" fillId="0" borderId="0" xfId="0" applyNumberFormat="1" applyFont="1" applyBorder="1" applyAlignment="1" applyProtection="1">
      <alignment horizontal="center" vertical="center"/>
      <protection locked="0"/>
    </xf>
    <xf numFmtId="2" fontId="27" fillId="0" borderId="0" xfId="0" applyNumberFormat="1" applyFont="1" applyBorder="1" applyAlignment="1" applyProtection="1">
      <alignment horizontal="center" vertical="center" shrinkToFit="1"/>
      <protection locked="0"/>
    </xf>
    <xf numFmtId="0" fontId="0" fillId="0" borderId="0" xfId="0" applyNumberFormat="1" applyBorder="1" applyAlignment="1" applyProtection="1">
      <alignment horizontal="center" vertical="center"/>
      <protection locked="0"/>
    </xf>
    <xf numFmtId="0" fontId="0" fillId="0" borderId="0" xfId="0" applyNumberFormat="1" applyFont="1" applyBorder="1" applyAlignment="1" applyProtection="1">
      <alignment horizontal="center" vertical="center"/>
      <protection locked="0"/>
    </xf>
    <xf numFmtId="0" fontId="12" fillId="0" borderId="0" xfId="0" applyFont="1" applyAlignment="1" applyProtection="1">
      <alignment horizontal="right" vertical="center"/>
    </xf>
    <xf numFmtId="0" fontId="10" fillId="0" borderId="0" xfId="0" applyFont="1" applyAlignment="1" applyProtection="1">
      <alignment horizontal="left" vertical="center"/>
    </xf>
    <xf numFmtId="0" fontId="12" fillId="0" borderId="0" xfId="0" applyFont="1" applyFill="1" applyAlignment="1" applyProtection="1">
      <alignment horizontal="left" vertical="center"/>
      <protection hidden="1"/>
    </xf>
    <xf numFmtId="49" fontId="12" fillId="0" borderId="0" xfId="0" applyNumberFormat="1" applyFont="1" applyFill="1" applyAlignment="1" applyProtection="1">
      <alignment horizontal="left" vertical="center"/>
      <protection hidden="1"/>
    </xf>
    <xf numFmtId="0" fontId="28" fillId="11" borderId="37" xfId="0" applyFont="1" applyFill="1" applyBorder="1" applyAlignment="1" applyProtection="1">
      <alignment horizontal="center" vertical="center"/>
    </xf>
    <xf numFmtId="0" fontId="28" fillId="11" borderId="43" xfId="0" applyFont="1" applyFill="1" applyBorder="1" applyAlignment="1" applyProtection="1">
      <alignment horizontal="center" vertical="center"/>
    </xf>
    <xf numFmtId="2" fontId="27" fillId="0" borderId="28" xfId="0" applyNumberFormat="1" applyFont="1" applyBorder="1" applyAlignment="1" applyProtection="1">
      <alignment horizontal="center" vertical="center" shrinkToFit="1"/>
      <protection hidden="1"/>
    </xf>
    <xf numFmtId="0" fontId="28" fillId="11" borderId="44" xfId="0" applyFont="1" applyFill="1" applyBorder="1" applyAlignment="1" applyProtection="1">
      <alignment horizontal="center" vertical="center"/>
    </xf>
    <xf numFmtId="0" fontId="28" fillId="11" borderId="45" xfId="0" applyFont="1" applyFill="1" applyBorder="1" applyAlignment="1" applyProtection="1">
      <alignment horizontal="center" vertical="center"/>
    </xf>
    <xf numFmtId="1" fontId="9" fillId="19" borderId="3" xfId="0" applyNumberFormat="1" applyFont="1" applyFill="1" applyBorder="1" applyAlignment="1" applyProtection="1">
      <alignment vertical="center"/>
    </xf>
    <xf numFmtId="0" fontId="9" fillId="15" borderId="0" xfId="0" applyFont="1" applyFill="1" applyBorder="1" applyAlignment="1" applyProtection="1">
      <alignment vertical="center"/>
    </xf>
    <xf numFmtId="0" fontId="7" fillId="15" borderId="0" xfId="0" applyFont="1" applyFill="1" applyBorder="1" applyAlignment="1" applyProtection="1">
      <alignment horizontal="center" vertical="center"/>
    </xf>
    <xf numFmtId="1" fontId="30" fillId="21" borderId="0" xfId="0" applyNumberFormat="1" applyFont="1" applyFill="1" applyAlignment="1" applyProtection="1">
      <alignment horizontal="center" vertical="center"/>
      <protection locked="0"/>
    </xf>
    <xf numFmtId="0" fontId="30" fillId="21" borderId="0" xfId="0" applyFont="1" applyFill="1" applyAlignment="1" applyProtection="1">
      <alignment horizontal="center" vertical="center"/>
      <protection locked="0"/>
    </xf>
    <xf numFmtId="1" fontId="30" fillId="21" borderId="10" xfId="0" applyNumberFormat="1" applyFont="1" applyFill="1" applyBorder="1" applyAlignment="1" applyProtection="1">
      <alignment horizontal="center" vertical="center"/>
      <protection locked="0"/>
    </xf>
    <xf numFmtId="0" fontId="30" fillId="21" borderId="10" xfId="0" applyFont="1" applyFill="1" applyBorder="1" applyAlignment="1" applyProtection="1">
      <alignment horizontal="center" vertical="center"/>
      <protection locked="0"/>
    </xf>
    <xf numFmtId="1" fontId="11" fillId="20" borderId="12" xfId="0" applyNumberFormat="1" applyFont="1" applyFill="1" applyBorder="1" applyAlignment="1" applyProtection="1">
      <alignment horizontal="center" vertical="center" wrapText="1"/>
    </xf>
    <xf numFmtId="0" fontId="11" fillId="20" borderId="12" xfId="0" applyFont="1" applyFill="1" applyBorder="1" applyAlignment="1" applyProtection="1">
      <alignment horizontal="center" vertical="center"/>
    </xf>
    <xf numFmtId="0" fontId="11" fillId="15" borderId="0" xfId="0" applyFont="1" applyFill="1" applyBorder="1" applyAlignment="1" applyProtection="1">
      <alignment horizontal="center" vertical="center"/>
    </xf>
    <xf numFmtId="0" fontId="11" fillId="20" borderId="5" xfId="0" applyFont="1" applyFill="1" applyBorder="1" applyAlignment="1" applyProtection="1">
      <alignment vertical="center"/>
    </xf>
    <xf numFmtId="0" fontId="11" fillId="20" borderId="6" xfId="0" applyFont="1" applyFill="1" applyBorder="1" applyAlignment="1" applyProtection="1">
      <alignment vertical="center"/>
    </xf>
    <xf numFmtId="1" fontId="11" fillId="20" borderId="15" xfId="0" applyNumberFormat="1" applyFont="1" applyFill="1" applyBorder="1" applyAlignment="1" applyProtection="1">
      <alignment horizontal="center" vertical="center" wrapText="1"/>
    </xf>
    <xf numFmtId="0" fontId="11" fillId="20" borderId="15" xfId="0" applyFont="1" applyFill="1" applyBorder="1" applyAlignment="1" applyProtection="1">
      <alignment horizontal="center" vertical="center"/>
    </xf>
    <xf numFmtId="0" fontId="31" fillId="8" borderId="2" xfId="0" applyFont="1" applyFill="1" applyBorder="1" applyAlignment="1" applyProtection="1">
      <alignment horizontal="center" vertical="center" wrapText="1"/>
      <protection hidden="1"/>
    </xf>
    <xf numFmtId="0" fontId="31" fillId="8" borderId="3" xfId="0" applyFont="1" applyFill="1" applyBorder="1" applyAlignment="1" applyProtection="1">
      <alignment horizontal="center" vertical="center" wrapText="1"/>
      <protection hidden="1"/>
    </xf>
    <xf numFmtId="0" fontId="31" fillId="8" borderId="22" xfId="0" applyFont="1" applyFill="1" applyBorder="1" applyAlignment="1" applyProtection="1">
      <alignment horizontal="center" vertical="center" wrapText="1"/>
      <protection hidden="1"/>
    </xf>
    <xf numFmtId="0" fontId="28" fillId="8" borderId="12" xfId="0" applyFont="1" applyFill="1" applyBorder="1" applyAlignment="1" applyProtection="1">
      <alignment horizontal="center" vertical="center" wrapText="1"/>
      <protection locked="0"/>
    </xf>
    <xf numFmtId="0" fontId="28" fillId="8" borderId="46" xfId="0" applyFont="1" applyFill="1" applyBorder="1" applyAlignment="1" applyProtection="1">
      <alignment horizontal="center" vertical="center" wrapText="1"/>
      <protection locked="0"/>
    </xf>
    <xf numFmtId="0" fontId="28" fillId="8" borderId="47" xfId="0" applyFont="1" applyFill="1" applyBorder="1" applyAlignment="1" applyProtection="1">
      <alignment horizontal="center" vertical="center" wrapText="1"/>
      <protection locked="0"/>
    </xf>
    <xf numFmtId="1" fontId="11" fillId="20" borderId="25" xfId="0" applyNumberFormat="1" applyFont="1" applyFill="1" applyBorder="1" applyAlignment="1" applyProtection="1">
      <alignment horizontal="center" vertical="center" wrapText="1"/>
    </xf>
    <xf numFmtId="0" fontId="11" fillId="20" borderId="25" xfId="0" applyFont="1" applyFill="1" applyBorder="1" applyAlignment="1" applyProtection="1">
      <alignment horizontal="center" vertical="center"/>
    </xf>
    <xf numFmtId="0" fontId="28" fillId="8" borderId="25" xfId="0" applyFont="1" applyFill="1" applyBorder="1" applyAlignment="1" applyProtection="1">
      <alignment horizontal="center" vertical="center" wrapText="1"/>
      <protection locked="0"/>
    </xf>
    <xf numFmtId="0" fontId="28" fillId="8" borderId="48" xfId="0" applyFont="1" applyFill="1" applyBorder="1" applyAlignment="1" applyProtection="1">
      <alignment horizontal="center" vertical="center" wrapText="1"/>
      <protection locked="0"/>
    </xf>
    <xf numFmtId="0" fontId="28" fillId="8" borderId="43" xfId="0" applyFont="1" applyFill="1" applyBorder="1" applyAlignment="1" applyProtection="1">
      <alignment horizontal="center" vertical="center" wrapText="1"/>
      <protection locked="0"/>
    </xf>
    <xf numFmtId="2" fontId="27" fillId="15" borderId="0" xfId="0" applyNumberFormat="1" applyFont="1" applyFill="1" applyBorder="1" applyAlignment="1" applyProtection="1">
      <alignment horizontal="center" vertical="center" shrinkToFit="1"/>
      <protection hidden="1"/>
    </xf>
    <xf numFmtId="2" fontId="27" fillId="0" borderId="1" xfId="0" applyNumberFormat="1" applyFont="1" applyBorder="1" applyAlignment="1" applyProtection="1">
      <alignment horizontal="center" vertical="center" shrinkToFit="1"/>
      <protection hidden="1"/>
    </xf>
    <xf numFmtId="1" fontId="27" fillId="0" borderId="0" xfId="0" applyNumberFormat="1" applyFont="1" applyBorder="1" applyAlignment="1" applyProtection="1">
      <alignment horizontal="center" vertical="center" shrinkToFit="1"/>
      <protection locked="0"/>
    </xf>
    <xf numFmtId="2" fontId="27" fillId="15" borderId="0" xfId="0" applyNumberFormat="1" applyFont="1" applyFill="1" applyBorder="1" applyAlignment="1" applyProtection="1">
      <alignment horizontal="center" vertical="center" shrinkToFit="1"/>
      <protection locked="0"/>
    </xf>
    <xf numFmtId="0" fontId="11" fillId="20" borderId="4" xfId="0" applyFont="1" applyFill="1" applyBorder="1" applyAlignment="1" applyProtection="1">
      <alignment vertical="center"/>
    </xf>
    <xf numFmtId="1" fontId="8" fillId="0" borderId="0" xfId="0" applyNumberFormat="1" applyFont="1" applyAlignment="1" applyProtection="1">
      <alignment horizontal="center"/>
      <protection locked="0"/>
    </xf>
    <xf numFmtId="0" fontId="8" fillId="0" borderId="0" xfId="0" applyFont="1" applyAlignment="1" applyProtection="1">
      <alignment vertical="center"/>
      <protection hidden="1"/>
    </xf>
    <xf numFmtId="2" fontId="8" fillId="5" borderId="0" xfId="0" applyNumberFormat="1" applyFont="1" applyFill="1" applyAlignment="1" applyProtection="1">
      <alignment horizontal="center" vertical="center"/>
      <protection hidden="1"/>
    </xf>
    <xf numFmtId="1" fontId="8" fillId="5" borderId="0" xfId="0" applyNumberFormat="1" applyFont="1" applyFill="1" applyAlignment="1" applyProtection="1">
      <alignment horizontal="center"/>
      <protection locked="0"/>
    </xf>
    <xf numFmtId="2" fontId="8" fillId="0" borderId="0" xfId="0" applyNumberFormat="1" applyFont="1" applyAlignment="1" applyProtection="1">
      <alignment horizontal="center" vertical="center"/>
      <protection hidden="1"/>
    </xf>
    <xf numFmtId="2" fontId="12" fillId="0" borderId="28" xfId="0" applyNumberFormat="1" applyFont="1" applyBorder="1" applyAlignment="1" applyProtection="1">
      <alignment horizontal="center" vertical="center" shrinkToFit="1"/>
      <protection hidden="1"/>
    </xf>
    <xf numFmtId="2" fontId="8" fillId="0" borderId="0" xfId="0" applyNumberFormat="1" applyFont="1" applyAlignment="1" applyProtection="1">
      <alignment horizontal="left" vertical="center"/>
      <protection hidden="1"/>
    </xf>
    <xf numFmtId="0" fontId="8" fillId="0" borderId="0" xfId="0" applyFont="1" applyAlignment="1" applyProtection="1">
      <alignment horizontal="center" vertical="center"/>
      <protection locked="0"/>
    </xf>
    <xf numFmtId="0" fontId="8" fillId="5" borderId="0" xfId="0" applyFont="1" applyFill="1" applyAlignment="1" applyProtection="1">
      <alignment horizontal="center"/>
      <protection locked="0"/>
    </xf>
    <xf numFmtId="0" fontId="8" fillId="0" borderId="0" xfId="0" applyFont="1" applyAlignment="1" applyProtection="1">
      <alignment horizontal="center"/>
      <protection locked="0"/>
    </xf>
    <xf numFmtId="0" fontId="15" fillId="0" borderId="0" xfId="0" applyNumberFormat="1" applyFont="1" applyBorder="1" applyAlignment="1" applyProtection="1">
      <alignment horizontal="center" vertical="center"/>
      <protection locked="0"/>
    </xf>
    <xf numFmtId="0" fontId="7" fillId="15" borderId="0" xfId="0" applyFont="1" applyFill="1" applyAlignment="1" applyProtection="1">
      <alignment horizontal="center" vertical="center"/>
    </xf>
    <xf numFmtId="1" fontId="7" fillId="15" borderId="0" xfId="0" applyNumberFormat="1" applyFont="1" applyFill="1" applyAlignment="1" applyProtection="1">
      <alignment horizontal="center" vertical="center"/>
    </xf>
    <xf numFmtId="0" fontId="8" fillId="0" borderId="0" xfId="0" applyFont="1" applyAlignment="1" applyProtection="1"/>
    <xf numFmtId="0" fontId="32" fillId="19" borderId="7" xfId="0" applyFont="1" applyFill="1" applyBorder="1" applyAlignment="1" applyProtection="1">
      <alignment vertical="center"/>
    </xf>
    <xf numFmtId="0" fontId="25" fillId="19" borderId="0" xfId="0" applyFont="1" applyFill="1" applyBorder="1" applyAlignment="1" applyProtection="1">
      <alignment vertical="center"/>
    </xf>
    <xf numFmtId="0" fontId="28" fillId="8" borderId="42" xfId="0" applyFont="1" applyFill="1" applyBorder="1" applyAlignment="1" applyProtection="1">
      <alignment horizontal="center" vertical="top" wrapText="1"/>
      <protection hidden="1"/>
    </xf>
    <xf numFmtId="0" fontId="28" fillId="8" borderId="49" xfId="0" applyFont="1" applyFill="1" applyBorder="1" applyAlignment="1" applyProtection="1">
      <alignment horizontal="center" vertical="top" wrapText="1"/>
      <protection hidden="1"/>
    </xf>
    <xf numFmtId="0" fontId="28" fillId="8" borderId="1" xfId="0" applyFont="1" applyFill="1" applyBorder="1" applyAlignment="1" applyProtection="1">
      <alignment horizontal="center" vertical="center" wrapText="1"/>
      <protection locked="0"/>
    </xf>
    <xf numFmtId="0" fontId="28" fillId="11" borderId="40" xfId="0" applyFont="1" applyFill="1" applyBorder="1" applyAlignment="1" applyProtection="1">
      <alignment horizontal="center" vertical="center"/>
      <protection locked="0"/>
    </xf>
    <xf numFmtId="0" fontId="28" fillId="11" borderId="41" xfId="0" applyFont="1" applyFill="1" applyBorder="1" applyAlignment="1" applyProtection="1">
      <alignment horizontal="center" vertical="center"/>
      <protection locked="0"/>
    </xf>
    <xf numFmtId="2" fontId="33" fillId="0" borderId="1" xfId="0" applyNumberFormat="1" applyFont="1" applyBorder="1" applyAlignment="1" applyProtection="1">
      <alignment horizontal="center" vertical="center"/>
      <protection locked="0"/>
    </xf>
    <xf numFmtId="0" fontId="29" fillId="5" borderId="1" xfId="0" applyFont="1" applyFill="1" applyBorder="1" applyAlignment="1" applyProtection="1">
      <protection locked="0"/>
    </xf>
    <xf numFmtId="1" fontId="27" fillId="0" borderId="28" xfId="0" applyNumberFormat="1" applyFont="1" applyBorder="1" applyAlignment="1" applyProtection="1">
      <alignment horizontal="center" vertical="center" shrinkToFit="1"/>
      <protection locked="0"/>
    </xf>
    <xf numFmtId="2" fontId="33" fillId="0" borderId="1" xfId="0" applyNumberFormat="1" applyFont="1" applyFill="1" applyBorder="1" applyAlignment="1" applyProtection="1">
      <alignment horizontal="center" vertical="center"/>
      <protection locked="0"/>
    </xf>
    <xf numFmtId="0" fontId="34" fillId="19" borderId="0" xfId="0" applyFont="1" applyFill="1" applyBorder="1" applyAlignment="1" applyProtection="1">
      <alignment vertical="center"/>
    </xf>
    <xf numFmtId="0" fontId="12" fillId="0" borderId="0" xfId="0" applyFont="1" applyFill="1" applyBorder="1" applyAlignment="1" applyProtection="1">
      <alignment horizontal="right" vertical="center"/>
      <protection hidden="1"/>
    </xf>
    <xf numFmtId="1" fontId="12" fillId="0" borderId="0" xfId="0" applyNumberFormat="1" applyFont="1" applyFill="1" applyAlignment="1" applyProtection="1">
      <alignment horizontal="left" vertical="center"/>
      <protection locked="0"/>
    </xf>
    <xf numFmtId="0" fontId="10" fillId="0" borderId="1" xfId="0" applyFont="1" applyFill="1" applyBorder="1" applyAlignment="1" applyProtection="1">
      <alignment horizontal="center" vertical="center" wrapText="1"/>
      <protection locked="0"/>
    </xf>
    <xf numFmtId="0" fontId="12" fillId="0" borderId="0" xfId="0" applyFont="1" applyFill="1" applyAlignment="1" applyProtection="1">
      <alignment horizontal="left" vertical="center"/>
      <protection locked="0"/>
    </xf>
    <xf numFmtId="49" fontId="12" fillId="0" borderId="0" xfId="0" applyNumberFormat="1" applyFont="1" applyFill="1" applyAlignment="1" applyProtection="1">
      <alignment horizontal="left" vertical="center"/>
      <protection locked="0"/>
    </xf>
    <xf numFmtId="0" fontId="7" fillId="0" borderId="0" xfId="0" applyFont="1" applyAlignment="1" applyProtection="1">
      <alignment horizontal="left" vertical="center"/>
    </xf>
    <xf numFmtId="0" fontId="11" fillId="20" borderId="14" xfId="0" applyFont="1" applyFill="1" applyBorder="1" applyAlignment="1" applyProtection="1">
      <alignment horizontal="center" vertical="center"/>
    </xf>
    <xf numFmtId="0" fontId="28" fillId="8" borderId="50" xfId="0" applyFont="1" applyFill="1" applyBorder="1" applyAlignment="1" applyProtection="1">
      <alignment horizontal="center" vertical="top" wrapText="1"/>
      <protection hidden="1"/>
    </xf>
    <xf numFmtId="0" fontId="28" fillId="11" borderId="39" xfId="0" applyFont="1" applyFill="1" applyBorder="1" applyAlignment="1" applyProtection="1">
      <alignment horizontal="center" vertical="center"/>
      <protection locked="0"/>
    </xf>
    <xf numFmtId="0" fontId="10" fillId="0" borderId="1" xfId="0" applyFont="1" applyFill="1" applyBorder="1" applyAlignment="1" applyProtection="1">
      <alignment horizontal="center" vertical="center" wrapText="1"/>
    </xf>
    <xf numFmtId="0" fontId="10" fillId="0" borderId="1" xfId="0" applyFont="1" applyFill="1" applyBorder="1" applyAlignment="1" applyProtection="1">
      <alignment horizontal="center" vertical="center"/>
    </xf>
    <xf numFmtId="0" fontId="10" fillId="0" borderId="1" xfId="0" applyFont="1" applyBorder="1" applyAlignment="1" applyProtection="1">
      <alignment horizontal="center" vertical="center"/>
    </xf>
    <xf numFmtId="0" fontId="11" fillId="22" borderId="51" xfId="0" applyFont="1" applyFill="1" applyBorder="1" applyAlignment="1" applyProtection="1">
      <alignment horizontal="center" vertical="center"/>
    </xf>
    <xf numFmtId="0" fontId="7" fillId="0" borderId="0" xfId="0" applyFont="1" applyFill="1" applyBorder="1" applyAlignment="1" applyProtection="1">
      <alignment vertical="center" wrapText="1"/>
    </xf>
    <xf numFmtId="0" fontId="7" fillId="0" borderId="0" xfId="0" applyFont="1" applyFill="1" applyBorder="1" applyAlignment="1" applyProtection="1">
      <alignment horizontal="center" vertical="center" wrapText="1"/>
      <protection locked="0"/>
    </xf>
    <xf numFmtId="9" fontId="10" fillId="5" borderId="1" xfId="0" applyNumberFormat="1" applyFont="1" applyFill="1" applyBorder="1" applyAlignment="1" applyProtection="1">
      <alignment horizontal="center" vertical="center" wrapText="1"/>
      <protection locked="0"/>
    </xf>
    <xf numFmtId="9" fontId="10" fillId="5" borderId="1" xfId="0" applyNumberFormat="1" applyFont="1" applyFill="1" applyBorder="1" applyAlignment="1" applyProtection="1">
      <alignment horizontal="center" vertical="center"/>
      <protection locked="0"/>
    </xf>
    <xf numFmtId="9" fontId="10" fillId="5" borderId="1" xfId="0" applyNumberFormat="1" applyFont="1" applyFill="1" applyBorder="1" applyAlignment="1" applyProtection="1">
      <alignment horizontal="center" vertical="center"/>
      <protection hidden="1"/>
    </xf>
    <xf numFmtId="0" fontId="7" fillId="0" borderId="0" xfId="0" applyFont="1" applyFill="1" applyAlignment="1" applyProtection="1">
      <alignment horizontal="center" vertical="center"/>
      <protection locked="0"/>
    </xf>
    <xf numFmtId="0" fontId="27" fillId="0" borderId="0" xfId="0" applyFont="1" applyFill="1" applyAlignment="1" applyProtection="1">
      <alignment horizontal="left" vertical="center"/>
      <protection locked="0"/>
    </xf>
    <xf numFmtId="0" fontId="10" fillId="0" borderId="0" xfId="0" applyFont="1" applyFill="1" applyBorder="1" applyAlignment="1" applyProtection="1">
      <alignment horizontal="center" vertical="center"/>
    </xf>
    <xf numFmtId="0" fontId="10" fillId="0" borderId="0" xfId="0" applyFont="1" applyFill="1" applyBorder="1" applyAlignment="1" applyProtection="1">
      <alignment horizontal="center" vertical="center"/>
      <protection locked="0"/>
    </xf>
    <xf numFmtId="0" fontId="35" fillId="0" borderId="0" xfId="0" applyFont="1" applyAlignment="1" applyProtection="1">
      <alignment horizontal="left" vertical="center"/>
    </xf>
    <xf numFmtId="0" fontId="22" fillId="0" borderId="0" xfId="0" applyFont="1" applyFill="1" applyBorder="1" applyAlignment="1" applyProtection="1">
      <alignment horizontal="center" vertical="center"/>
    </xf>
    <xf numFmtId="0" fontId="22" fillId="0" borderId="0" xfId="0" applyFont="1" applyFill="1" applyBorder="1" applyAlignment="1" applyProtection="1">
      <alignment horizontal="left" vertical="center"/>
    </xf>
    <xf numFmtId="0" fontId="36" fillId="0" borderId="0" xfId="0" applyFont="1" applyFill="1" applyBorder="1" applyAlignment="1" applyProtection="1">
      <alignment horizontal="center"/>
    </xf>
    <xf numFmtId="0" fontId="36" fillId="0" borderId="0" xfId="0" applyFont="1" applyFill="1" applyBorder="1" applyAlignment="1" applyProtection="1"/>
    <xf numFmtId="0" fontId="0" fillId="0" borderId="0" xfId="0" applyFill="1" applyBorder="1" applyAlignment="1" applyProtection="1">
      <alignment horizontal="center"/>
      <protection locked="0"/>
    </xf>
    <xf numFmtId="0" fontId="13" fillId="0" borderId="10" xfId="0" applyFont="1" applyFill="1" applyBorder="1" applyAlignment="1" applyProtection="1">
      <alignment horizontal="left"/>
    </xf>
    <xf numFmtId="0" fontId="0" fillId="0" borderId="10" xfId="0" applyFill="1" applyBorder="1" applyAlignment="1" applyProtection="1">
      <alignment horizontal="center"/>
      <protection locked="0"/>
    </xf>
    <xf numFmtId="0" fontId="7" fillId="17" borderId="1" xfId="0" applyFont="1" applyFill="1" applyBorder="1" applyAlignment="1" applyProtection="1">
      <alignment wrapText="1"/>
    </xf>
    <xf numFmtId="0" fontId="7" fillId="17" borderId="1" xfId="0" applyFont="1" applyFill="1" applyBorder="1" applyAlignment="1" applyProtection="1">
      <alignment horizontal="center" wrapText="1"/>
    </xf>
    <xf numFmtId="1" fontId="7" fillId="0" borderId="1" xfId="0" applyNumberFormat="1" applyFont="1" applyBorder="1" applyAlignment="1" applyProtection="1">
      <alignment horizontal="center" wrapText="1"/>
      <protection locked="0"/>
    </xf>
    <xf numFmtId="0" fontId="7" fillId="0" borderId="0" xfId="0" applyFont="1" applyBorder="1" applyAlignment="1" applyProtection="1">
      <alignment vertical="center" wrapText="1"/>
    </xf>
    <xf numFmtId="0" fontId="10" fillId="23" borderId="3" xfId="0" applyFont="1" applyFill="1" applyBorder="1" applyAlignment="1" applyProtection="1">
      <alignment horizontal="center" vertical="center"/>
    </xf>
    <xf numFmtId="0" fontId="12" fillId="21" borderId="18" xfId="0" applyFont="1" applyFill="1" applyBorder="1" applyAlignment="1" applyProtection="1">
      <alignment horizontal="center" vertical="center" wrapText="1"/>
    </xf>
    <xf numFmtId="0" fontId="12" fillId="21" borderId="47" xfId="0" applyFont="1" applyFill="1" applyBorder="1" applyAlignment="1" applyProtection="1">
      <alignment horizontal="center" vertical="center" wrapText="1"/>
    </xf>
    <xf numFmtId="0" fontId="12" fillId="21" borderId="43" xfId="0" applyFont="1" applyFill="1" applyBorder="1" applyAlignment="1" applyProtection="1">
      <alignment horizontal="center" vertical="center" wrapText="1"/>
    </xf>
    <xf numFmtId="1" fontId="27" fillId="0" borderId="28" xfId="0" applyNumberFormat="1" applyFont="1" applyBorder="1" applyAlignment="1" applyProtection="1">
      <alignment horizontal="center" vertical="center" shrinkToFit="1"/>
      <protection hidden="1"/>
    </xf>
    <xf numFmtId="0" fontId="22" fillId="15" borderId="0" xfId="0" applyFont="1" applyFill="1" applyBorder="1" applyAlignment="1" applyProtection="1">
      <alignment vertical="center"/>
    </xf>
    <xf numFmtId="0" fontId="22" fillId="19" borderId="0" xfId="0" applyFont="1" applyFill="1" applyBorder="1" applyAlignment="1" applyProtection="1">
      <alignment vertical="center"/>
    </xf>
    <xf numFmtId="0" fontId="22" fillId="0" borderId="7" xfId="0" applyFont="1" applyFill="1" applyBorder="1" applyAlignment="1" applyProtection="1">
      <alignment horizontal="left" vertical="center"/>
    </xf>
    <xf numFmtId="1" fontId="7" fillId="17" borderId="1" xfId="0" applyNumberFormat="1" applyFont="1" applyFill="1" applyBorder="1" applyAlignment="1" applyProtection="1">
      <alignment horizontal="center" wrapText="1"/>
    </xf>
    <xf numFmtId="0" fontId="37" fillId="0" borderId="0" xfId="0" applyFont="1" applyFill="1" applyBorder="1" applyAlignment="1" applyProtection="1">
      <alignment horizontal="center" wrapText="1"/>
    </xf>
    <xf numFmtId="0" fontId="36" fillId="0" borderId="7" xfId="0" applyFont="1" applyFill="1" applyBorder="1" applyAlignment="1" applyProtection="1"/>
    <xf numFmtId="0" fontId="38" fillId="21" borderId="0" xfId="0" applyFont="1" applyFill="1" applyAlignment="1" applyProtection="1">
      <alignment horizontal="center" vertical="center"/>
      <protection locked="0"/>
    </xf>
    <xf numFmtId="0" fontId="10" fillId="23" borderId="4" xfId="0" applyFont="1" applyFill="1" applyBorder="1" applyAlignment="1" applyProtection="1">
      <alignment vertical="center"/>
    </xf>
    <xf numFmtId="0" fontId="10" fillId="23" borderId="5" xfId="0" applyFont="1" applyFill="1" applyBorder="1" applyAlignment="1" applyProtection="1">
      <alignment vertical="center"/>
    </xf>
    <xf numFmtId="0" fontId="10" fillId="23" borderId="22"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21" borderId="52" xfId="0" applyFont="1" applyFill="1" applyBorder="1" applyAlignment="1" applyProtection="1">
      <alignment horizontal="center" vertical="center" wrapText="1"/>
    </xf>
    <xf numFmtId="0" fontId="12" fillId="15" borderId="0" xfId="0" applyFont="1" applyFill="1" applyBorder="1" applyAlignment="1" applyProtection="1">
      <alignment horizontal="center" vertical="center"/>
    </xf>
    <xf numFmtId="0" fontId="28" fillId="8" borderId="42" xfId="0" applyFont="1" applyFill="1" applyBorder="1" applyAlignment="1" applyProtection="1">
      <alignment horizontal="center" vertical="center" wrapText="1"/>
      <protection hidden="1"/>
    </xf>
    <xf numFmtId="0" fontId="28" fillId="8" borderId="49" xfId="0" applyFont="1" applyFill="1" applyBorder="1" applyAlignment="1" applyProtection="1">
      <alignment horizontal="center" vertical="center" wrapText="1"/>
      <protection hidden="1"/>
    </xf>
    <xf numFmtId="0" fontId="12" fillId="21" borderId="53" xfId="0" applyFont="1" applyFill="1" applyBorder="1" applyAlignment="1" applyProtection="1">
      <alignment horizontal="center" vertical="center" wrapText="1"/>
    </xf>
    <xf numFmtId="0" fontId="28" fillId="8" borderId="0" xfId="0" applyFont="1" applyFill="1" applyBorder="1" applyAlignment="1" applyProtection="1">
      <alignment horizontal="center" vertical="center" wrapText="1"/>
      <protection hidden="1"/>
    </xf>
    <xf numFmtId="0" fontId="12" fillId="21" borderId="54" xfId="0" applyFont="1" applyFill="1" applyBorder="1" applyAlignment="1" applyProtection="1">
      <alignment horizontal="center" vertical="center" wrapText="1"/>
    </xf>
    <xf numFmtId="0" fontId="28" fillId="11" borderId="1" xfId="0" applyFont="1" applyFill="1" applyBorder="1" applyAlignment="1" applyProtection="1">
      <alignment horizontal="center" vertical="center"/>
    </xf>
    <xf numFmtId="0" fontId="28" fillId="11" borderId="39" xfId="0" applyFont="1" applyFill="1" applyBorder="1" applyAlignment="1" applyProtection="1">
      <alignment horizontal="center" vertical="center"/>
    </xf>
    <xf numFmtId="2" fontId="12" fillId="5" borderId="28" xfId="0" applyNumberFormat="1" applyFont="1" applyFill="1" applyBorder="1" applyAlignment="1" applyProtection="1">
      <alignment horizontal="center" vertical="center" shrinkToFit="1"/>
      <protection hidden="1"/>
    </xf>
    <xf numFmtId="2" fontId="10" fillId="15" borderId="0" xfId="0" applyNumberFormat="1" applyFont="1" applyFill="1" applyBorder="1" applyAlignment="1" applyProtection="1">
      <alignment horizontal="center" vertical="center" shrinkToFit="1"/>
    </xf>
    <xf numFmtId="2" fontId="8" fillId="0" borderId="0" xfId="0" applyNumberFormat="1" applyFont="1" applyAlignment="1" applyProtection="1">
      <alignment horizontal="center" vertical="center"/>
    </xf>
    <xf numFmtId="2" fontId="12" fillId="0" borderId="0" xfId="0" applyNumberFormat="1" applyFont="1" applyBorder="1" applyAlignment="1" applyProtection="1">
      <alignment horizontal="center" vertical="center" shrinkToFit="1"/>
      <protection locked="0"/>
    </xf>
    <xf numFmtId="0" fontId="37" fillId="0" borderId="0" xfId="0" applyFont="1" applyFill="1" applyAlignment="1" applyProtection="1">
      <alignment horizontal="right" vertical="center"/>
      <protection locked="0"/>
    </xf>
    <xf numFmtId="1" fontId="10" fillId="0" borderId="0" xfId="0" applyNumberFormat="1" applyFont="1" applyFill="1" applyAlignment="1" applyProtection="1">
      <alignment horizontal="left" vertical="center"/>
      <protection hidden="1"/>
    </xf>
    <xf numFmtId="0" fontId="10" fillId="0" borderId="0" xfId="0" applyFont="1" applyFill="1" applyAlignment="1" applyProtection="1">
      <alignment horizontal="left" vertical="center"/>
      <protection hidden="1"/>
    </xf>
    <xf numFmtId="0" fontId="10" fillId="23" borderId="6" xfId="0" applyFont="1" applyFill="1" applyBorder="1" applyAlignment="1" applyProtection="1">
      <alignment vertical="center"/>
    </xf>
    <xf numFmtId="0" fontId="37" fillId="0" borderId="0" xfId="0" applyFont="1" applyFill="1" applyBorder="1" applyAlignment="1" applyProtection="1">
      <alignment horizontal="right" vertical="center"/>
      <protection locked="0"/>
    </xf>
    <xf numFmtId="49" fontId="10" fillId="0" borderId="0" xfId="0" applyNumberFormat="1" applyFont="1" applyFill="1" applyAlignment="1" applyProtection="1">
      <alignment horizontal="left" vertical="center"/>
      <protection hidden="1"/>
    </xf>
    <xf numFmtId="0" fontId="28" fillId="8" borderId="50" xfId="0" applyFont="1" applyFill="1" applyBorder="1" applyAlignment="1" applyProtection="1">
      <alignment horizontal="center" vertical="center" wrapText="1"/>
      <protection hidden="1"/>
    </xf>
    <xf numFmtId="0" fontId="7" fillId="0" borderId="0" xfId="0" applyFont="1" applyFill="1" applyAlignment="1" applyProtection="1">
      <alignment horizontal="left" vertical="center"/>
      <protection locked="0"/>
    </xf>
    <xf numFmtId="0" fontId="10" fillId="0" borderId="0" xfId="0" applyFont="1" applyFill="1" applyBorder="1" applyAlignment="1" applyProtection="1">
      <alignment horizontal="left" vertical="center"/>
      <protection hidden="1"/>
    </xf>
    <xf numFmtId="0" fontId="11" fillId="20" borderId="22" xfId="0" applyFont="1" applyFill="1" applyBorder="1" applyAlignment="1" applyProtection="1">
      <alignment horizontal="center" vertical="center"/>
    </xf>
    <xf numFmtId="0" fontId="9" fillId="21" borderId="2" xfId="0" applyFont="1" applyFill="1" applyBorder="1" applyAlignment="1" applyProtection="1">
      <alignment horizontal="center" vertical="center"/>
    </xf>
    <xf numFmtId="0" fontId="9" fillId="21" borderId="22" xfId="0" applyFont="1" applyFill="1" applyBorder="1" applyAlignment="1" applyProtection="1">
      <alignment horizontal="center" vertical="center"/>
    </xf>
    <xf numFmtId="0" fontId="9" fillId="21" borderId="0" xfId="0" applyFont="1" applyFill="1" applyBorder="1" applyAlignment="1" applyProtection="1">
      <alignment horizontal="center" vertical="center"/>
    </xf>
    <xf numFmtId="0" fontId="10" fillId="24" borderId="4" xfId="0" applyFont="1" applyFill="1" applyBorder="1" applyAlignment="1" applyProtection="1">
      <alignment horizontal="left" vertical="center"/>
      <protection hidden="1"/>
    </xf>
    <xf numFmtId="0" fontId="10" fillId="24" borderId="9" xfId="0" applyFont="1" applyFill="1" applyBorder="1" applyAlignment="1" applyProtection="1">
      <alignment horizontal="left" vertical="center"/>
      <protection hidden="1"/>
    </xf>
    <xf numFmtId="0" fontId="10" fillId="23" borderId="14" xfId="0" applyFont="1" applyFill="1" applyBorder="1" applyAlignment="1" applyProtection="1">
      <alignment horizontal="center" vertical="center"/>
    </xf>
    <xf numFmtId="0" fontId="10" fillId="23" borderId="0" xfId="0" applyFont="1" applyFill="1" applyBorder="1" applyAlignment="1" applyProtection="1">
      <alignment horizontal="center" vertical="center"/>
    </xf>
    <xf numFmtId="0" fontId="28" fillId="25" borderId="18" xfId="0" applyFont="1" applyFill="1" applyBorder="1" applyAlignment="1" applyProtection="1">
      <alignment horizontal="center" vertical="center" wrapText="1"/>
    </xf>
    <xf numFmtId="0" fontId="12" fillId="25" borderId="52" xfId="0" applyFont="1" applyFill="1" applyBorder="1" applyAlignment="1" applyProtection="1">
      <alignment horizontal="center" vertical="center" wrapText="1"/>
    </xf>
    <xf numFmtId="0" fontId="12" fillId="25" borderId="0" xfId="0" applyFont="1" applyFill="1" applyBorder="1" applyAlignment="1" applyProtection="1">
      <alignment horizontal="center" vertical="center" wrapText="1"/>
    </xf>
    <xf numFmtId="0" fontId="28" fillId="25" borderId="47" xfId="0" applyFont="1" applyFill="1" applyBorder="1" applyAlignment="1" applyProtection="1">
      <alignment horizontal="center" vertical="center" wrapText="1"/>
    </xf>
    <xf numFmtId="0" fontId="12" fillId="25" borderId="53" xfId="0" applyFont="1" applyFill="1" applyBorder="1" applyAlignment="1" applyProtection="1">
      <alignment horizontal="center" vertical="center" wrapText="1"/>
    </xf>
    <xf numFmtId="0" fontId="28" fillId="25" borderId="43" xfId="0" applyFont="1" applyFill="1" applyBorder="1" applyAlignment="1" applyProtection="1">
      <alignment horizontal="center" vertical="center" wrapText="1"/>
    </xf>
    <xf numFmtId="0" fontId="12" fillId="25" borderId="54" xfId="0" applyFont="1" applyFill="1" applyBorder="1" applyAlignment="1" applyProtection="1">
      <alignment horizontal="center" vertical="center" wrapText="1"/>
    </xf>
    <xf numFmtId="2" fontId="12" fillId="0" borderId="0" xfId="0" applyNumberFormat="1" applyFont="1" applyBorder="1" applyAlignment="1" applyProtection="1">
      <alignment horizontal="center" vertical="center" shrinkToFit="1"/>
      <protection hidden="1"/>
    </xf>
    <xf numFmtId="2" fontId="8" fillId="0" borderId="0" xfId="0" applyNumberFormat="1" applyFont="1" applyAlignment="1" applyProtection="1">
      <protection locked="0"/>
    </xf>
    <xf numFmtId="0" fontId="7" fillId="15" borderId="0" xfId="0" applyFont="1" applyFill="1" applyAlignment="1" applyProtection="1">
      <alignment horizontal="center" vertical="center"/>
      <protection locked="0"/>
    </xf>
    <xf numFmtId="0" fontId="39" fillId="0" borderId="0" xfId="0" applyFont="1" applyProtection="1">
      <protection hidden="1"/>
    </xf>
    <xf numFmtId="0" fontId="20" fillId="0" borderId="0" xfId="0" applyFont="1" applyProtection="1">
      <protection locked="0"/>
    </xf>
    <xf numFmtId="0" fontId="39" fillId="0" borderId="0" xfId="0" applyFont="1" applyProtection="1">
      <protection locked="0"/>
    </xf>
    <xf numFmtId="0" fontId="39" fillId="0" borderId="0" xfId="0" applyFont="1" applyAlignment="1" applyProtection="1">
      <alignment horizontal="center" vertical="center"/>
      <protection locked="0"/>
    </xf>
    <xf numFmtId="58" fontId="39" fillId="0" borderId="0" xfId="0" applyNumberFormat="1" applyFont="1" applyProtection="1">
      <protection locked="0"/>
    </xf>
    <xf numFmtId="0" fontId="40" fillId="0" borderId="0" xfId="0" applyFont="1" applyFill="1" applyBorder="1" applyProtection="1">
      <protection hidden="1"/>
    </xf>
    <xf numFmtId="0" fontId="40" fillId="0" borderId="0" xfId="0" applyFont="1" applyFill="1" applyBorder="1" applyAlignment="1" applyProtection="1">
      <alignment vertical="center" wrapText="1"/>
      <protection hidden="1"/>
    </xf>
    <xf numFmtId="0" fontId="40" fillId="0" borderId="0" xfId="0" applyFont="1" applyFill="1" applyBorder="1" applyAlignment="1" applyProtection="1">
      <alignment vertical="center"/>
      <protection hidden="1"/>
    </xf>
    <xf numFmtId="0" fontId="41" fillId="0" borderId="0" xfId="0" applyFont="1" applyProtection="1">
      <protection locked="0"/>
    </xf>
    <xf numFmtId="0" fontId="40" fillId="14" borderId="0" xfId="0" applyFont="1" applyFill="1" applyBorder="1" applyProtection="1">
      <protection locked="0"/>
    </xf>
    <xf numFmtId="0" fontId="40" fillId="0" borderId="0" xfId="0" applyFont="1" applyFill="1" applyBorder="1" applyProtection="1">
      <protection locked="0"/>
    </xf>
    <xf numFmtId="0" fontId="41" fillId="0" borderId="0" xfId="0" applyFont="1" applyProtection="1">
      <protection hidden="1"/>
    </xf>
    <xf numFmtId="0" fontId="40" fillId="14" borderId="0" xfId="0" applyFont="1" applyFill="1" applyBorder="1" applyProtection="1">
      <protection hidden="1"/>
    </xf>
    <xf numFmtId="0" fontId="41" fillId="23" borderId="0" xfId="0" applyFont="1" applyFill="1" applyProtection="1">
      <protection hidden="1"/>
    </xf>
    <xf numFmtId="0" fontId="42" fillId="23" borderId="0" xfId="0" applyFont="1" applyFill="1" applyAlignment="1" applyProtection="1">
      <alignment horizontal="center" vertical="center"/>
      <protection hidden="1"/>
    </xf>
    <xf numFmtId="0" fontId="40" fillId="26" borderId="0" xfId="0" applyFont="1" applyFill="1" applyAlignment="1" applyProtection="1">
      <alignment horizontal="center" vertical="center"/>
      <protection hidden="1"/>
    </xf>
    <xf numFmtId="0" fontId="43" fillId="19" borderId="0" xfId="0" applyFont="1" applyFill="1" applyAlignment="1" applyProtection="1">
      <alignment horizontal="center" vertical="center"/>
      <protection hidden="1"/>
    </xf>
    <xf numFmtId="0" fontId="44" fillId="14" borderId="0" xfId="0" applyFont="1" applyFill="1" applyBorder="1" applyAlignment="1" applyProtection="1">
      <alignment vertical="center"/>
      <protection hidden="1"/>
    </xf>
    <xf numFmtId="0" fontId="44" fillId="0" borderId="0" xfId="0" applyFont="1" applyFill="1" applyBorder="1" applyAlignment="1" applyProtection="1">
      <alignment vertical="center"/>
      <protection hidden="1"/>
    </xf>
    <xf numFmtId="0" fontId="41" fillId="23" borderId="1" xfId="0" applyFont="1" applyFill="1" applyBorder="1" applyAlignment="1" applyProtection="1">
      <alignment horizontal="center" vertical="center" wrapText="1"/>
      <protection locked="0"/>
    </xf>
    <xf numFmtId="0" fontId="24" fillId="10" borderId="19" xfId="0" applyFont="1" applyFill="1" applyBorder="1" applyAlignment="1" applyProtection="1">
      <alignment horizontal="left" vertical="center" wrapText="1"/>
      <protection locked="0"/>
    </xf>
    <xf numFmtId="0" fontId="45" fillId="14" borderId="0" xfId="0" applyFont="1" applyFill="1" applyBorder="1" applyAlignment="1" applyProtection="1">
      <alignment horizontal="center" vertical="center" wrapText="1"/>
      <protection hidden="1"/>
    </xf>
    <xf numFmtId="0" fontId="45" fillId="0" borderId="0" xfId="0" applyFont="1" applyFill="1" applyBorder="1" applyAlignment="1" applyProtection="1">
      <alignment horizontal="center" vertical="center" wrapText="1"/>
      <protection hidden="1"/>
    </xf>
    <xf numFmtId="0" fontId="11" fillId="14" borderId="0" xfId="0" applyFont="1" applyFill="1" applyBorder="1" applyAlignment="1" applyProtection="1">
      <alignment horizontal="center" vertical="center" wrapText="1"/>
      <protection hidden="1"/>
    </xf>
    <xf numFmtId="0" fontId="11" fillId="0" borderId="0" xfId="0" applyFont="1" applyFill="1" applyBorder="1" applyAlignment="1" applyProtection="1">
      <alignment horizontal="center" vertical="center" wrapText="1"/>
      <protection hidden="1"/>
    </xf>
    <xf numFmtId="0" fontId="24" fillId="10" borderId="19" xfId="0" applyFont="1" applyFill="1" applyBorder="1" applyAlignment="1" applyProtection="1">
      <alignment vertical="top" wrapText="1"/>
      <protection locked="0"/>
    </xf>
    <xf numFmtId="0" fontId="11" fillId="0" borderId="0" xfId="0" applyFont="1" applyFill="1" applyBorder="1" applyAlignment="1" applyProtection="1">
      <alignment horizontal="left" vertical="center" wrapText="1"/>
      <protection locked="0"/>
    </xf>
    <xf numFmtId="0" fontId="46" fillId="10" borderId="19" xfId="0" applyFont="1" applyFill="1" applyBorder="1" applyAlignment="1" applyProtection="1">
      <alignment horizontal="left" vertical="center" wrapText="1"/>
      <protection locked="0"/>
    </xf>
    <xf numFmtId="0" fontId="40" fillId="19" borderId="0" xfId="0" applyFont="1" applyFill="1" applyAlignment="1" applyProtection="1">
      <alignment horizontal="center" vertical="center"/>
      <protection hidden="1"/>
    </xf>
    <xf numFmtId="0" fontId="43" fillId="19" borderId="0" xfId="0" applyFont="1" applyFill="1" applyAlignment="1" applyProtection="1">
      <alignment horizontal="center" vertical="center"/>
    </xf>
    <xf numFmtId="0" fontId="11" fillId="14" borderId="0" xfId="0" applyFont="1" applyFill="1" applyBorder="1" applyAlignment="1" applyProtection="1">
      <alignment horizontal="center" vertical="center"/>
      <protection hidden="1"/>
    </xf>
    <xf numFmtId="0" fontId="11" fillId="0" borderId="0" xfId="0" applyFont="1" applyFill="1" applyBorder="1" applyAlignment="1" applyProtection="1">
      <alignment horizontal="left" vertical="center"/>
      <protection locked="0"/>
    </xf>
    <xf numFmtId="0" fontId="47" fillId="27" borderId="19" xfId="0" applyFont="1" applyFill="1" applyBorder="1" applyAlignment="1" applyProtection="1">
      <alignment vertical="center" wrapText="1"/>
      <protection locked="0"/>
    </xf>
    <xf numFmtId="0" fontId="40" fillId="14" borderId="0" xfId="0" applyFont="1" applyFill="1" applyBorder="1" applyAlignment="1" applyProtection="1">
      <alignment vertical="center" wrapText="1"/>
      <protection hidden="1"/>
    </xf>
    <xf numFmtId="0" fontId="47" fillId="27" borderId="19" xfId="0" applyFont="1" applyFill="1" applyBorder="1" applyAlignment="1" applyProtection="1">
      <alignment vertical="top" wrapText="1"/>
      <protection locked="0"/>
    </xf>
    <xf numFmtId="0" fontId="40" fillId="14" borderId="0" xfId="0" applyFont="1" applyFill="1" applyBorder="1" applyAlignment="1" applyProtection="1">
      <alignment vertical="center" wrapText="1"/>
      <protection locked="0"/>
    </xf>
    <xf numFmtId="0" fontId="41" fillId="15" borderId="0" xfId="0" applyFont="1" applyFill="1" applyProtection="1">
      <protection hidden="1"/>
    </xf>
    <xf numFmtId="0" fontId="41" fillId="15" borderId="0" xfId="0" applyFont="1" applyFill="1" applyBorder="1" applyProtection="1">
      <protection hidden="1"/>
    </xf>
    <xf numFmtId="0" fontId="41" fillId="0" borderId="0" xfId="0" applyFont="1" applyBorder="1" applyProtection="1">
      <protection locked="0"/>
    </xf>
    <xf numFmtId="0" fontId="41" fillId="0" borderId="0" xfId="0" applyFont="1" applyAlignment="1" applyProtection="1">
      <alignment vertical="center"/>
      <protection locked="0"/>
    </xf>
    <xf numFmtId="0" fontId="48" fillId="0" borderId="0" xfId="0" applyFont="1" applyAlignment="1" applyProtection="1">
      <alignment horizontal="center" vertical="center"/>
      <protection locked="0"/>
    </xf>
    <xf numFmtId="0" fontId="41" fillId="0" borderId="0" xfId="0" applyFont="1" applyFill="1" applyAlignment="1" applyProtection="1">
      <alignment vertical="center"/>
      <protection locked="0"/>
    </xf>
    <xf numFmtId="0" fontId="41" fillId="15" borderId="0" xfId="0" applyFont="1" applyFill="1" applyAlignment="1" applyProtection="1">
      <alignment vertical="center"/>
      <protection hidden="1"/>
    </xf>
    <xf numFmtId="0" fontId="49" fillId="15" borderId="0" xfId="0" applyFont="1" applyFill="1" applyAlignment="1" applyProtection="1">
      <alignment horizontal="center" vertical="center" shrinkToFit="1"/>
    </xf>
    <xf numFmtId="0" fontId="40" fillId="0" borderId="0" xfId="0" applyFont="1" applyAlignment="1" applyProtection="1">
      <alignment horizontal="center" vertical="center"/>
      <protection hidden="1"/>
    </xf>
    <xf numFmtId="1" fontId="41" fillId="0" borderId="0" xfId="0" applyNumberFormat="1" applyFont="1" applyAlignment="1" applyProtection="1">
      <alignment vertical="center"/>
      <protection hidden="1"/>
    </xf>
    <xf numFmtId="0" fontId="41" fillId="0" borderId="0" xfId="0" applyFont="1" applyAlignment="1" applyProtection="1">
      <alignment vertical="center"/>
      <protection hidden="1"/>
    </xf>
    <xf numFmtId="0" fontId="48" fillId="15" borderId="0" xfId="0" applyFont="1" applyFill="1" applyAlignment="1" applyProtection="1">
      <alignment horizontal="center" vertical="center"/>
      <protection hidden="1"/>
    </xf>
    <xf numFmtId="0" fontId="50" fillId="19" borderId="55" xfId="0" applyFont="1" applyFill="1" applyBorder="1" applyAlignment="1" applyProtection="1">
      <alignment horizontal="center" vertical="center"/>
      <protection hidden="1"/>
    </xf>
    <xf numFmtId="0" fontId="50" fillId="19" borderId="56" xfId="0" applyFont="1" applyFill="1" applyBorder="1" applyAlignment="1" applyProtection="1">
      <alignment horizontal="center" vertical="center" wrapText="1"/>
      <protection hidden="1"/>
    </xf>
    <xf numFmtId="0" fontId="50" fillId="19" borderId="57" xfId="0" applyFont="1" applyFill="1" applyBorder="1" applyAlignment="1" applyProtection="1">
      <alignment horizontal="center" vertical="center" wrapText="1"/>
      <protection hidden="1"/>
    </xf>
    <xf numFmtId="0" fontId="41" fillId="0" borderId="58" xfId="0" applyFont="1" applyFill="1" applyBorder="1" applyAlignment="1" applyProtection="1">
      <alignment horizontal="center" vertical="center" shrinkToFit="1"/>
      <protection hidden="1"/>
    </xf>
    <xf numFmtId="0" fontId="29" fillId="0" borderId="1" xfId="37" applyFill="1" applyBorder="1" applyProtection="1">
      <protection locked="0"/>
    </xf>
    <xf numFmtId="0" fontId="29" fillId="0" borderId="1" xfId="37" applyBorder="1" applyAlignment="1" applyProtection="1">
      <alignment horizontal="center" vertical="center"/>
      <protection locked="0"/>
    </xf>
    <xf numFmtId="0" fontId="29" fillId="0" borderId="1" xfId="37" applyFill="1" applyBorder="1" applyAlignment="1" applyProtection="1">
      <alignment horizontal="center"/>
      <protection locked="0"/>
    </xf>
    <xf numFmtId="0" fontId="0" fillId="22" borderId="1" xfId="0" applyFont="1" applyFill="1" applyBorder="1" applyAlignment="1" applyProtection="1">
      <alignment horizontal="center"/>
      <protection locked="0"/>
    </xf>
    <xf numFmtId="0" fontId="41" fillId="0" borderId="59" xfId="0" applyFont="1" applyFill="1" applyBorder="1" applyAlignment="1" applyProtection="1">
      <alignment horizontal="center" vertical="center" shrinkToFit="1"/>
      <protection hidden="1"/>
    </xf>
    <xf numFmtId="0" fontId="0" fillId="22" borderId="1" xfId="0" applyFill="1" applyBorder="1" applyAlignment="1" applyProtection="1">
      <alignment horizontal="center"/>
      <protection locked="0"/>
    </xf>
    <xf numFmtId="0" fontId="0" fillId="0" borderId="1" xfId="0" applyFill="1" applyBorder="1" applyAlignment="1" applyProtection="1">
      <alignment horizontal="left" vertical="center" wrapText="1"/>
      <protection locked="0"/>
    </xf>
    <xf numFmtId="0" fontId="51" fillId="0" borderId="1" xfId="0" applyFont="1" applyFill="1" applyBorder="1" applyAlignment="1" applyProtection="1">
      <alignment horizontal="center" vertical="center" wrapText="1"/>
      <protection locked="0"/>
    </xf>
    <xf numFmtId="0" fontId="51" fillId="0" borderId="1" xfId="0" applyFont="1" applyFill="1" applyBorder="1" applyAlignment="1" applyProtection="1">
      <alignment vertical="center" wrapText="1"/>
      <protection locked="0"/>
    </xf>
    <xf numFmtId="0" fontId="13" fillId="0" borderId="19" xfId="0" applyFont="1" applyBorder="1" applyAlignment="1" applyProtection="1">
      <alignment vertical="center"/>
      <protection locked="0"/>
    </xf>
    <xf numFmtId="0" fontId="13" fillId="0" borderId="1" xfId="0" applyNumberFormat="1" applyFont="1" applyBorder="1" applyAlignment="1" applyProtection="1">
      <alignment horizontal="center" vertical="center"/>
      <protection locked="0"/>
    </xf>
    <xf numFmtId="0" fontId="13" fillId="0" borderId="1" xfId="0" applyFont="1" applyBorder="1" applyAlignment="1" applyProtection="1">
      <alignment horizontal="center" vertical="center"/>
      <protection locked="0"/>
    </xf>
    <xf numFmtId="0" fontId="41" fillId="15" borderId="0" xfId="0" applyFont="1" applyFill="1" applyAlignment="1" applyProtection="1">
      <alignment vertical="center"/>
      <protection locked="0"/>
    </xf>
    <xf numFmtId="0" fontId="52" fillId="22" borderId="0" xfId="0" applyFont="1" applyFill="1"/>
    <xf numFmtId="0" fontId="53" fillId="22" borderId="0" xfId="0" applyFont="1" applyFill="1"/>
    <xf numFmtId="0" fontId="20" fillId="22" borderId="0" xfId="0" applyFont="1" applyFill="1"/>
    <xf numFmtId="0" fontId="54" fillId="28" borderId="60" xfId="0" applyFont="1" applyFill="1" applyBorder="1" applyAlignment="1">
      <alignment horizontal="center"/>
    </xf>
    <xf numFmtId="0" fontId="54" fillId="28" borderId="61" xfId="0" applyFont="1" applyFill="1" applyBorder="1" applyAlignment="1">
      <alignment horizontal="center"/>
    </xf>
    <xf numFmtId="0" fontId="54" fillId="28" borderId="62" xfId="0" applyFont="1" applyFill="1" applyBorder="1" applyAlignment="1">
      <alignment horizontal="center"/>
    </xf>
    <xf numFmtId="0" fontId="55" fillId="15" borderId="0" xfId="0" applyFont="1" applyFill="1" applyBorder="1" applyAlignment="1">
      <alignment horizontal="center" vertical="center" wrapText="1"/>
    </xf>
    <xf numFmtId="0" fontId="52" fillId="21" borderId="63" xfId="0" applyFont="1" applyFill="1" applyBorder="1" applyAlignment="1">
      <alignment horizontal="left"/>
    </xf>
    <xf numFmtId="0" fontId="52" fillId="21" borderId="0" xfId="0" applyFont="1" applyFill="1" applyBorder="1"/>
    <xf numFmtId="0" fontId="52" fillId="21" borderId="64" xfId="0" applyFont="1" applyFill="1" applyBorder="1"/>
    <xf numFmtId="0" fontId="53" fillId="21" borderId="63" xfId="0" applyFont="1" applyFill="1" applyBorder="1" applyAlignment="1">
      <alignment horizontal="left" indent="1"/>
    </xf>
    <xf numFmtId="0" fontId="53" fillId="21" borderId="65" xfId="0" applyFont="1" applyFill="1" applyBorder="1" applyProtection="1">
      <protection hidden="1"/>
    </xf>
    <xf numFmtId="0" fontId="52" fillId="21" borderId="0" xfId="0" applyFont="1" applyFill="1" applyBorder="1" applyProtection="1">
      <protection hidden="1"/>
    </xf>
    <xf numFmtId="0" fontId="52" fillId="21" borderId="65" xfId="0" applyFont="1" applyFill="1" applyBorder="1" applyProtection="1">
      <protection locked="0"/>
    </xf>
    <xf numFmtId="0" fontId="53" fillId="22" borderId="63" xfId="0" applyFont="1" applyFill="1" applyBorder="1" applyAlignment="1">
      <alignment vertical="center" wrapText="1"/>
    </xf>
    <xf numFmtId="0" fontId="52" fillId="22" borderId="0" xfId="0" applyFont="1" applyFill="1" applyBorder="1"/>
    <xf numFmtId="0" fontId="52" fillId="21" borderId="65" xfId="0" applyFont="1" applyFill="1" applyBorder="1" applyAlignment="1" applyProtection="1">
      <alignment horizontal="left"/>
      <protection locked="0"/>
    </xf>
    <xf numFmtId="1" fontId="52" fillId="21" borderId="65" xfId="0" applyNumberFormat="1" applyFont="1" applyFill="1" applyBorder="1" applyAlignment="1" applyProtection="1">
      <alignment horizontal="left"/>
      <protection locked="0"/>
    </xf>
    <xf numFmtId="49" fontId="52" fillId="21" borderId="65" xfId="0" applyNumberFormat="1" applyFont="1" applyFill="1" applyBorder="1" applyAlignment="1" applyProtection="1">
      <alignment horizontal="left"/>
      <protection locked="0"/>
    </xf>
    <xf numFmtId="0" fontId="56" fillId="21" borderId="66" xfId="0" applyFont="1" applyFill="1" applyBorder="1" applyAlignment="1">
      <alignment horizontal="left" indent="1"/>
    </xf>
    <xf numFmtId="0" fontId="52" fillId="5" borderId="0" xfId="0" applyFont="1" applyFill="1" applyBorder="1" applyAlignment="1" applyProtection="1">
      <alignment horizontal="center" vertical="center"/>
      <protection locked="0"/>
    </xf>
    <xf numFmtId="0" fontId="52" fillId="22" borderId="0" xfId="0" applyFont="1" applyFill="1" applyProtection="1">
      <protection locked="0"/>
    </xf>
    <xf numFmtId="0" fontId="57" fillId="0" borderId="0" xfId="0" applyFont="1"/>
    <xf numFmtId="0" fontId="57" fillId="0" borderId="0" xfId="0" applyFont="1" applyAlignment="1">
      <alignment horizontal="center" vertical="center"/>
    </xf>
    <xf numFmtId="0" fontId="57" fillId="0" borderId="0" xfId="0" applyFont="1" applyAlignment="1">
      <alignment horizontal="center"/>
    </xf>
    <xf numFmtId="0" fontId="15" fillId="8" borderId="0" xfId="0" applyFont="1" applyFill="1" applyAlignment="1" applyProtection="1">
      <alignment horizontal="center" vertical="center" wrapText="1"/>
      <protection hidden="1"/>
    </xf>
    <xf numFmtId="0" fontId="57" fillId="0" borderId="0" xfId="0" applyFont="1" applyAlignment="1" applyProtection="1">
      <alignment horizontal="center" vertical="center"/>
      <protection locked="0"/>
    </xf>
    <xf numFmtId="1" fontId="57" fillId="0" borderId="0" xfId="0" applyNumberFormat="1" applyFont="1" applyAlignment="1" applyProtection="1">
      <alignment horizontal="center"/>
      <protection locked="0"/>
    </xf>
    <xf numFmtId="0" fontId="15" fillId="8" borderId="49" xfId="0" applyFont="1" applyFill="1" applyBorder="1" applyAlignment="1" applyProtection="1">
      <alignment horizontal="center" vertical="center" shrinkToFit="1"/>
      <protection hidden="1"/>
    </xf>
    <xf numFmtId="0" fontId="57" fillId="25" borderId="1" xfId="0" applyFont="1" applyFill="1" applyBorder="1" applyAlignment="1" applyProtection="1">
      <alignment horizontal="center" vertical="center" wrapText="1"/>
      <protection locked="0"/>
    </xf>
    <xf numFmtId="0" fontId="57" fillId="25" borderId="44" xfId="0" applyFont="1" applyFill="1" applyBorder="1" applyAlignment="1" applyProtection="1">
      <alignment horizontal="center" vertical="center" wrapText="1"/>
      <protection locked="0"/>
    </xf>
    <xf numFmtId="0" fontId="57" fillId="25" borderId="1" xfId="0" applyNumberFormat="1" applyFont="1" applyFill="1" applyBorder="1" applyAlignment="1" applyProtection="1">
      <alignment horizontal="center" vertical="center" wrapText="1"/>
      <protection locked="0"/>
    </xf>
    <xf numFmtId="0" fontId="57" fillId="25" borderId="37" xfId="0" applyNumberFormat="1" applyFont="1" applyFill="1" applyBorder="1" applyAlignment="1" applyProtection="1">
      <alignment horizontal="center" vertical="center" wrapText="1"/>
      <protection locked="0"/>
    </xf>
    <xf numFmtId="0" fontId="57" fillId="25" borderId="37" xfId="0" applyFont="1" applyFill="1" applyBorder="1" applyAlignment="1" applyProtection="1">
      <alignment horizontal="center" vertical="center" wrapText="1"/>
      <protection locked="0"/>
    </xf>
    <xf numFmtId="0" fontId="58" fillId="29" borderId="19" xfId="0" applyFont="1" applyFill="1" applyBorder="1" applyAlignment="1">
      <alignment horizontal="left" wrapText="1"/>
    </xf>
    <xf numFmtId="0" fontId="58" fillId="29" borderId="20" xfId="0" applyFont="1" applyFill="1" applyBorder="1" applyAlignment="1">
      <alignment horizontal="left" wrapText="1"/>
    </xf>
    <xf numFmtId="0" fontId="57" fillId="25" borderId="42" xfId="0" applyFont="1" applyFill="1" applyBorder="1" applyAlignment="1" applyProtection="1">
      <alignment horizontal="center" vertical="center" wrapText="1"/>
      <protection locked="0"/>
    </xf>
    <xf numFmtId="0" fontId="57" fillId="25" borderId="28" xfId="0" applyNumberFormat="1" applyFont="1" applyFill="1" applyBorder="1" applyAlignment="1" applyProtection="1">
      <alignment horizontal="center" vertical="center" wrapText="1"/>
      <protection locked="0"/>
    </xf>
    <xf numFmtId="0" fontId="57" fillId="25" borderId="28" xfId="0" applyFont="1" applyFill="1" applyBorder="1" applyAlignment="1" applyProtection="1">
      <alignment horizontal="center" vertical="center" wrapText="1"/>
      <protection locked="0"/>
    </xf>
    <xf numFmtId="0" fontId="57" fillId="29" borderId="1" xfId="0" applyNumberFormat="1" applyFont="1" applyFill="1" applyBorder="1" applyAlignment="1" applyProtection="1">
      <alignment horizontal="center" vertical="center" shrinkToFit="1"/>
      <protection locked="0"/>
    </xf>
    <xf numFmtId="0" fontId="57" fillId="29" borderId="1" xfId="0" applyFont="1" applyFill="1" applyBorder="1" applyAlignment="1" applyProtection="1">
      <alignment horizontal="center" vertical="center" shrinkToFit="1"/>
      <protection locked="0"/>
    </xf>
    <xf numFmtId="180" fontId="57" fillId="29" borderId="1" xfId="0" applyNumberFormat="1" applyFont="1" applyFill="1" applyBorder="1" applyAlignment="1" applyProtection="1">
      <alignment horizontal="center" vertical="center" shrinkToFit="1"/>
      <protection locked="0"/>
    </xf>
    <xf numFmtId="0" fontId="57" fillId="0" borderId="1" xfId="0" applyFont="1" applyBorder="1" applyAlignment="1" applyProtection="1">
      <alignment horizontal="center" vertical="center" wrapText="1"/>
      <protection hidden="1"/>
    </xf>
    <xf numFmtId="0" fontId="0" fillId="0" borderId="1" xfId="0" applyFill="1" applyBorder="1"/>
    <xf numFmtId="0" fontId="59" fillId="0" borderId="1" xfId="0" applyFont="1" applyBorder="1" applyAlignment="1" applyProtection="1">
      <alignment horizontal="center" vertical="center"/>
      <protection locked="0"/>
    </xf>
    <xf numFmtId="0" fontId="59" fillId="0" borderId="1" xfId="0" applyFont="1" applyBorder="1" applyAlignment="1" applyProtection="1">
      <alignment horizontal="center"/>
      <protection locked="0"/>
    </xf>
    <xf numFmtId="0" fontId="0" fillId="0" borderId="1" xfId="0" applyBorder="1" applyAlignment="1" applyProtection="1">
      <alignment horizontal="center"/>
      <protection hidden="1"/>
    </xf>
    <xf numFmtId="0" fontId="60" fillId="0" borderId="1" xfId="0" applyFont="1" applyBorder="1" applyAlignment="1" applyProtection="1">
      <alignment horizontal="center" vertical="center"/>
      <protection locked="0"/>
    </xf>
    <xf numFmtId="0" fontId="0" fillId="0" borderId="1"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protection hidden="1"/>
    </xf>
    <xf numFmtId="0" fontId="57" fillId="0" borderId="0" xfId="0" applyFont="1" applyProtection="1">
      <protection locked="0"/>
    </xf>
    <xf numFmtId="0" fontId="57" fillId="0" borderId="0" xfId="0" applyFont="1" applyAlignment="1" applyProtection="1">
      <alignment horizontal="left" vertical="center"/>
      <protection locked="0"/>
    </xf>
    <xf numFmtId="0" fontId="39" fillId="0" borderId="1" xfId="0" applyFont="1" applyFill="1" applyBorder="1" applyAlignment="1" applyProtection="1">
      <alignment horizontal="center" vertical="center"/>
      <protection locked="0"/>
    </xf>
    <xf numFmtId="0" fontId="57" fillId="0" borderId="1" xfId="0" applyFont="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58" fillId="29" borderId="21" xfId="0" applyFont="1" applyFill="1" applyBorder="1" applyAlignment="1">
      <alignment horizontal="left" wrapText="1"/>
    </xf>
    <xf numFmtId="0" fontId="57" fillId="29" borderId="1" xfId="0" applyFont="1" applyFill="1" applyBorder="1" applyAlignment="1">
      <alignment horizontal="center" vertical="center" wrapText="1"/>
    </xf>
    <xf numFmtId="0" fontId="57" fillId="5" borderId="1" xfId="0" applyFont="1" applyFill="1" applyBorder="1" applyAlignment="1" applyProtection="1">
      <alignment horizontal="center"/>
      <protection hidden="1"/>
    </xf>
    <xf numFmtId="0" fontId="57" fillId="0" borderId="0" xfId="0" applyFont="1" applyAlignment="1" applyProtection="1">
      <alignment horizontal="center"/>
      <protection locked="0"/>
    </xf>
    <xf numFmtId="0" fontId="57" fillId="29" borderId="1" xfId="0" applyFont="1" applyFill="1" applyBorder="1" applyAlignment="1">
      <alignment horizontal="center"/>
    </xf>
    <xf numFmtId="9" fontId="57" fillId="5" borderId="1" xfId="6" applyFont="1" applyFill="1" applyBorder="1" applyAlignment="1" applyProtection="1">
      <alignment horizontal="center"/>
      <protection hidden="1"/>
    </xf>
    <xf numFmtId="0" fontId="0" fillId="23" borderId="0" xfId="0" applyFill="1"/>
    <xf numFmtId="0" fontId="0" fillId="20" borderId="0" xfId="0" applyFill="1"/>
    <xf numFmtId="0" fontId="0" fillId="9" borderId="0" xfId="0" applyFill="1"/>
    <xf numFmtId="0" fontId="0" fillId="30" borderId="0" xfId="0" applyFont="1" applyFill="1" applyAlignment="1">
      <alignment horizontal="center"/>
    </xf>
    <xf numFmtId="0" fontId="0" fillId="0" borderId="0" xfId="0" applyFill="1"/>
    <xf numFmtId="0" fontId="0" fillId="5" borderId="0" xfId="0" applyFill="1"/>
    <xf numFmtId="0" fontId="61" fillId="8" borderId="10" xfId="0" applyFont="1" applyFill="1" applyBorder="1" applyAlignment="1"/>
    <xf numFmtId="0" fontId="15" fillId="21" borderId="4" xfId="0" applyFont="1" applyFill="1" applyBorder="1" applyAlignment="1">
      <alignment horizontal="center" vertical="center"/>
    </xf>
    <xf numFmtId="0" fontId="15" fillId="21" borderId="5" xfId="0" applyFont="1" applyFill="1" applyBorder="1" applyAlignment="1">
      <alignment horizontal="center" vertical="center"/>
    </xf>
    <xf numFmtId="0" fontId="36" fillId="21" borderId="7" xfId="0" applyFont="1" applyFill="1" applyBorder="1" applyAlignment="1">
      <alignment horizontal="center" vertical="center" wrapText="1"/>
    </xf>
    <xf numFmtId="0" fontId="36" fillId="21" borderId="0" xfId="0" applyFont="1" applyFill="1" applyBorder="1" applyAlignment="1">
      <alignment horizontal="center" vertical="center" wrapText="1"/>
    </xf>
    <xf numFmtId="0" fontId="36" fillId="21" borderId="9" xfId="0" applyFont="1" applyFill="1" applyBorder="1" applyAlignment="1">
      <alignment horizontal="center" vertical="center" wrapText="1"/>
    </xf>
    <xf numFmtId="0" fontId="36" fillId="21" borderId="10" xfId="0" applyFont="1" applyFill="1" applyBorder="1" applyAlignment="1">
      <alignment horizontal="center" vertical="center" wrapText="1"/>
    </xf>
    <xf numFmtId="0" fontId="62" fillId="5" borderId="2" xfId="0" applyFont="1" applyFill="1" applyBorder="1" applyAlignment="1"/>
    <xf numFmtId="0" fontId="62" fillId="5" borderId="3" xfId="0" applyFont="1" applyFill="1" applyBorder="1" applyAlignment="1"/>
    <xf numFmtId="0" fontId="0" fillId="29" borderId="0" xfId="0" applyFill="1"/>
    <xf numFmtId="0" fontId="15" fillId="21" borderId="6" xfId="0" applyFont="1" applyFill="1" applyBorder="1" applyAlignment="1">
      <alignment horizontal="center" vertical="center"/>
    </xf>
    <xf numFmtId="0" fontId="36" fillId="21" borderId="8" xfId="0" applyFont="1" applyFill="1" applyBorder="1" applyAlignment="1">
      <alignment horizontal="center" vertical="center" wrapText="1"/>
    </xf>
    <xf numFmtId="0" fontId="36" fillId="21" borderId="11" xfId="0" applyFont="1" applyFill="1" applyBorder="1" applyAlignment="1">
      <alignment horizontal="center" vertical="center" wrapText="1"/>
    </xf>
    <xf numFmtId="0" fontId="62" fillId="5" borderId="22" xfId="0" applyFont="1" applyFill="1" applyBorder="1" applyAlignment="1"/>
    <xf numFmtId="49" fontId="52" fillId="21" borderId="65" xfId="0" applyNumberFormat="1" applyFont="1" applyFill="1" applyBorder="1" applyAlignment="1" applyProtection="1" quotePrefix="1">
      <alignment horizontal="left"/>
      <protection locked="0"/>
    </xf>
    <xf numFmtId="0" fontId="29" fillId="0" borderId="1" xfId="37" applyFill="1" applyBorder="1" applyAlignment="1" applyProtection="1" quotePrefix="1">
      <alignment horizontal="center"/>
      <protection locked="0"/>
    </xf>
    <xf numFmtId="0" fontId="12" fillId="13" borderId="16" xfId="0" applyFont="1" applyFill="1" applyBorder="1" applyAlignment="1" applyProtection="1" quotePrefix="1">
      <alignment horizontal="center" vertical="center" wrapText="1"/>
      <protection hidden="1"/>
    </xf>
  </cellXfs>
  <cellStyles count="51">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60% - Accent4" xfId="8" builtinId="44"/>
    <cellStyle name="Followed Hyperlink" xfId="9" builtinId="9"/>
    <cellStyle name="Check Cell" xfId="10" builtinId="23"/>
    <cellStyle name="Heading 2" xfId="11" builtinId="17"/>
    <cellStyle name="Note" xfId="12" builtinId="10"/>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Heading 4" xfId="20" builtinId="19"/>
    <cellStyle name="Input" xfId="21" builtinId="20"/>
    <cellStyle name="60% - Accent3" xfId="22" builtinId="40"/>
    <cellStyle name="Good" xfId="23" builtinId="26"/>
    <cellStyle name="Output" xfId="24" builtinId="21"/>
    <cellStyle name="20% - Accent1" xfId="25" builtinId="30"/>
    <cellStyle name="Calculation" xfId="26" builtinId="22"/>
    <cellStyle name="Linked Cell" xfId="27" builtinId="24"/>
    <cellStyle name="Total" xfId="28" builtinId="25"/>
    <cellStyle name="Bad" xfId="29" builtinId="27"/>
    <cellStyle name="Neutral" xfId="30" builtinId="28"/>
    <cellStyle name="Accent1" xfId="31" builtinId="29"/>
    <cellStyle name="Normal 2" xfId="32"/>
    <cellStyle name="20% - Accent5" xfId="33" builtinId="46"/>
    <cellStyle name="60% - Accent1" xfId="34" builtinId="32"/>
    <cellStyle name="Accent2" xfId="35" builtinId="33"/>
    <cellStyle name="20% - Accent2" xfId="36" builtinId="34"/>
    <cellStyle name="Normal 3" xfId="37"/>
    <cellStyle name="20% - Accent6" xfId="38" builtinId="50"/>
    <cellStyle name="60% - Accent2" xfId="39" builtinId="36"/>
    <cellStyle name="Accent3" xfId="40" builtinId="37"/>
    <cellStyle name="20% - Accent3" xfId="41" builtinId="38"/>
    <cellStyle name="Accent4" xfId="42" builtinId="41"/>
    <cellStyle name="20% - Accent4" xfId="43" builtinId="42"/>
    <cellStyle name="40% - Accent4" xfId="44" builtinId="43"/>
    <cellStyle name="Accent5" xfId="45" builtinId="45"/>
    <cellStyle name="40% - Accent5" xfId="46" builtinId="47"/>
    <cellStyle name="60% - Accent5" xfId="47" builtinId="48"/>
    <cellStyle name="Accent6" xfId="48" builtinId="49"/>
    <cellStyle name="40% - Accent6" xfId="49" builtinId="51"/>
    <cellStyle name="60% - Accent6" xfId="50" builtinId="52"/>
  </cellStyles>
  <dxfs count="8">
    <dxf>
      <font>
        <color rgb="FF9C0006"/>
      </font>
      <fill>
        <patternFill patternType="solid">
          <bgColor rgb="FFFFC7CE"/>
        </patternFill>
      </fill>
    </dxf>
    <dxf>
      <font>
        <color rgb="FF9C0006"/>
      </font>
      <fill>
        <patternFill patternType="solid">
          <bgColor rgb="FFFFC7CE"/>
        </patternFill>
      </fill>
    </dxf>
    <dxf>
      <font>
        <color theme="0"/>
      </font>
    </dxf>
    <dxf>
      <fill>
        <patternFill patternType="solid">
          <bgColor theme="0"/>
        </patternFill>
      </fill>
    </dxf>
    <dxf>
      <fill>
        <patternFill patternType="solid">
          <bgColor theme="5" tint="0.799981688894314"/>
        </patternFill>
      </fill>
    </dxf>
    <dxf>
      <font>
        <color theme="0"/>
      </font>
      <fill>
        <patternFill patternType="solid">
          <bgColor theme="0"/>
        </patternFill>
      </fill>
    </dxf>
    <dxf>
      <font>
        <color theme="0" tint="-0.14996795556505"/>
      </font>
      <fill>
        <patternFill patternType="solid">
          <bgColor theme="0" tint="-0.14996795556505"/>
        </patternFill>
      </fill>
    </dxf>
    <dxf>
      <font>
        <color theme="0"/>
      </font>
      <fill>
        <patternFill patternType="none"/>
      </fill>
    </dxf>
  </dxfs>
  <tableStyles count="0" defaultTableStyle="TableStyleMedium9" defaultPivotStyle="PivotStyleLight16"/>
  <colors>
    <mruColors>
      <color rgb="00FF3300"/>
      <color rgb="00000066"/>
      <color rgb="00FFCC00"/>
      <color rgb="0099FF99"/>
      <color rgb="00FFFF00"/>
      <color rgb="000000FF"/>
      <color rgb="0000FFFF"/>
      <color rgb="00FF00FF"/>
      <color rgb="0000FF00"/>
      <color rgb="00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7" Type="http://schemas.microsoft.com/office/2006/relationships/vbaProject" Target="vbaProject.bin"/><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customXml" Target="../customXml/item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wdp"/><Relationship Id="rId2" Type="http://schemas.openxmlformats.org/officeDocument/2006/relationships/image" Target="../media/image4.jpe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4" Type="http://schemas.openxmlformats.org/officeDocument/2006/relationships/image" Target="../media/image9.jpeg"/><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85726</xdr:colOff>
      <xdr:row>5</xdr:row>
      <xdr:rowOff>66675</xdr:rowOff>
    </xdr:from>
    <xdr:to>
      <xdr:col>8</xdr:col>
      <xdr:colOff>266700</xdr:colOff>
      <xdr:row>7</xdr:row>
      <xdr:rowOff>39675</xdr:rowOff>
    </xdr:to>
    <xdr:pic>
      <xdr:nvPicPr>
        <xdr:cNvPr id="9" name="Picture 8" descr="sec warn1.jpg"/>
        <xdr:cNvPicPr>
          <a:picLocks noChangeAspect="1"/>
        </xdr:cNvPicPr>
      </xdr:nvPicPr>
      <xdr:blipFill>
        <a:blip r:embed="rId1" cstate="print"/>
        <a:stretch>
          <a:fillRect/>
        </a:stretch>
      </xdr:blipFill>
      <xdr:spPr>
        <a:xfrm>
          <a:off x="552450" y="1209675"/>
          <a:ext cx="4981575" cy="372745"/>
        </a:xfrm>
        <a:prstGeom prst="rect">
          <a:avLst/>
        </a:prstGeom>
      </xdr:spPr>
    </xdr:pic>
    <xdr:clientData/>
  </xdr:twoCellAnchor>
  <xdr:twoCellAnchor editAs="oneCell">
    <xdr:from>
      <xdr:col>1</xdr:col>
      <xdr:colOff>114300</xdr:colOff>
      <xdr:row>7</xdr:row>
      <xdr:rowOff>123825</xdr:rowOff>
    </xdr:from>
    <xdr:to>
      <xdr:col>8</xdr:col>
      <xdr:colOff>171450</xdr:colOff>
      <xdr:row>28</xdr:row>
      <xdr:rowOff>104775</xdr:rowOff>
    </xdr:to>
    <xdr:pic>
      <xdr:nvPicPr>
        <xdr:cNvPr id="10" name="Picture 9" descr="sec warn].jpg"/>
        <xdr:cNvPicPr>
          <a:picLocks noChangeAspect="1"/>
        </xdr:cNvPicPr>
      </xdr:nvPicPr>
      <xdr:blipFill>
        <a:blip r:embed="rId2" cstate="print"/>
        <a:stretch>
          <a:fillRect/>
        </a:stretch>
      </xdr:blipFill>
      <xdr:spPr>
        <a:xfrm>
          <a:off x="581025" y="1666875"/>
          <a:ext cx="4857750" cy="4181475"/>
        </a:xfrm>
        <a:prstGeom prst="rect">
          <a:avLst/>
        </a:prstGeom>
      </xdr:spPr>
    </xdr:pic>
    <xdr:clientData/>
  </xdr:twoCellAnchor>
  <xdr:twoCellAnchor>
    <xdr:from>
      <xdr:col>0</xdr:col>
      <xdr:colOff>0</xdr:colOff>
      <xdr:row>0</xdr:row>
      <xdr:rowOff>0</xdr:rowOff>
    </xdr:from>
    <xdr:to>
      <xdr:col>0</xdr:col>
      <xdr:colOff>457200</xdr:colOff>
      <xdr:row>6</xdr:row>
      <xdr:rowOff>133350</xdr:rowOff>
    </xdr:to>
    <xdr:sp>
      <xdr:nvSpPr>
        <xdr:cNvPr id="11" name="Up Arrow 10"/>
        <xdr:cNvSpPr/>
      </xdr:nvSpPr>
      <xdr:spPr>
        <a:xfrm>
          <a:off x="0" y="0"/>
          <a:ext cx="457200" cy="1476375"/>
        </a:xfrm>
        <a:prstGeom prst="upArrow">
          <a:avLst/>
        </a:prstGeom>
      </xdr:spPr>
      <xdr:style>
        <a:lnRef idx="3">
          <a:schemeClr val="lt1"/>
        </a:lnRef>
        <a:fillRef idx="1">
          <a:schemeClr val="dk1"/>
        </a:fillRef>
        <a:effectRef idx="1">
          <a:schemeClr val="dk1"/>
        </a:effectRef>
        <a:fontRef idx="minor">
          <a:schemeClr val="lt1"/>
        </a:fontRef>
      </xdr:style>
      <xdr:txBody>
        <a:bodyPr vertOverflow="clip" rtlCol="0" anchor="ctr"/>
        <a:lstStyle/>
        <a:p>
          <a:pPr algn="ctr"/>
          <a:r>
            <a:rPr lang="id-ID" sz="800"/>
            <a:t>klik Options</a:t>
          </a:r>
          <a:endParaRPr lang="id-ID" sz="800"/>
        </a:p>
      </xdr:txBody>
    </xdr:sp>
    <xdr:clientData/>
  </xdr:twoCellAnchor>
  <xdr:twoCellAnchor>
    <xdr:from>
      <xdr:col>2</xdr:col>
      <xdr:colOff>161925</xdr:colOff>
      <xdr:row>17</xdr:row>
      <xdr:rowOff>95250</xdr:rowOff>
    </xdr:from>
    <xdr:to>
      <xdr:col>7</xdr:col>
      <xdr:colOff>171450</xdr:colOff>
      <xdr:row>18</xdr:row>
      <xdr:rowOff>9525</xdr:rowOff>
    </xdr:to>
    <xdr:sp>
      <xdr:nvSpPr>
        <xdr:cNvPr id="12" name="Rounded Rectangle 11"/>
        <xdr:cNvSpPr/>
      </xdr:nvSpPr>
      <xdr:spPr>
        <a:xfrm>
          <a:off x="1314450" y="3638550"/>
          <a:ext cx="3438525" cy="114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361950</xdr:colOff>
      <xdr:row>0</xdr:row>
      <xdr:rowOff>1</xdr:rowOff>
    </xdr:from>
    <xdr:to>
      <xdr:col>10</xdr:col>
      <xdr:colOff>295274</xdr:colOff>
      <xdr:row>21</xdr:row>
      <xdr:rowOff>200024</xdr:rowOff>
    </xdr:to>
    <xdr:sp>
      <xdr:nvSpPr>
        <xdr:cNvPr id="3" name="Rectangle 2"/>
        <xdr:cNvSpPr/>
      </xdr:nvSpPr>
      <xdr:spPr>
        <a:xfrm>
          <a:off x="361950" y="0"/>
          <a:ext cx="6857365" cy="4399915"/>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rtlCol="0" anchor="ctr"/>
        <a:lstStyle/>
        <a:p>
          <a:pPr algn="ctr"/>
          <a:endParaRPr lang="id-ID" sz="1100"/>
        </a:p>
      </xdr:txBody>
    </xdr:sp>
    <xdr:clientData/>
  </xdr:twoCellAnchor>
  <xdr:twoCellAnchor>
    <xdr:from>
      <xdr:col>0</xdr:col>
      <xdr:colOff>400050</xdr:colOff>
      <xdr:row>0</xdr:row>
      <xdr:rowOff>57150</xdr:rowOff>
    </xdr:from>
    <xdr:to>
      <xdr:col>10</xdr:col>
      <xdr:colOff>257175</xdr:colOff>
      <xdr:row>21</xdr:row>
      <xdr:rowOff>142875</xdr:rowOff>
    </xdr:to>
    <xdr:sp>
      <xdr:nvSpPr>
        <xdr:cNvPr id="5" name="Rounded Rectangle 4"/>
        <xdr:cNvSpPr/>
      </xdr:nvSpPr>
      <xdr:spPr>
        <a:xfrm>
          <a:off x="400050" y="57150"/>
          <a:ext cx="6781800" cy="428625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l"/>
          <a:endParaRPr lang="id-ID" sz="1100"/>
        </a:p>
        <a:p>
          <a:pPr algn="l"/>
          <a:endParaRPr lang="id-ID" sz="1100"/>
        </a:p>
        <a:p>
          <a:pPr algn="l"/>
          <a:endParaRPr lang="id-ID" sz="1100"/>
        </a:p>
        <a:p>
          <a:pPr algn="l"/>
          <a:endParaRPr lang="id-ID" sz="1400"/>
        </a:p>
        <a:p>
          <a:pPr algn="l"/>
          <a:endParaRPr lang="id-ID" sz="1400"/>
        </a:p>
        <a:p>
          <a:pPr algn="l"/>
          <a:r>
            <a:rPr lang="id-ID" sz="1400"/>
            <a:t>Petu</a:t>
          </a:r>
          <a:r>
            <a:rPr lang="id-ID" sz="1400" baseline="0"/>
            <a:t>njuk Pemakaian :</a:t>
          </a:r>
          <a:endParaRPr lang="id-ID" sz="1400" baseline="0"/>
        </a:p>
        <a:p>
          <a:pPr algn="l"/>
          <a:r>
            <a:rPr lang="id-ID" sz="1400" baseline="0"/>
            <a:t>1.  Isikan Data Induk dan Referensi lainnya di sheet "RefGuru" ,</a:t>
          </a:r>
          <a:endParaRPr lang="id-ID" sz="1400" baseline="0"/>
        </a:p>
        <a:p>
          <a:pPr algn="l"/>
          <a:r>
            <a:rPr lang="id-ID" sz="1400" baseline="0"/>
            <a:t>2.  Isikan Data Peserta Didik  secara lengkapa di sheet "PESERTA DIDIK"</a:t>
          </a:r>
          <a:endParaRPr lang="id-ID" sz="1400" baseline="0"/>
        </a:p>
        <a:p>
          <a:pPr algn="l"/>
          <a:r>
            <a:rPr lang="id-ID" sz="1400" baseline="0"/>
            <a:t>3.  Isikan Referensi Deskripsi (KI-3, KI-4) sesuai KD yang di ajarkan</a:t>
          </a:r>
          <a:endParaRPr lang="id-ID" sz="1400" baseline="0"/>
        </a:p>
        <a:p>
          <a:pPr algn="l"/>
          <a:r>
            <a:rPr lang="id-ID" sz="1400" baseline="0"/>
            <a:t>4.  Copykan data siswa yang Bapak/Ibu ajar dari sheet "PESERTA DIDIK" </a:t>
          </a:r>
          <a:endParaRPr lang="id-ID" sz="1400" baseline="0"/>
        </a:p>
        <a:p>
          <a:pPr algn="l"/>
          <a:r>
            <a:rPr lang="id-ID" sz="1400" baseline="0"/>
            <a:t>5.  Berikan nilai Pengetahuan dan Keterampilan dengan angka</a:t>
          </a:r>
          <a:r>
            <a:rPr lang="id-ID" sz="1400" b="1" baseline="0"/>
            <a:t> (0-100)</a:t>
          </a:r>
          <a:endParaRPr lang="id-ID" sz="1400" b="1" baseline="0"/>
        </a:p>
        <a:p>
          <a:pPr algn="l"/>
          <a:r>
            <a:rPr lang="id-ID" sz="1400" baseline="0"/>
            <a:t>6.   </a:t>
          </a:r>
          <a:r>
            <a:rPr lang="id-ID" sz="1400" b="1" baseline="0"/>
            <a:t>Rubah Konversi Nilai</a:t>
          </a:r>
          <a:r>
            <a:rPr lang="id-ID" sz="1400" baseline="0"/>
            <a:t>   jika masih belum sesuai</a:t>
          </a:r>
          <a:endParaRPr lang="id-ID" sz="1400" baseline="0"/>
        </a:p>
        <a:p>
          <a:pPr algn="l"/>
          <a:r>
            <a:rPr lang="id-ID" sz="1400" baseline="0"/>
            <a:t>7.  Aplikasi ini merupakan pendamping/pasangan bagi Aplikasi Rapor K-13.</a:t>
          </a:r>
          <a:endParaRPr lang="id-ID" sz="1400" baseline="0"/>
        </a:p>
        <a:p>
          <a:pPr marL="0" marR="0" lvl="0" indent="0" algn="ctr" defTabSz="914400" eaLnBrk="1" fontAlgn="auto" latinLnBrk="0" hangingPunct="1">
            <a:lnSpc>
              <a:spcPct val="100000"/>
            </a:lnSpc>
            <a:spcBef>
              <a:spcPts val="0"/>
            </a:spcBef>
            <a:spcAft>
              <a:spcPts val="0"/>
            </a:spcAft>
            <a:buClrTx/>
            <a:buSzTx/>
            <a:buFontTx/>
            <a:buNone/>
            <a:defRPr/>
          </a:pPr>
          <a:r>
            <a:rPr kumimoji="0" lang="id-ID" sz="1200" b="0" i="0" u="none" strike="noStrike" kern="0" cap="none" spc="0" normalizeH="0" baseline="0" noProof="0">
              <a:ln>
                <a:noFill/>
              </a:ln>
              <a:solidFill>
                <a:prstClr val="black"/>
              </a:solidFill>
              <a:effectLst/>
              <a:uLnTx/>
              <a:uFillTx/>
              <a:latin typeface="Berlin Sans FB Demi" panose="020E0802020502020306" pitchFamily="34" charset="0"/>
              <a:ea typeface="+mn-ea"/>
              <a:cs typeface="+mn-cs"/>
            </a:rPr>
            <a:t>"Aplikasi dilindungi UU HAKI bidang TIK.  </a:t>
          </a:r>
          <a:r>
            <a:rPr kumimoji="0" lang="id-ID" sz="1200" b="0" i="0" u="none" strike="noStrike" kern="0" cap="none" spc="0" normalizeH="0" baseline="0" noProof="0">
              <a:ln>
                <a:noFill/>
              </a:ln>
              <a:solidFill>
                <a:srgbClr val="FF0000"/>
              </a:solidFill>
              <a:effectLst/>
              <a:uLnTx/>
              <a:uFillTx/>
              <a:latin typeface="Berlin Sans FB Demi" panose="020E0802020502020306" pitchFamily="34" charset="0"/>
              <a:ea typeface="+mn-ea"/>
              <a:cs typeface="+mn-cs"/>
            </a:rPr>
            <a:t>DILARANG</a:t>
          </a:r>
          <a:r>
            <a:rPr kumimoji="0" lang="id-ID" sz="1200" b="0" i="0" u="none" strike="noStrike" kern="0" cap="none" spc="0" normalizeH="0" baseline="0" noProof="0">
              <a:ln>
                <a:noFill/>
              </a:ln>
              <a:solidFill>
                <a:prstClr val="black"/>
              </a:solidFill>
              <a:effectLst/>
              <a:uLnTx/>
              <a:uFillTx/>
              <a:latin typeface="Berlin Sans FB Demi" panose="020E0802020502020306" pitchFamily="34" charset="0"/>
              <a:ea typeface="+mn-ea"/>
              <a:cs typeface="+mn-cs"/>
            </a:rPr>
            <a:t> </a:t>
          </a:r>
          <a:r>
            <a:rPr kumimoji="0" lang="id-ID" sz="1200" b="0" i="0" u="none" strike="noStrike" kern="0" cap="none" spc="0" normalizeH="0" baseline="0" noProof="0">
              <a:ln>
                <a:noFill/>
              </a:ln>
              <a:solidFill>
                <a:srgbClr val="FF0000"/>
              </a:solidFill>
              <a:effectLst/>
              <a:uLnTx/>
              <a:uFillTx/>
              <a:latin typeface="Berlin Sans FB Demi" panose="020E0802020502020306" pitchFamily="34" charset="0"/>
              <a:ea typeface="+mn-ea"/>
              <a:cs typeface="+mn-cs"/>
            </a:rPr>
            <a:t>KERAS</a:t>
          </a:r>
          <a:r>
            <a:rPr kumimoji="0" lang="id-ID" sz="1200" b="0" i="0" u="none" strike="noStrike" kern="0" cap="none" spc="0" normalizeH="0" baseline="0" noProof="0">
              <a:ln>
                <a:noFill/>
              </a:ln>
              <a:solidFill>
                <a:prstClr val="black"/>
              </a:solidFill>
              <a:effectLst/>
              <a:uLnTx/>
              <a:uFillTx/>
              <a:latin typeface="Berlin Sans FB Demi" panose="020E0802020502020306" pitchFamily="34" charset="0"/>
              <a:ea typeface="+mn-ea"/>
              <a:cs typeface="+mn-cs"/>
            </a:rPr>
            <a:t> merubah nama, menghilangkan logo, membuka paksa password (Cracking) dan hal-hal lainya yang merupakan kewenangan pengembang Aplikasi.  Dimohohon untuk tidak menyebarluaskan/memberikan aplikasi diluar lingkungan sekolah Bapak/Ibu dengan alasan apapun tanpa seizin pengembang"</a:t>
          </a:r>
          <a:r>
            <a:rPr kumimoji="0" lang="id-ID" sz="1100" b="0" i="0" u="none" strike="noStrike" kern="0" cap="none" spc="0" normalizeH="0" baseline="0" noProof="0">
              <a:ln>
                <a:noFill/>
              </a:ln>
              <a:solidFill>
                <a:prstClr val="black"/>
              </a:solidFill>
              <a:effectLst/>
              <a:uLnTx/>
              <a:uFillTx/>
              <a:latin typeface="+mn-lt"/>
              <a:ea typeface="+mn-ea"/>
              <a:cs typeface="+mn-cs"/>
            </a:rPr>
            <a:t>  </a:t>
          </a:r>
          <a:endParaRPr kumimoji="0" lang="id-ID" sz="1100" b="0" i="0" u="none" strike="noStrike" kern="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defRPr/>
          </a:pPr>
          <a:r>
            <a:rPr kumimoji="0" lang="id-ID" sz="1100" b="1" i="0" u="sng" strike="noStrike" kern="0" cap="none" spc="0" normalizeH="0" baseline="0" noProof="0">
              <a:ln>
                <a:noFill/>
              </a:ln>
              <a:solidFill>
                <a:srgbClr val="000066"/>
              </a:solidFill>
              <a:effectLst/>
              <a:uLnTx/>
              <a:uFillTx/>
              <a:latin typeface="+mn-lt"/>
              <a:ea typeface="+mn-ea"/>
              <a:cs typeface="+mn-cs"/>
            </a:rPr>
            <a:t>Atas kerjasama yang baiknya Saya ucapkan Terima Kasih dan selamat bekerja.</a:t>
          </a:r>
          <a:endParaRPr kumimoji="0" lang="id-ID" sz="1100" b="1" i="0" u="sng" strike="noStrike" kern="0" cap="none" spc="0" normalizeH="0" baseline="0" noProof="0">
            <a:ln>
              <a:noFill/>
            </a:ln>
            <a:solidFill>
              <a:srgbClr val="000066"/>
            </a:solidFill>
            <a:effectLst/>
            <a:uLnTx/>
            <a:uFillTx/>
            <a:latin typeface="+mn-lt"/>
            <a:ea typeface="+mn-ea"/>
            <a:cs typeface="+mn-cs"/>
          </a:endParaRPr>
        </a:p>
      </xdr:txBody>
    </xdr:sp>
    <xdr:clientData/>
  </xdr:twoCellAnchor>
  <xdr:oneCellAnchor>
    <xdr:from>
      <xdr:col>1</xdr:col>
      <xdr:colOff>219075</xdr:colOff>
      <xdr:row>0</xdr:row>
      <xdr:rowOff>85725</xdr:rowOff>
    </xdr:from>
    <xdr:ext cx="6048375" cy="1342486"/>
    <xdr:sp>
      <xdr:nvSpPr>
        <xdr:cNvPr id="6" name="Rectangle 5"/>
        <xdr:cNvSpPr/>
      </xdr:nvSpPr>
      <xdr:spPr>
        <a:xfrm>
          <a:off x="971550" y="85725"/>
          <a:ext cx="6048375" cy="1342390"/>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r"/>
          <a:r>
            <a:rPr lang="id-ID" sz="32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APLIKASI</a:t>
          </a:r>
          <a:r>
            <a:rPr lang="id-ID" sz="32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PENILAIAN </a:t>
          </a:r>
          <a:endParaRPr lang="id-ID" sz="32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a:p>
          <a:pPr algn="r"/>
          <a:r>
            <a:rPr lang="id-ID" sz="3200" b="1" cap="none" spc="0" baseline="0">
              <a:ln w="12700">
                <a:solidFill>
                  <a:schemeClr val="tx2">
                    <a:lumMod val="75000"/>
                  </a:schemeClr>
                </a:solidFill>
                <a:prstDash val="solid"/>
              </a:ln>
              <a:pattFill prst="dkUpDiag">
                <a:fgClr>
                  <a:schemeClr val="tx2"/>
                </a:fgClr>
                <a:bgClr>
                  <a:schemeClr val="tx2">
                    <a:lumMod val="20000"/>
                    <a:lumOff val="80000"/>
                  </a:schemeClr>
                </a:bgClr>
              </a:pattFill>
              <a:effectLst>
                <a:outerShdw dist="38100" dir="2640000" algn="bl" rotWithShape="0">
                  <a:schemeClr val="tx2">
                    <a:lumMod val="75000"/>
                  </a:schemeClr>
                </a:outerShdw>
              </a:effectLst>
            </a:rPr>
            <a:t>KURIKULUM 2013</a:t>
          </a:r>
          <a:endParaRPr lang="id-ID" sz="32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a:p>
          <a:pPr algn="r"/>
          <a:r>
            <a:rPr lang="id-ID" sz="18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(Dynamic Descriptions / Deskripsi Dinamis)</a:t>
          </a:r>
          <a:endParaRPr lang="en-US" sz="18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oneCellAnchor>
  <xdr:twoCellAnchor editAs="oneCell">
    <xdr:from>
      <xdr:col>1</xdr:col>
      <xdr:colOff>0</xdr:colOff>
      <xdr:row>0</xdr:row>
      <xdr:rowOff>199487</xdr:rowOff>
    </xdr:from>
    <xdr:to>
      <xdr:col>4</xdr:col>
      <xdr:colOff>381000</xdr:colOff>
      <xdr:row>4</xdr:row>
      <xdr:rowOff>180437</xdr:rowOff>
    </xdr:to>
    <xdr:pic>
      <xdr:nvPicPr>
        <xdr:cNvPr id="7" name="Picture 6"/>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52475" y="199390"/>
          <a:ext cx="2438400" cy="781050"/>
        </a:xfrm>
        <a:prstGeom prst="rect">
          <a:avLst/>
        </a:prstGeom>
      </xdr:spPr>
    </xdr:pic>
    <xdr:clientData/>
  </xdr:twoCellAnchor>
  <xdr:twoCellAnchor>
    <xdr:from>
      <xdr:col>0</xdr:col>
      <xdr:colOff>9525</xdr:colOff>
      <xdr:row>22</xdr:row>
      <xdr:rowOff>0</xdr:rowOff>
    </xdr:from>
    <xdr:to>
      <xdr:col>11</xdr:col>
      <xdr:colOff>0</xdr:colOff>
      <xdr:row>23</xdr:row>
      <xdr:rowOff>0</xdr:rowOff>
    </xdr:to>
    <xdr:sp>
      <xdr:nvSpPr>
        <xdr:cNvPr id="2" name="TextBox 1"/>
        <xdr:cNvSpPr txBox="1"/>
      </xdr:nvSpPr>
      <xdr:spPr>
        <a:xfrm>
          <a:off x="9525" y="4400550"/>
          <a:ext cx="7600950" cy="200025"/>
        </a:xfrm>
        <a:prstGeom prst="rect">
          <a:avLst/>
        </a:prstGeom>
        <a:solidFill>
          <a:schemeClr val="tx1">
            <a:lumMod val="65000"/>
            <a:lumOff val="35000"/>
          </a:schemeClr>
        </a:solidFill>
        <a:ln w="9525" cmpd="sng">
          <a:solidFill>
            <a:schemeClr val="tx1">
              <a:lumMod val="65000"/>
              <a:lumOff val="3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xdr:from>
      <xdr:col>1</xdr:col>
      <xdr:colOff>9525</xdr:colOff>
      <xdr:row>1</xdr:row>
      <xdr:rowOff>47625</xdr:rowOff>
    </xdr:from>
    <xdr:to>
      <xdr:col>4</xdr:col>
      <xdr:colOff>390525</xdr:colOff>
      <xdr:row>5</xdr:row>
      <xdr:rowOff>9525</xdr:rowOff>
    </xdr:to>
    <xdr:sp>
      <xdr:nvSpPr>
        <xdr:cNvPr id="4" name="TextBox 3"/>
        <xdr:cNvSpPr txBox="1"/>
      </xdr:nvSpPr>
      <xdr:spPr>
        <a:xfrm>
          <a:off x="762000" y="247650"/>
          <a:ext cx="2438400" cy="762000"/>
        </a:xfrm>
        <a:prstGeom prst="rect">
          <a:avLst/>
        </a:prstGeom>
        <a:solidFill>
          <a:schemeClr val="bg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editAs="oneCell">
    <xdr:from>
      <xdr:col>1</xdr:col>
      <xdr:colOff>504825</xdr:colOff>
      <xdr:row>1</xdr:row>
      <xdr:rowOff>57150</xdr:rowOff>
    </xdr:from>
    <xdr:to>
      <xdr:col>3</xdr:col>
      <xdr:colOff>47625</xdr:colOff>
      <xdr:row>5</xdr:row>
      <xdr:rowOff>152400</xdr:rowOff>
    </xdr:to>
    <xdr:pic>
      <xdr:nvPicPr>
        <xdr:cNvPr id="8" name="Picture 7"/>
        <xdr:cNvPicPr/>
      </xdr:nvPicPr>
      <xdr:blipFill>
        <a:blip r:embed="rId2" cstate="print">
          <a:extLst>
            <a:ext uri="{BEBA8EAE-BF5A-486C-A8C5-ECC9F3942E4B}">
              <a14:imgProps xmlns:a14="http://schemas.microsoft.com/office/drawing/2010/main">
                <a14:imgLayer r:embed="rId3">
                  <a14:imgEffect>
                    <a14:sharpenSoften amount="-25000"/>
                  </a14:imgEffect>
                </a14:imgLayer>
              </a14:imgProps>
            </a:ext>
            <a:ext uri="{28A0092B-C50C-407E-A947-70E740481C1C}">
              <a14:useLocalDpi xmlns:a14="http://schemas.microsoft.com/office/drawing/2010/main" val="0"/>
            </a:ext>
          </a:extLst>
        </a:blip>
        <a:stretch>
          <a:fillRect/>
        </a:stretch>
      </xdr:blipFill>
      <xdr:spPr>
        <a:xfrm>
          <a:off x="1257300" y="257175"/>
          <a:ext cx="914400" cy="895350"/>
        </a:xfrm>
        <a:prstGeom prst="roundRect">
          <a:avLst>
            <a:gd name="adj" fmla="val 4167"/>
          </a:avLst>
        </a:prstGeom>
        <a:solidFill>
          <a:srgbClr val="FFFFFF"/>
        </a:solidFill>
        <a:ln w="76200" cap="sq">
          <a:solidFill>
            <a:srgbClr val="EAEAEA"/>
          </a:solidFill>
          <a:miter lim="800000"/>
          <a:headEnd/>
          <a:tailEnd/>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5</xdr:col>
      <xdr:colOff>33227</xdr:colOff>
      <xdr:row>14</xdr:row>
      <xdr:rowOff>177210</xdr:rowOff>
    </xdr:from>
    <xdr:to>
      <xdr:col>5</xdr:col>
      <xdr:colOff>33227</xdr:colOff>
      <xdr:row>18</xdr:row>
      <xdr:rowOff>22152</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76945" y="3329940"/>
          <a:ext cx="0" cy="682625"/>
        </a:xfrm>
        <a:prstGeom prst="rect">
          <a:avLst/>
        </a:prstGeom>
      </xdr:spPr>
    </xdr:pic>
    <xdr:clientData/>
  </xdr:twoCellAnchor>
  <xdr:twoCellAnchor editAs="oneCell">
    <xdr:from>
      <xdr:col>5</xdr:col>
      <xdr:colOff>1575608</xdr:colOff>
      <xdr:row>18</xdr:row>
      <xdr:rowOff>23811</xdr:rowOff>
    </xdr:from>
    <xdr:to>
      <xdr:col>6</xdr:col>
      <xdr:colOff>0</xdr:colOff>
      <xdr:row>19</xdr:row>
      <xdr:rowOff>190500</xdr:rowOff>
    </xdr:to>
    <xdr:pic>
      <xdr:nvPicPr>
        <xdr:cNvPr id="4" name="Picture 3"/>
        <xdr:cNvPicPr>
          <a:picLocks noChangeAspect="1"/>
        </xdr:cNvPicPr>
      </xdr:nvPicPr>
      <xdr:blipFill>
        <a:blip r:embed="rId2" cstate="print">
          <a:extLst>
            <a:ext uri="{28A0092B-C50C-407E-A947-70E740481C1C}">
              <a14:useLocalDpi xmlns:a14="http://schemas.microsoft.com/office/drawing/2010/main" val="0"/>
            </a:ext>
          </a:extLst>
        </a:blip>
        <a:stretch>
          <a:fillRect/>
        </a:stretch>
      </xdr:blipFill>
      <xdr:spPr>
        <a:xfrm>
          <a:off x="10119360" y="4014470"/>
          <a:ext cx="1529715" cy="367030"/>
        </a:xfrm>
        <a:prstGeom prst="rect">
          <a:avLst/>
        </a:prstGeom>
      </xdr:spPr>
    </xdr:pic>
    <xdr:clientData/>
  </xdr:twoCellAnchor>
  <xdr:twoCellAnchor editAs="oneCell">
    <xdr:from>
      <xdr:col>5</xdr:col>
      <xdr:colOff>698500</xdr:colOff>
      <xdr:row>5</xdr:row>
      <xdr:rowOff>169333</xdr:rowOff>
    </xdr:from>
    <xdr:to>
      <xdr:col>5</xdr:col>
      <xdr:colOff>2536825</xdr:colOff>
      <xdr:row>17</xdr:row>
      <xdr:rowOff>124883</xdr:rowOff>
    </xdr:to>
    <xdr:pic>
      <xdr:nvPicPr>
        <xdr:cNvPr id="5" name="Picture 4"/>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242425" y="1435735"/>
          <a:ext cx="1838325" cy="2470150"/>
        </a:xfrm>
        <a:prstGeom prst="rect">
          <a:avLst/>
        </a:prstGeom>
      </xdr:spPr>
    </xdr:pic>
    <xdr:clientData/>
  </xdr:twoCellAnchor>
  <xdr:twoCellAnchor>
    <xdr:from>
      <xdr:col>3</xdr:col>
      <xdr:colOff>10583</xdr:colOff>
      <xdr:row>2</xdr:row>
      <xdr:rowOff>21167</xdr:rowOff>
    </xdr:from>
    <xdr:to>
      <xdr:col>4</xdr:col>
      <xdr:colOff>0</xdr:colOff>
      <xdr:row>3</xdr:row>
      <xdr:rowOff>21166</xdr:rowOff>
    </xdr:to>
    <xdr:sp>
      <xdr:nvSpPr>
        <xdr:cNvPr id="3" name="TextBox 2"/>
        <xdr:cNvSpPr txBox="1"/>
      </xdr:nvSpPr>
      <xdr:spPr>
        <a:xfrm>
          <a:off x="2820035" y="659130"/>
          <a:ext cx="5495290" cy="20955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id-ID" sz="1300" b="1"/>
            <a:t>SMP NEGERI 2 PANGKALAN KERINCI</a:t>
          </a:r>
          <a:endParaRPr lang="id-ID" sz="1300" b="1"/>
        </a:p>
      </xdr:txBody>
    </xdr:sp>
    <xdr:clientData/>
  </xdr:twoCellAnchor>
  <xdr:twoCellAnchor>
    <xdr:from>
      <xdr:col>5</xdr:col>
      <xdr:colOff>1481667</xdr:colOff>
      <xdr:row>18</xdr:row>
      <xdr:rowOff>21167</xdr:rowOff>
    </xdr:from>
    <xdr:to>
      <xdr:col>6</xdr:col>
      <xdr:colOff>0</xdr:colOff>
      <xdr:row>20</xdr:row>
      <xdr:rowOff>0</xdr:rowOff>
    </xdr:to>
    <xdr:sp>
      <xdr:nvSpPr>
        <xdr:cNvPr id="6" name="TextBox 5"/>
        <xdr:cNvSpPr txBox="1"/>
      </xdr:nvSpPr>
      <xdr:spPr>
        <a:xfrm>
          <a:off x="10025380" y="4011930"/>
          <a:ext cx="1623695" cy="379095"/>
        </a:xfrm>
        <a:prstGeom prst="rect">
          <a:avLst/>
        </a:prstGeom>
        <a:solidFill>
          <a:srgbClr val="FFFF0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editAs="oneCell">
    <xdr:from>
      <xdr:col>5</xdr:col>
      <xdr:colOff>275167</xdr:colOff>
      <xdr:row>5</xdr:row>
      <xdr:rowOff>105834</xdr:rowOff>
    </xdr:from>
    <xdr:to>
      <xdr:col>5</xdr:col>
      <xdr:colOff>2794002</xdr:colOff>
      <xdr:row>17</xdr:row>
      <xdr:rowOff>137583</xdr:rowOff>
    </xdr:to>
    <xdr:pic>
      <xdr:nvPicPr>
        <xdr:cNvPr id="7" name="Picture 6"/>
        <xdr:cNvPicPr/>
      </xdr:nvPicPr>
      <xdr:blipFill>
        <a:blip r:embed="rId4" cstate="print">
          <a:extLst>
            <a:ext uri="{28A0092B-C50C-407E-A947-70E740481C1C}">
              <a14:useLocalDpi xmlns:a14="http://schemas.microsoft.com/office/drawing/2010/main" val="0"/>
            </a:ext>
          </a:extLst>
        </a:blip>
        <a:stretch>
          <a:fillRect/>
        </a:stretch>
      </xdr:blipFill>
      <xdr:spPr>
        <a:xfrm>
          <a:off x="8818880" y="1372235"/>
          <a:ext cx="2519045" cy="2546350"/>
        </a:xfrm>
        <a:prstGeom prst="rect">
          <a:avLst/>
        </a:prstGeom>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6</xdr:col>
      <xdr:colOff>137584</xdr:colOff>
      <xdr:row>4</xdr:row>
      <xdr:rowOff>52917</xdr:rowOff>
    </xdr:from>
    <xdr:to>
      <xdr:col>6</xdr:col>
      <xdr:colOff>2360084</xdr:colOff>
      <xdr:row>18</xdr:row>
      <xdr:rowOff>10583</xdr:rowOff>
    </xdr:to>
    <xdr:sp>
      <xdr:nvSpPr>
        <xdr:cNvPr id="3" name="Rounded Rectangle 2"/>
        <xdr:cNvSpPr/>
      </xdr:nvSpPr>
      <xdr:spPr>
        <a:xfrm>
          <a:off x="6299835" y="986155"/>
          <a:ext cx="2222500" cy="275780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r>
            <a:rPr lang="id-ID" sz="1100"/>
            <a:t>Yth Guru Mapel, Silahkan menyalin</a:t>
          </a:r>
          <a:r>
            <a:rPr lang="id-ID" sz="1100" baseline="0"/>
            <a:t> (Copy-Paste) data siswa ke dalam sheet ini sebanyak kelas yang diampu</a:t>
          </a:r>
          <a:endParaRPr lang="id-ID" sz="1100" baseline="0"/>
        </a:p>
        <a:p>
          <a:pPr algn="ctr"/>
          <a:r>
            <a:rPr lang="id-ID" sz="1100" baseline="0"/>
            <a:t>gunakan copy-paste special-value</a:t>
          </a:r>
          <a:endParaRPr lang="id-ID" sz="1100" baseline="0"/>
        </a:p>
        <a:p>
          <a:pPr algn="ctr"/>
          <a:r>
            <a:rPr lang="id-ID" sz="1100" baseline="0"/>
            <a:t>DISEDIAKAN 50 PESERTA DIDIK</a:t>
          </a:r>
          <a:endParaRPr lang="id-ID" sz="1100" baseline="0"/>
        </a:p>
        <a:p>
          <a:pPr algn="ctr"/>
          <a:r>
            <a:rPr lang="id-ID" sz="1800" b="1" baseline="0"/>
            <a:t>(MOHON TIDAK MERUBAH FORMAT!!)</a:t>
          </a:r>
          <a:endParaRPr lang="id-ID" sz="1800" b="1"/>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2</xdr:col>
      <xdr:colOff>0</xdr:colOff>
      <xdr:row>4</xdr:row>
      <xdr:rowOff>200024</xdr:rowOff>
    </xdr:from>
    <xdr:to>
      <xdr:col>2</xdr:col>
      <xdr:colOff>295275</xdr:colOff>
      <xdr:row>23</xdr:row>
      <xdr:rowOff>254000</xdr:rowOff>
    </xdr:to>
    <xdr:sp>
      <xdr:nvSpPr>
        <xdr:cNvPr id="2" name="Right Brace 1"/>
        <xdr:cNvSpPr/>
      </xdr:nvSpPr>
      <xdr:spPr>
        <a:xfrm>
          <a:off x="9906000" y="885190"/>
          <a:ext cx="295275" cy="7655560"/>
        </a:xfrm>
        <a:prstGeom prst="rightBrace">
          <a:avLst/>
        </a:prstGeom>
      </xdr:spPr>
      <xdr:style>
        <a:lnRef idx="3">
          <a:schemeClr val="accent5"/>
        </a:lnRef>
        <a:fillRef idx="0">
          <a:schemeClr val="accent5"/>
        </a:fillRef>
        <a:effectRef idx="2">
          <a:schemeClr val="accent5"/>
        </a:effectRef>
        <a:fontRef idx="minor">
          <a:schemeClr val="tx1"/>
        </a:fontRef>
      </xdr:style>
      <xdr:txBody>
        <a:bodyPr vertOverflow="clip" rtlCol="0" anchor="ctr"/>
        <a:lstStyle/>
        <a:p>
          <a:pPr algn="ctr"/>
          <a:endParaRPr lang="id-ID" sz="1100"/>
        </a:p>
      </xdr:txBody>
    </xdr:sp>
    <xdr:clientData/>
  </xdr:twoCellAnchor>
  <xdr:twoCellAnchor>
    <xdr:from>
      <xdr:col>2</xdr:col>
      <xdr:colOff>381000</xdr:colOff>
      <xdr:row>3</xdr:row>
      <xdr:rowOff>267758</xdr:rowOff>
    </xdr:from>
    <xdr:to>
      <xdr:col>2</xdr:col>
      <xdr:colOff>2409824</xdr:colOff>
      <xdr:row>14</xdr:row>
      <xdr:rowOff>370417</xdr:rowOff>
    </xdr:to>
    <xdr:sp>
      <xdr:nvSpPr>
        <xdr:cNvPr id="3" name="Rounded Rectangle 2"/>
        <xdr:cNvSpPr/>
      </xdr:nvSpPr>
      <xdr:spPr>
        <a:xfrm>
          <a:off x="10287000" y="619760"/>
          <a:ext cx="2028190" cy="4436745"/>
        </a:xfrm>
        <a:prstGeom prst="roundRect">
          <a:avLst/>
        </a:prstGeom>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id-ID" sz="2000"/>
            <a:t>Gunakan huruf kecil</a:t>
          </a:r>
          <a:endParaRPr lang="id-ID" sz="2000"/>
        </a:p>
        <a:p>
          <a:pPr algn="ctr"/>
          <a:r>
            <a:rPr lang="id-ID" sz="2000"/>
            <a:t>tambahkan</a:t>
          </a:r>
          <a:r>
            <a:rPr lang="id-ID" sz="2000" baseline="0"/>
            <a:t> "spasi" di awal kalimat deskripsi dan tanda koma "," diakhir kalimat deskripsi, JANGAN merubah format!!</a:t>
          </a:r>
          <a:endParaRPr lang="id-ID" sz="2000" baseline="0"/>
        </a:p>
      </xdr:txBody>
    </xdr:sp>
    <xdr:clientData/>
  </xdr:twoCellAnchor>
  <xdr:twoCellAnchor>
    <xdr:from>
      <xdr:col>2</xdr:col>
      <xdr:colOff>0</xdr:colOff>
      <xdr:row>25</xdr:row>
      <xdr:rowOff>281516</xdr:rowOff>
    </xdr:from>
    <xdr:to>
      <xdr:col>2</xdr:col>
      <xdr:colOff>295275</xdr:colOff>
      <xdr:row>44</xdr:row>
      <xdr:rowOff>285750</xdr:rowOff>
    </xdr:to>
    <xdr:sp>
      <xdr:nvSpPr>
        <xdr:cNvPr id="4" name="Right Brace 3"/>
        <xdr:cNvSpPr/>
      </xdr:nvSpPr>
      <xdr:spPr>
        <a:xfrm>
          <a:off x="9906000" y="9301480"/>
          <a:ext cx="295275" cy="7605395"/>
        </a:xfrm>
        <a:prstGeom prst="rightBrace">
          <a:avLst/>
        </a:prstGeom>
      </xdr:spPr>
      <xdr:style>
        <a:lnRef idx="3">
          <a:schemeClr val="accent5"/>
        </a:lnRef>
        <a:fillRef idx="0">
          <a:schemeClr val="accent5"/>
        </a:fillRef>
        <a:effectRef idx="2">
          <a:schemeClr val="accent5"/>
        </a:effectRef>
        <a:fontRef idx="minor">
          <a:schemeClr val="tx1"/>
        </a:fontRef>
      </xdr:style>
      <xdr:txBody>
        <a:bodyPr vertOverflow="clip" rtlCol="0" anchor="ctr"/>
        <a:lstStyle/>
        <a:p>
          <a:pPr algn="ctr"/>
          <a:endParaRPr lang="id-ID" sz="1100"/>
        </a:p>
      </xdr:txBody>
    </xdr:sp>
    <xdr:clientData/>
  </xdr:twoCellAnchor>
  <xdr:twoCellAnchor>
    <xdr:from>
      <xdr:col>2</xdr:col>
      <xdr:colOff>497415</xdr:colOff>
      <xdr:row>15</xdr:row>
      <xdr:rowOff>116417</xdr:rowOff>
    </xdr:from>
    <xdr:to>
      <xdr:col>2</xdr:col>
      <xdr:colOff>2360082</xdr:colOff>
      <xdr:row>20</xdr:row>
      <xdr:rowOff>254001</xdr:rowOff>
    </xdr:to>
    <xdr:sp>
      <xdr:nvSpPr>
        <xdr:cNvPr id="6" name="Down Arrow 5"/>
        <xdr:cNvSpPr/>
      </xdr:nvSpPr>
      <xdr:spPr>
        <a:xfrm>
          <a:off x="10403205" y="5202555"/>
          <a:ext cx="1862455" cy="213804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2000"/>
            <a:t>KI 4</a:t>
          </a:r>
          <a:endParaRPr lang="id-ID" sz="2000"/>
        </a:p>
        <a:p>
          <a:pPr algn="ctr"/>
          <a:r>
            <a:rPr lang="id-ID" sz="2000"/>
            <a:t>Jangan Lupa di isi!</a:t>
          </a:r>
          <a:endParaRPr lang="en-US" sz="2000"/>
        </a:p>
      </xdr:txBody>
    </xdr:sp>
    <xdr:clientData/>
  </xdr:twoCellAnchor>
  <xdr:twoCellAnchor>
    <xdr:from>
      <xdr:col>2</xdr:col>
      <xdr:colOff>455083</xdr:colOff>
      <xdr:row>31</xdr:row>
      <xdr:rowOff>190499</xdr:rowOff>
    </xdr:from>
    <xdr:to>
      <xdr:col>2</xdr:col>
      <xdr:colOff>2483907</xdr:colOff>
      <xdr:row>42</xdr:row>
      <xdr:rowOff>229658</xdr:rowOff>
    </xdr:to>
    <xdr:sp>
      <xdr:nvSpPr>
        <xdr:cNvPr id="7" name="Rounded Rectangle 6"/>
        <xdr:cNvSpPr/>
      </xdr:nvSpPr>
      <xdr:spPr>
        <a:xfrm>
          <a:off x="10360660" y="11610340"/>
          <a:ext cx="2028825" cy="4439920"/>
        </a:xfrm>
        <a:prstGeom prst="roundRect">
          <a:avLst/>
        </a:prstGeom>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id-ID" sz="2000"/>
            <a:t>Gunakan huruf kecil</a:t>
          </a:r>
          <a:endParaRPr lang="id-ID" sz="2000"/>
        </a:p>
        <a:p>
          <a:pPr algn="ctr"/>
          <a:r>
            <a:rPr lang="id-ID" sz="2000"/>
            <a:t>tambahkan</a:t>
          </a:r>
          <a:r>
            <a:rPr lang="id-ID" sz="2000" baseline="0"/>
            <a:t> "spasi" di awal kalimat deskripsi dan tanda koma "," diakhir kalimat deskripsi, JANGAN merubah format!!</a:t>
          </a:r>
          <a:endParaRPr lang="id-ID" sz="2000" baseline="0"/>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1</xdr:col>
      <xdr:colOff>0</xdr:colOff>
      <xdr:row>1</xdr:row>
      <xdr:rowOff>9525</xdr:rowOff>
    </xdr:from>
    <xdr:to>
      <xdr:col>3</xdr:col>
      <xdr:colOff>704850</xdr:colOff>
      <xdr:row>3</xdr:row>
      <xdr:rowOff>190500</xdr:rowOff>
    </xdr:to>
    <xdr:sp>
      <xdr:nvSpPr>
        <xdr:cNvPr id="2" name="TextBox 1"/>
        <xdr:cNvSpPr txBox="1"/>
      </xdr:nvSpPr>
      <xdr:spPr>
        <a:xfrm>
          <a:off x="314325" y="276225"/>
          <a:ext cx="2476500" cy="581025"/>
        </a:xfrm>
        <a:prstGeom prst="rect">
          <a:avLst/>
        </a:prstGeom>
        <a:solidFill>
          <a:srgbClr val="FFFF0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200" b="1"/>
            <a:t>SMP</a:t>
          </a:r>
          <a:r>
            <a:rPr lang="id-ID" sz="1200" b="1" baseline="0"/>
            <a:t> NEGERI 2 PANGKALAN KERINCI</a:t>
          </a:r>
          <a:endParaRPr lang="id-ID" sz="1200" b="1"/>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1</xdr:col>
      <xdr:colOff>0</xdr:colOff>
      <xdr:row>1</xdr:row>
      <xdr:rowOff>21166</xdr:rowOff>
    </xdr:from>
    <xdr:to>
      <xdr:col>4</xdr:col>
      <xdr:colOff>10584</xdr:colOff>
      <xdr:row>4</xdr:row>
      <xdr:rowOff>10583</xdr:rowOff>
    </xdr:to>
    <xdr:sp>
      <xdr:nvSpPr>
        <xdr:cNvPr id="2" name="TextBox 1"/>
        <xdr:cNvSpPr txBox="1"/>
      </xdr:nvSpPr>
      <xdr:spPr>
        <a:xfrm>
          <a:off x="314325" y="287655"/>
          <a:ext cx="2496185" cy="589280"/>
        </a:xfrm>
        <a:prstGeom prst="rect">
          <a:avLst/>
        </a:prstGeom>
        <a:solidFill>
          <a:srgbClr val="FFFF0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200" b="1"/>
            <a:t>SMP NEGERI 2 PANGKALAN KERINCI</a:t>
          </a:r>
          <a:endParaRPr lang="id-ID" sz="1200" b="1"/>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10</xdr:col>
      <xdr:colOff>0</xdr:colOff>
      <xdr:row>4</xdr:row>
      <xdr:rowOff>9525</xdr:rowOff>
    </xdr:from>
    <xdr:to>
      <xdr:col>10</xdr:col>
      <xdr:colOff>2800350</xdr:colOff>
      <xdr:row>5</xdr:row>
      <xdr:rowOff>209550</xdr:rowOff>
    </xdr:to>
    <xdr:sp>
      <xdr:nvSpPr>
        <xdr:cNvPr id="2" name="TextBox 1"/>
        <xdr:cNvSpPr txBox="1"/>
      </xdr:nvSpPr>
      <xdr:spPr>
        <a:xfrm>
          <a:off x="6953250" y="1028700"/>
          <a:ext cx="2800350" cy="438150"/>
        </a:xfrm>
        <a:prstGeom prst="rect">
          <a:avLst/>
        </a:prstGeom>
        <a:solidFill>
          <a:srgbClr val="FF0000"/>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xdr:from>
      <xdr:col>10</xdr:col>
      <xdr:colOff>0</xdr:colOff>
      <xdr:row>6</xdr:row>
      <xdr:rowOff>0</xdr:rowOff>
    </xdr:from>
    <xdr:to>
      <xdr:col>10</xdr:col>
      <xdr:colOff>2800350</xdr:colOff>
      <xdr:row>7</xdr:row>
      <xdr:rowOff>123825</xdr:rowOff>
    </xdr:to>
    <xdr:sp>
      <xdr:nvSpPr>
        <xdr:cNvPr id="3" name="TextBox 2"/>
        <xdr:cNvSpPr txBox="1"/>
      </xdr:nvSpPr>
      <xdr:spPr>
        <a:xfrm>
          <a:off x="6953250" y="1476375"/>
          <a:ext cx="2800350" cy="314325"/>
        </a:xfrm>
        <a:prstGeom prst="rect">
          <a:avLst/>
        </a:prstGeom>
        <a:solidFill>
          <a:schemeClr val="bg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editAs="oneCell">
    <xdr:from>
      <xdr:col>10</xdr:col>
      <xdr:colOff>1066799</xdr:colOff>
      <xdr:row>4</xdr:row>
      <xdr:rowOff>114300</xdr:rowOff>
    </xdr:from>
    <xdr:to>
      <xdr:col>10</xdr:col>
      <xdr:colOff>1685925</xdr:colOff>
      <xdr:row>6</xdr:row>
      <xdr:rowOff>295276</xdr:rowOff>
    </xdr:to>
    <xdr:pic>
      <xdr:nvPicPr>
        <xdr:cNvPr id="4" name="Picture 3"/>
        <xdr:cNvPicPr/>
      </xdr:nvPicPr>
      <xdr:blipFill>
        <a:blip r:embed="rId1" cstate="print">
          <a:extLst>
            <a:ext uri="{28A0092B-C50C-407E-A947-70E740481C1C}">
              <a14:useLocalDpi xmlns:a14="http://schemas.microsoft.com/office/drawing/2010/main" val="0"/>
            </a:ext>
          </a:extLst>
        </a:blip>
        <a:stretch>
          <a:fillRect/>
        </a:stretch>
      </xdr:blipFill>
      <xdr:spPr>
        <a:xfrm>
          <a:off x="8019415" y="1133475"/>
          <a:ext cx="619760" cy="638175"/>
        </a:xfrm>
        <a:prstGeom prst="rect">
          <a:avLst/>
        </a:prstGeom>
        <a:ln>
          <a:solidFill>
            <a:srgbClr val="FF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10</xdr:col>
      <xdr:colOff>9525</xdr:colOff>
      <xdr:row>8</xdr:row>
      <xdr:rowOff>0</xdr:rowOff>
    </xdr:from>
    <xdr:to>
      <xdr:col>10</xdr:col>
      <xdr:colOff>2800350</xdr:colOff>
      <xdr:row>8</xdr:row>
      <xdr:rowOff>285750</xdr:rowOff>
    </xdr:to>
    <xdr:sp>
      <xdr:nvSpPr>
        <xdr:cNvPr id="5" name="TextBox 4"/>
        <xdr:cNvSpPr txBox="1"/>
      </xdr:nvSpPr>
      <xdr:spPr>
        <a:xfrm>
          <a:off x="6962775" y="1790700"/>
          <a:ext cx="2790825" cy="0"/>
        </a:xfrm>
        <a:prstGeom prst="rect">
          <a:avLst/>
        </a:prstGeom>
        <a:solidFill>
          <a:srgbClr val="002060"/>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bg1"/>
              </a:solidFill>
            </a:rPr>
            <a:t>SMP NEGERI 2 PANGKALAN KERINCI</a:t>
          </a:r>
          <a:endParaRPr lang="id-ID" sz="1100" b="1">
            <a:solidFill>
              <a:schemeClr val="bg1"/>
            </a:solidFill>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10</xdr:col>
      <xdr:colOff>10583</xdr:colOff>
      <xdr:row>7</xdr:row>
      <xdr:rowOff>0</xdr:rowOff>
    </xdr:from>
    <xdr:to>
      <xdr:col>11</xdr:col>
      <xdr:colOff>0</xdr:colOff>
      <xdr:row>8</xdr:row>
      <xdr:rowOff>10583</xdr:rowOff>
    </xdr:to>
    <xdr:sp>
      <xdr:nvSpPr>
        <xdr:cNvPr id="2" name="TextBox 1"/>
        <xdr:cNvSpPr txBox="1"/>
      </xdr:nvSpPr>
      <xdr:spPr>
        <a:xfrm>
          <a:off x="10706735" y="1762125"/>
          <a:ext cx="2323465" cy="0"/>
        </a:xfrm>
        <a:prstGeom prst="rect">
          <a:avLst/>
        </a:prstGeom>
        <a:solidFill>
          <a:schemeClr val="tx1">
            <a:lumMod val="75000"/>
            <a:lumOff val="25000"/>
          </a:schemeClr>
        </a:solidFill>
        <a:ln w="9525" cmpd="sng">
          <a:solidFill>
            <a:schemeClr val="tx1">
              <a:lumMod val="75000"/>
              <a:lumOff val="2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xdr:from>
      <xdr:col>10</xdr:col>
      <xdr:colOff>10583</xdr:colOff>
      <xdr:row>5</xdr:row>
      <xdr:rowOff>31750</xdr:rowOff>
    </xdr:from>
    <xdr:to>
      <xdr:col>11</xdr:col>
      <xdr:colOff>0</xdr:colOff>
      <xdr:row>7</xdr:row>
      <xdr:rowOff>42334</xdr:rowOff>
    </xdr:to>
    <xdr:sp>
      <xdr:nvSpPr>
        <xdr:cNvPr id="3" name="TextBox 2"/>
        <xdr:cNvSpPr txBox="1"/>
      </xdr:nvSpPr>
      <xdr:spPr>
        <a:xfrm>
          <a:off x="10706735" y="1289050"/>
          <a:ext cx="2323465" cy="473075"/>
        </a:xfrm>
        <a:prstGeom prst="rect">
          <a:avLst/>
        </a:prstGeom>
        <a:solidFill>
          <a:schemeClr val="tx1">
            <a:lumMod val="75000"/>
            <a:lumOff val="25000"/>
          </a:schemeClr>
        </a:solidFill>
        <a:ln w="9525" cmpd="sng">
          <a:solidFill>
            <a:schemeClr val="tx1">
              <a:lumMod val="75000"/>
              <a:lumOff val="2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d-ID" sz="1100"/>
        </a:p>
      </xdr:txBody>
    </xdr:sp>
    <xdr:clientData/>
  </xdr:twoCellAnchor>
  <xdr:twoCellAnchor>
    <xdr:from>
      <xdr:col>10</xdr:col>
      <xdr:colOff>0</xdr:colOff>
      <xdr:row>9</xdr:row>
      <xdr:rowOff>21148</xdr:rowOff>
    </xdr:from>
    <xdr:to>
      <xdr:col>10</xdr:col>
      <xdr:colOff>2328333</xdr:colOff>
      <xdr:row>9</xdr:row>
      <xdr:rowOff>539732</xdr:rowOff>
    </xdr:to>
    <xdr:sp>
      <xdr:nvSpPr>
        <xdr:cNvPr id="4" name="TextBox 3"/>
        <xdr:cNvSpPr txBox="1"/>
      </xdr:nvSpPr>
      <xdr:spPr>
        <a:xfrm>
          <a:off x="10696575" y="1762125"/>
          <a:ext cx="2327910" cy="0"/>
        </a:xfrm>
        <a:prstGeom prst="rect">
          <a:avLst/>
        </a:prstGeom>
        <a:solidFill>
          <a:srgbClr val="002060"/>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bg1"/>
              </a:solidFill>
            </a:rPr>
            <a:t>SMP NEGERI 2 PANGKALAN KERINCI</a:t>
          </a:r>
          <a:endParaRPr lang="id-ID" sz="1100" b="1">
            <a:solidFill>
              <a:schemeClr val="bg1"/>
            </a:solidFill>
          </a:endParaRPr>
        </a:p>
      </xdr:txBody>
    </xdr:sp>
    <xdr:clientData/>
  </xdr:twoCellAnchor>
  <xdr:twoCellAnchor>
    <xdr:from>
      <xdr:col>0</xdr:col>
      <xdr:colOff>0</xdr:colOff>
      <xdr:row>1</xdr:row>
      <xdr:rowOff>11641</xdr:rowOff>
    </xdr:from>
    <xdr:to>
      <xdr:col>3</xdr:col>
      <xdr:colOff>804334</xdr:colOff>
      <xdr:row>3</xdr:row>
      <xdr:rowOff>233891</xdr:rowOff>
    </xdr:to>
    <xdr:sp>
      <xdr:nvSpPr>
        <xdr:cNvPr id="5" name="TextBox 4"/>
        <xdr:cNvSpPr txBox="1"/>
      </xdr:nvSpPr>
      <xdr:spPr>
        <a:xfrm>
          <a:off x="0" y="316230"/>
          <a:ext cx="3280410" cy="6985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400" b="1"/>
            <a:t>SMP NEGERI 2 PANGKALAN KERINCI</a:t>
          </a:r>
          <a:endParaRPr lang="id-ID" sz="14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I33"/>
  <sheetViews>
    <sheetView showGridLines="0" tabSelected="1" zoomScale="90" zoomScaleNormal="90" workbookViewId="0">
      <selection activeCell="J1" sqref="J1"/>
    </sheetView>
  </sheetViews>
  <sheetFormatPr defaultColWidth="0" defaultRowHeight="15.75" zeroHeight="1"/>
  <cols>
    <col min="1" max="1" width="6.125" style="474" customWidth="1"/>
    <col min="2" max="9" width="9" style="474" customWidth="1"/>
    <col min="10" max="16384" width="9" style="474" hidden="1"/>
  </cols>
  <sheetData>
    <row r="1" ht="27" spans="1:9">
      <c r="A1" s="475"/>
      <c r="B1" s="476" t="s">
        <v>0</v>
      </c>
      <c r="C1" s="476"/>
      <c r="D1" s="476"/>
      <c r="E1" s="476"/>
      <c r="F1" s="476"/>
      <c r="G1" s="476"/>
      <c r="H1" s="476"/>
      <c r="I1" s="476"/>
    </row>
    <row r="2" customHeight="1" spans="1:9">
      <c r="A2" s="475"/>
      <c r="B2" s="477" t="s">
        <v>1</v>
      </c>
      <c r="C2" s="478"/>
      <c r="D2" s="478"/>
      <c r="E2" s="478"/>
      <c r="F2" s="478"/>
      <c r="G2" s="478"/>
      <c r="H2" s="478"/>
      <c r="I2" s="486"/>
    </row>
    <row r="3" ht="15" customHeight="1" spans="1:9">
      <c r="A3" s="475"/>
      <c r="B3" s="479" t="s">
        <v>2</v>
      </c>
      <c r="C3" s="480"/>
      <c r="D3" s="480"/>
      <c r="E3" s="480"/>
      <c r="F3" s="480"/>
      <c r="G3" s="480"/>
      <c r="H3" s="480"/>
      <c r="I3" s="487"/>
    </row>
    <row r="4" customHeight="1" spans="1:9">
      <c r="A4" s="475"/>
      <c r="B4" s="481"/>
      <c r="C4" s="482"/>
      <c r="D4" s="482"/>
      <c r="E4" s="482"/>
      <c r="F4" s="482"/>
      <c r="G4" s="482"/>
      <c r="H4" s="482"/>
      <c r="I4" s="488"/>
    </row>
    <row r="5" ht="16.5" spans="1:9">
      <c r="A5" s="475"/>
      <c r="B5" s="483" t="s">
        <v>3</v>
      </c>
      <c r="C5" s="484"/>
      <c r="D5" s="484"/>
      <c r="E5" s="484"/>
      <c r="F5" s="484"/>
      <c r="G5" s="484"/>
      <c r="H5" s="484"/>
      <c r="I5" s="489"/>
    </row>
    <row r="6" spans="1:9">
      <c r="A6" s="475"/>
      <c r="B6" s="485"/>
      <c r="C6" s="485"/>
      <c r="D6" s="485"/>
      <c r="E6" s="485"/>
      <c r="F6" s="485"/>
      <c r="G6" s="485"/>
      <c r="H6" s="485"/>
      <c r="I6" s="485"/>
    </row>
    <row r="7" spans="1:9">
      <c r="A7" s="475"/>
      <c r="B7" s="475"/>
      <c r="C7" s="475"/>
      <c r="D7" s="475"/>
      <c r="E7" s="475"/>
      <c r="F7" s="475"/>
      <c r="G7" s="475"/>
      <c r="H7" s="475"/>
      <c r="I7" s="475"/>
    </row>
    <row r="8" spans="1:9">
      <c r="A8" s="475"/>
      <c r="B8" s="475"/>
      <c r="C8" s="475"/>
      <c r="D8" s="475"/>
      <c r="E8" s="475"/>
      <c r="F8" s="475"/>
      <c r="G8" s="475"/>
      <c r="H8" s="475"/>
      <c r="I8" s="475"/>
    </row>
    <row r="9" spans="1:9">
      <c r="A9" s="475"/>
      <c r="B9" s="475"/>
      <c r="C9" s="475"/>
      <c r="D9" s="475"/>
      <c r="E9" s="475"/>
      <c r="F9" s="475"/>
      <c r="G9" s="475"/>
      <c r="H9" s="475"/>
      <c r="I9" s="475"/>
    </row>
    <row r="10" spans="1:9">
      <c r="A10" s="475"/>
      <c r="B10" s="475"/>
      <c r="C10" s="475"/>
      <c r="D10" s="475"/>
      <c r="E10" s="475"/>
      <c r="F10" s="475"/>
      <c r="G10" s="475"/>
      <c r="H10" s="475"/>
      <c r="I10" s="475"/>
    </row>
    <row r="11" spans="1:9">
      <c r="A11" s="475"/>
      <c r="B11" s="475"/>
      <c r="C11" s="475"/>
      <c r="D11" s="475"/>
      <c r="E11" s="475"/>
      <c r="F11" s="475"/>
      <c r="G11" s="475"/>
      <c r="H11" s="475"/>
      <c r="I11" s="475"/>
    </row>
    <row r="12" spans="1:9">
      <c r="A12" s="475"/>
      <c r="B12" s="475"/>
      <c r="C12" s="475"/>
      <c r="D12" s="475"/>
      <c r="E12" s="475"/>
      <c r="F12" s="475"/>
      <c r="G12" s="475"/>
      <c r="H12" s="475"/>
      <c r="I12" s="475"/>
    </row>
    <row r="13" spans="1:9">
      <c r="A13" s="475"/>
      <c r="B13" s="475"/>
      <c r="C13" s="475"/>
      <c r="D13" s="475"/>
      <c r="E13" s="475"/>
      <c r="F13" s="475"/>
      <c r="G13" s="475"/>
      <c r="H13" s="475"/>
      <c r="I13" s="475"/>
    </row>
    <row r="14" spans="1:9">
      <c r="A14" s="475"/>
      <c r="B14" s="475"/>
      <c r="C14" s="475"/>
      <c r="D14" s="475"/>
      <c r="E14" s="475"/>
      <c r="F14" s="475"/>
      <c r="G14" s="475"/>
      <c r="H14" s="475"/>
      <c r="I14" s="475"/>
    </row>
    <row r="15" spans="1:9">
      <c r="A15" s="475"/>
      <c r="B15" s="475"/>
      <c r="C15" s="475"/>
      <c r="D15" s="475"/>
      <c r="E15" s="475"/>
      <c r="F15" s="475"/>
      <c r="G15" s="475"/>
      <c r="H15" s="475"/>
      <c r="I15" s="475"/>
    </row>
    <row r="16" spans="1:9">
      <c r="A16" s="475"/>
      <c r="B16" s="475"/>
      <c r="C16" s="475"/>
      <c r="D16" s="475"/>
      <c r="E16" s="475"/>
      <c r="F16" s="475"/>
      <c r="G16" s="475"/>
      <c r="H16" s="475"/>
      <c r="I16" s="475"/>
    </row>
    <row r="17" spans="1:9">
      <c r="A17" s="475"/>
      <c r="B17" s="475"/>
      <c r="C17" s="475"/>
      <c r="D17" s="475"/>
      <c r="E17" s="475"/>
      <c r="F17" s="475"/>
      <c r="G17" s="475"/>
      <c r="H17" s="475"/>
      <c r="I17" s="475"/>
    </row>
    <row r="18" spans="1:9">
      <c r="A18" s="475"/>
      <c r="B18" s="475"/>
      <c r="C18" s="475"/>
      <c r="D18" s="475"/>
      <c r="E18" s="475"/>
      <c r="F18" s="475"/>
      <c r="G18" s="475"/>
      <c r="H18" s="475"/>
      <c r="I18" s="475"/>
    </row>
    <row r="19" spans="1:9">
      <c r="A19" s="475"/>
      <c r="B19" s="475"/>
      <c r="C19" s="475"/>
      <c r="D19" s="475"/>
      <c r="E19" s="475"/>
      <c r="F19" s="475"/>
      <c r="G19" s="475"/>
      <c r="H19" s="475"/>
      <c r="I19" s="475"/>
    </row>
    <row r="20" spans="1:9">
      <c r="A20" s="475"/>
      <c r="B20" s="475"/>
      <c r="C20" s="475"/>
      <c r="D20" s="475"/>
      <c r="E20" s="475"/>
      <c r="F20" s="475"/>
      <c r="G20" s="475"/>
      <c r="H20" s="475"/>
      <c r="I20" s="475"/>
    </row>
    <row r="21" spans="1:9">
      <c r="A21" s="475"/>
      <c r="B21" s="475"/>
      <c r="C21" s="475"/>
      <c r="D21" s="475"/>
      <c r="E21" s="475"/>
      <c r="F21" s="475"/>
      <c r="G21" s="475"/>
      <c r="H21" s="475"/>
      <c r="I21" s="475"/>
    </row>
    <row r="22" spans="1:9">
      <c r="A22" s="475"/>
      <c r="B22" s="475"/>
      <c r="C22" s="475"/>
      <c r="D22" s="475"/>
      <c r="E22" s="475"/>
      <c r="F22" s="475"/>
      <c r="G22" s="475"/>
      <c r="H22" s="475"/>
      <c r="I22" s="475"/>
    </row>
    <row r="23" spans="1:9">
      <c r="A23" s="475"/>
      <c r="B23" s="475"/>
      <c r="C23" s="475"/>
      <c r="D23" s="475"/>
      <c r="E23" s="475"/>
      <c r="F23" s="475"/>
      <c r="G23" s="475"/>
      <c r="H23" s="475"/>
      <c r="I23" s="475"/>
    </row>
    <row r="24" spans="1:9">
      <c r="A24" s="475"/>
      <c r="B24" s="475"/>
      <c r="C24" s="475"/>
      <c r="D24" s="475"/>
      <c r="E24" s="475"/>
      <c r="F24" s="475"/>
      <c r="G24" s="475"/>
      <c r="H24" s="475"/>
      <c r="I24" s="475"/>
    </row>
    <row r="25" spans="1:9">
      <c r="A25" s="475"/>
      <c r="B25" s="475"/>
      <c r="C25" s="475"/>
      <c r="D25" s="475"/>
      <c r="E25" s="475"/>
      <c r="F25" s="475"/>
      <c r="G25" s="475"/>
      <c r="H25" s="475"/>
      <c r="I25" s="475"/>
    </row>
    <row r="26" spans="1:9">
      <c r="A26" s="475"/>
      <c r="B26" s="475"/>
      <c r="C26" s="475"/>
      <c r="D26" s="475"/>
      <c r="E26" s="475"/>
      <c r="F26" s="475"/>
      <c r="G26" s="475"/>
      <c r="H26" s="475"/>
      <c r="I26" s="475"/>
    </row>
    <row r="27" spans="1:9">
      <c r="A27" s="475"/>
      <c r="B27" s="475"/>
      <c r="C27" s="475"/>
      <c r="D27" s="475"/>
      <c r="E27" s="475"/>
      <c r="F27" s="475"/>
      <c r="G27" s="475"/>
      <c r="H27" s="475"/>
      <c r="I27" s="475"/>
    </row>
    <row r="28" spans="1:9">
      <c r="A28" s="475"/>
      <c r="B28" s="475"/>
      <c r="C28" s="475"/>
      <c r="D28" s="475"/>
      <c r="E28" s="475"/>
      <c r="F28" s="475"/>
      <c r="G28" s="475"/>
      <c r="H28" s="475"/>
      <c r="I28" s="475"/>
    </row>
    <row r="29" spans="1:9">
      <c r="A29" s="475"/>
      <c r="B29" s="475"/>
      <c r="C29" s="475"/>
      <c r="D29" s="475"/>
      <c r="E29" s="475"/>
      <c r="F29" s="475"/>
      <c r="G29" s="475"/>
      <c r="H29" s="475"/>
      <c r="I29" s="475"/>
    </row>
    <row r="30" spans="1:9">
      <c r="A30" s="475"/>
      <c r="B30" s="475"/>
      <c r="C30" s="475"/>
      <c r="D30" s="475"/>
      <c r="E30" s="475"/>
      <c r="F30" s="475"/>
      <c r="G30" s="475"/>
      <c r="H30" s="475"/>
      <c r="I30" s="475"/>
    </row>
    <row r="31" hidden="1"/>
    <row r="32" hidden="1"/>
    <row r="33" hidden="1"/>
  </sheetData>
  <sheetProtection selectLockedCells="1"/>
  <mergeCells count="2">
    <mergeCell ref="B2:I2"/>
    <mergeCell ref="B3:I4"/>
  </mergeCells>
  <pageMargins left="0.7" right="0.7" top="0.75" bottom="0.75" header="0.3" footer="0.3"/>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C00000"/>
  </sheetPr>
  <dimension ref="A1:K23"/>
  <sheetViews>
    <sheetView showGridLines="0" showRowColHeaders="0" workbookViewId="0">
      <selection activeCell="K1" sqref="K1"/>
    </sheetView>
  </sheetViews>
  <sheetFormatPr defaultColWidth="0" defaultRowHeight="15.75" zeroHeight="1"/>
  <cols>
    <col min="1" max="1" width="9.875" style="471" customWidth="1"/>
    <col min="2" max="10" width="9" customWidth="1"/>
    <col min="11" max="11" width="9" style="471" customWidth="1"/>
    <col min="12" max="16384" width="9" hidden="1"/>
  </cols>
  <sheetData>
    <row r="1" spans="1:11">
      <c r="A1" s="472"/>
      <c r="B1" s="472"/>
      <c r="C1" s="472"/>
      <c r="D1" s="472"/>
      <c r="E1" s="472"/>
      <c r="F1" s="472"/>
      <c r="G1" s="472"/>
      <c r="H1" s="472"/>
      <c r="I1" s="472"/>
      <c r="J1" s="472"/>
      <c r="K1" s="472"/>
    </row>
    <row r="2" spans="1:11">
      <c r="A2" s="472"/>
      <c r="B2" s="472"/>
      <c r="C2" s="472"/>
      <c r="D2" s="472"/>
      <c r="E2" s="472"/>
      <c r="F2" s="472"/>
      <c r="G2" s="472"/>
      <c r="H2" s="472"/>
      <c r="I2" s="472"/>
      <c r="J2" s="472"/>
      <c r="K2" s="472"/>
    </row>
    <row r="3" spans="1:11">
      <c r="A3" s="472"/>
      <c r="B3" s="472"/>
      <c r="C3" s="472"/>
      <c r="D3" s="472"/>
      <c r="E3" s="472"/>
      <c r="F3" s="472"/>
      <c r="G3" s="472"/>
      <c r="H3" s="472"/>
      <c r="I3" s="472"/>
      <c r="J3" s="472"/>
      <c r="K3" s="472"/>
    </row>
    <row r="4" spans="1:11">
      <c r="A4" s="472"/>
      <c r="B4" s="472"/>
      <c r="C4" s="472"/>
      <c r="D4" s="472"/>
      <c r="E4" s="472"/>
      <c r="F4" s="472"/>
      <c r="G4" s="472"/>
      <c r="H4" s="472"/>
      <c r="I4" s="472"/>
      <c r="J4" s="472"/>
      <c r="K4" s="472"/>
    </row>
    <row r="5" spans="1:11">
      <c r="A5" s="472"/>
      <c r="B5" s="472"/>
      <c r="C5" s="472"/>
      <c r="D5" s="472"/>
      <c r="E5" s="472"/>
      <c r="F5" s="472"/>
      <c r="G5" s="472"/>
      <c r="H5" s="472"/>
      <c r="I5" s="472"/>
      <c r="J5" s="472"/>
      <c r="K5" s="472"/>
    </row>
    <row r="6" spans="1:11">
      <c r="A6" s="472"/>
      <c r="B6" s="472"/>
      <c r="C6" s="472"/>
      <c r="D6" s="472"/>
      <c r="E6" s="472"/>
      <c r="F6" s="472"/>
      <c r="G6" s="472"/>
      <c r="H6" s="472"/>
      <c r="I6" s="472"/>
      <c r="J6" s="472"/>
      <c r="K6" s="472"/>
    </row>
    <row r="7" spans="1:11">
      <c r="A7" s="472"/>
      <c r="B7" s="472"/>
      <c r="C7" s="472"/>
      <c r="D7" s="472"/>
      <c r="E7" s="472"/>
      <c r="F7" s="472"/>
      <c r="G7" s="472"/>
      <c r="H7" s="472"/>
      <c r="I7" s="472"/>
      <c r="J7" s="472"/>
      <c r="K7" s="472"/>
    </row>
    <row r="8" spans="1:11">
      <c r="A8" s="472"/>
      <c r="B8" s="472"/>
      <c r="C8" s="472"/>
      <c r="D8" s="472"/>
      <c r="E8" s="472"/>
      <c r="F8" s="472"/>
      <c r="G8" s="472"/>
      <c r="H8" s="472"/>
      <c r="I8" s="472"/>
      <c r="J8" s="472"/>
      <c r="K8" s="472"/>
    </row>
    <row r="9" spans="1:11">
      <c r="A9" s="472"/>
      <c r="B9" s="472"/>
      <c r="C9" s="472"/>
      <c r="D9" s="472"/>
      <c r="E9" s="472"/>
      <c r="F9" s="472"/>
      <c r="G9" s="472"/>
      <c r="H9" s="472"/>
      <c r="I9" s="472"/>
      <c r="J9" s="472"/>
      <c r="K9" s="472"/>
    </row>
    <row r="10" spans="1:11">
      <c r="A10" s="472"/>
      <c r="B10" s="472"/>
      <c r="C10" s="472"/>
      <c r="D10" s="472"/>
      <c r="E10" s="472"/>
      <c r="F10" s="472"/>
      <c r="G10" s="472"/>
      <c r="H10" s="472"/>
      <c r="I10" s="472"/>
      <c r="J10" s="472"/>
      <c r="K10" s="472"/>
    </row>
    <row r="11" spans="1:11">
      <c r="A11" s="472"/>
      <c r="B11" s="472"/>
      <c r="C11" s="472"/>
      <c r="D11" s="472"/>
      <c r="E11" s="472"/>
      <c r="F11" s="472"/>
      <c r="G11" s="472"/>
      <c r="H11" s="472"/>
      <c r="I11" s="472"/>
      <c r="J11" s="472"/>
      <c r="K11" s="472"/>
    </row>
    <row r="12" spans="1:11">
      <c r="A12" s="472"/>
      <c r="B12" s="472"/>
      <c r="C12" s="472"/>
      <c r="D12" s="472"/>
      <c r="E12" s="472"/>
      <c r="F12" s="472"/>
      <c r="G12" s="472"/>
      <c r="H12" s="472"/>
      <c r="I12" s="472"/>
      <c r="J12" s="472"/>
      <c r="K12" s="472"/>
    </row>
    <row r="13" spans="1:11">
      <c r="A13" s="472"/>
      <c r="B13" s="472"/>
      <c r="C13" s="472"/>
      <c r="D13" s="472"/>
      <c r="E13" s="472"/>
      <c r="F13" s="472"/>
      <c r="G13" s="472"/>
      <c r="H13" s="472"/>
      <c r="I13" s="472"/>
      <c r="J13" s="472"/>
      <c r="K13" s="472"/>
    </row>
    <row r="14" spans="1:11">
      <c r="A14" s="472"/>
      <c r="B14" s="472"/>
      <c r="C14" s="472"/>
      <c r="D14" s="472"/>
      <c r="E14" s="472"/>
      <c r="F14" s="472"/>
      <c r="G14" s="472"/>
      <c r="H14" s="472"/>
      <c r="I14" s="472"/>
      <c r="J14" s="472"/>
      <c r="K14" s="472"/>
    </row>
    <row r="15" spans="1:11">
      <c r="A15" s="472"/>
      <c r="B15" s="472"/>
      <c r="C15" s="472"/>
      <c r="D15" s="472"/>
      <c r="E15" s="472"/>
      <c r="F15" s="472"/>
      <c r="G15" s="472"/>
      <c r="H15" s="472"/>
      <c r="I15" s="472"/>
      <c r="J15" s="472"/>
      <c r="K15" s="472"/>
    </row>
    <row r="16" spans="1:11">
      <c r="A16" s="472"/>
      <c r="B16" s="472"/>
      <c r="C16" s="472"/>
      <c r="D16" s="472"/>
      <c r="E16" s="472"/>
      <c r="F16" s="472"/>
      <c r="G16" s="472"/>
      <c r="H16" s="472"/>
      <c r="I16" s="472"/>
      <c r="J16" s="472"/>
      <c r="K16" s="472"/>
    </row>
    <row r="17" spans="1:11">
      <c r="A17" s="472"/>
      <c r="B17" s="472"/>
      <c r="C17" s="472"/>
      <c r="D17" s="472"/>
      <c r="E17" s="472"/>
      <c r="F17" s="472"/>
      <c r="G17" s="472"/>
      <c r="H17" s="472"/>
      <c r="I17" s="472"/>
      <c r="J17" s="472"/>
      <c r="K17" s="472"/>
    </row>
    <row r="18" spans="1:11">
      <c r="A18" s="472"/>
      <c r="B18" s="472"/>
      <c r="C18" s="472"/>
      <c r="D18" s="472"/>
      <c r="E18" s="472"/>
      <c r="F18" s="472"/>
      <c r="G18" s="472"/>
      <c r="H18" s="472"/>
      <c r="I18" s="472"/>
      <c r="J18" s="472"/>
      <c r="K18" s="472"/>
    </row>
    <row r="19" spans="1:11">
      <c r="A19" s="472"/>
      <c r="B19" s="472"/>
      <c r="C19" s="472"/>
      <c r="D19" s="472"/>
      <c r="E19" s="472"/>
      <c r="F19" s="472"/>
      <c r="G19" s="472"/>
      <c r="H19" s="472"/>
      <c r="I19" s="472"/>
      <c r="J19" s="472"/>
      <c r="K19" s="472"/>
    </row>
    <row r="20" spans="1:11">
      <c r="A20" s="472"/>
      <c r="B20" s="472"/>
      <c r="C20" s="472"/>
      <c r="D20" s="472"/>
      <c r="E20" s="472"/>
      <c r="F20" s="472"/>
      <c r="G20" s="472"/>
      <c r="H20" s="472"/>
      <c r="I20" s="472"/>
      <c r="J20" s="472"/>
      <c r="K20" s="472"/>
    </row>
    <row r="21" spans="1:11">
      <c r="A21" s="472"/>
      <c r="B21" s="472"/>
      <c r="C21" s="472"/>
      <c r="D21" s="472"/>
      <c r="E21" s="472"/>
      <c r="F21" s="472"/>
      <c r="G21" s="472"/>
      <c r="H21" s="472"/>
      <c r="I21" s="472"/>
      <c r="J21" s="472"/>
      <c r="K21" s="472"/>
    </row>
    <row r="22" spans="1:11">
      <c r="A22" s="472"/>
      <c r="B22" s="472"/>
      <c r="C22" s="472"/>
      <c r="D22" s="472"/>
      <c r="E22" s="472"/>
      <c r="F22" s="472"/>
      <c r="G22" s="472"/>
      <c r="H22" s="472"/>
      <c r="I22" s="472"/>
      <c r="J22" s="472"/>
      <c r="K22" s="472"/>
    </row>
    <row r="23" s="470" customFormat="1" spans="1:11">
      <c r="A23" s="473" t="s">
        <v>4</v>
      </c>
      <c r="B23" s="473"/>
      <c r="C23" s="473"/>
      <c r="D23" s="473"/>
      <c r="E23" s="473"/>
      <c r="F23" s="473"/>
      <c r="G23" s="473"/>
      <c r="H23" s="473"/>
      <c r="I23" s="473"/>
      <c r="J23" s="473"/>
      <c r="K23" s="473"/>
    </row>
  </sheetData>
  <sheetProtection algorithmName="SHA-512" hashValue="0lDVfyWZvFDV6Bqbwr02f0peLTD4VwBhi1Qw7ntJzx+rmTcjvGbteQ3UNcCZpd9S7vl0nWByfkOFfZ4JasAYGw==" saltValue="8+MGvHkHqCgZvmWgdX5fnQ==" spinCount="100000" sheet="1" objects="1" scenarios="1"/>
  <mergeCells count="1">
    <mergeCell ref="A23:K23"/>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00B0F0"/>
  </sheetPr>
  <dimension ref="A1:BI312"/>
  <sheetViews>
    <sheetView workbookViewId="0">
      <pane xSplit="5" ySplit="5" topLeftCell="F6" activePane="bottomRight" state="frozen"/>
      <selection/>
      <selection pane="topRight"/>
      <selection pane="bottomLeft"/>
      <selection pane="bottomRight" activeCell="B41" sqref="B41"/>
    </sheetView>
  </sheetViews>
  <sheetFormatPr defaultColWidth="0" defaultRowHeight="15.75" zeroHeight="1"/>
  <cols>
    <col min="1" max="1" width="5" style="430" customWidth="1"/>
    <col min="2" max="2" width="36.375" style="430" customWidth="1"/>
    <col min="3" max="4" width="12" style="431" customWidth="1"/>
    <col min="5" max="5" width="4.5" style="431" customWidth="1"/>
    <col min="6" max="6" width="6.375" style="431" customWidth="1"/>
    <col min="7" max="55" width="5.875" style="431" customWidth="1"/>
    <col min="56" max="56" width="5.375" style="430" customWidth="1"/>
    <col min="57" max="57" width="6.875" style="430" customWidth="1"/>
    <col min="58" max="60" width="5" style="432" customWidth="1"/>
    <col min="61" max="61" width="9" style="430" customWidth="1"/>
    <col min="62" max="62" width="0" style="430" hidden="1" customWidth="1"/>
    <col min="63" max="16384" width="9" style="430" hidden="1"/>
  </cols>
  <sheetData>
    <row r="1" customHeight="1" spans="1:60">
      <c r="A1" s="433" t="str">
        <f>"DAFTAR HADIR MATA PELAJARAN "&amp;'KI3'!H2</f>
        <v>DAFTAR HADIR MATA PELAJARAN Prakarya</v>
      </c>
      <c r="B1" s="433"/>
      <c r="C1" s="433"/>
      <c r="D1" s="434"/>
      <c r="E1" s="434"/>
      <c r="F1" s="434"/>
      <c r="G1" s="434"/>
      <c r="H1" s="434"/>
      <c r="I1" s="434"/>
      <c r="J1" s="434"/>
      <c r="K1" s="434"/>
      <c r="L1" s="434" t="s">
        <v>5</v>
      </c>
      <c r="M1" s="460" t="s">
        <v>6</v>
      </c>
      <c r="N1" s="434"/>
      <c r="O1" s="460" t="s">
        <v>7</v>
      </c>
      <c r="P1" s="434"/>
      <c r="Q1" s="434"/>
      <c r="R1" s="434"/>
      <c r="S1" s="434"/>
      <c r="T1" s="434"/>
      <c r="U1" s="434"/>
      <c r="V1" s="434"/>
      <c r="W1" s="434"/>
      <c r="X1" s="434"/>
      <c r="Y1" s="434"/>
      <c r="Z1" s="434"/>
      <c r="AA1" s="434"/>
      <c r="AB1" s="434"/>
      <c r="AC1" s="434"/>
      <c r="AD1" s="434"/>
      <c r="AE1" s="434"/>
      <c r="AF1" s="434"/>
      <c r="AI1" s="434"/>
      <c r="AJ1" s="434"/>
      <c r="AK1" s="434"/>
      <c r="AL1" s="434"/>
      <c r="AM1" s="434"/>
      <c r="AN1" s="434"/>
      <c r="AO1" s="434"/>
      <c r="AP1" s="434"/>
      <c r="AQ1" s="434"/>
      <c r="AR1" s="434"/>
      <c r="AS1" s="434"/>
      <c r="AT1" s="434"/>
      <c r="AU1" s="434"/>
      <c r="AV1" s="434"/>
      <c r="AW1" s="434"/>
      <c r="AX1" s="434"/>
      <c r="AY1" s="434"/>
      <c r="AZ1" s="434"/>
      <c r="BA1" s="434"/>
      <c r="BB1" s="434"/>
      <c r="BC1" s="434"/>
      <c r="BD1" s="459" t="s">
        <v>8</v>
      </c>
      <c r="BE1" s="459"/>
      <c r="BF1" s="467"/>
      <c r="BG1" s="467"/>
      <c r="BH1" s="467"/>
    </row>
    <row r="2" customHeight="1" spans="1:60">
      <c r="A2" s="433"/>
      <c r="B2" s="433"/>
      <c r="C2" s="433"/>
      <c r="D2" s="435" t="s">
        <v>9</v>
      </c>
      <c r="E2" s="434"/>
      <c r="F2" s="434"/>
      <c r="G2" s="434"/>
      <c r="H2" s="434"/>
      <c r="I2" s="434"/>
      <c r="J2" s="434"/>
      <c r="K2" s="434"/>
      <c r="L2" s="434"/>
      <c r="M2" s="460" t="s">
        <v>10</v>
      </c>
      <c r="N2" s="434"/>
      <c r="O2" s="460" t="s">
        <v>11</v>
      </c>
      <c r="P2" s="434"/>
      <c r="Q2" s="434"/>
      <c r="R2" s="434"/>
      <c r="S2" s="434"/>
      <c r="T2" s="434"/>
      <c r="U2" s="434"/>
      <c r="V2" s="434"/>
      <c r="W2" s="434"/>
      <c r="X2" s="434"/>
      <c r="Y2" s="434"/>
      <c r="Z2" s="434"/>
      <c r="AA2" s="434"/>
      <c r="AB2" s="434"/>
      <c r="AC2" s="434"/>
      <c r="AD2" s="434"/>
      <c r="AE2" s="434"/>
      <c r="AF2" s="434"/>
      <c r="AI2" s="434"/>
      <c r="AJ2" s="434"/>
      <c r="AK2" s="434"/>
      <c r="AL2" s="434"/>
      <c r="AM2" s="434"/>
      <c r="AN2" s="434"/>
      <c r="AO2" s="434"/>
      <c r="AP2" s="434"/>
      <c r="AQ2" s="434"/>
      <c r="AR2" s="434"/>
      <c r="AS2" s="434"/>
      <c r="AT2" s="434"/>
      <c r="AU2" s="434"/>
      <c r="AV2" s="434"/>
      <c r="AW2" s="434"/>
      <c r="AX2" s="434"/>
      <c r="AY2" s="434"/>
      <c r="AZ2" s="434"/>
      <c r="BA2" s="434"/>
      <c r="BB2" s="434"/>
      <c r="BC2" s="434"/>
      <c r="BD2" s="459" t="s">
        <v>12</v>
      </c>
      <c r="BE2" s="459"/>
      <c r="BF2" s="467"/>
      <c r="BG2" s="467"/>
      <c r="BH2" s="467"/>
    </row>
    <row r="3" customHeight="1" spans="1:60">
      <c r="A3" s="436" t="str">
        <f>"Nama Guru : "&amp;'KI3'!H3</f>
        <v>Nama Guru : VERI USDI, S.E</v>
      </c>
      <c r="B3" s="436"/>
      <c r="C3" s="436"/>
      <c r="D3" s="435" t="str">
        <f>'KI3'!M2</f>
        <v>8C</v>
      </c>
      <c r="E3" s="434"/>
      <c r="F3" s="434"/>
      <c r="G3" s="434"/>
      <c r="H3" s="434"/>
      <c r="I3" s="434"/>
      <c r="J3" s="434"/>
      <c r="K3" s="434"/>
      <c r="L3" s="434"/>
      <c r="M3" s="460"/>
      <c r="N3" s="434"/>
      <c r="O3" s="434"/>
      <c r="P3" s="434"/>
      <c r="Q3" s="434"/>
      <c r="R3" s="434"/>
      <c r="S3" s="434"/>
      <c r="T3" s="434"/>
      <c r="U3" s="434"/>
      <c r="V3" s="434"/>
      <c r="W3" s="434"/>
      <c r="X3" s="434"/>
      <c r="Y3" s="434"/>
      <c r="Z3" s="434"/>
      <c r="AA3" s="434"/>
      <c r="AB3" s="434"/>
      <c r="AC3" s="434"/>
      <c r="AD3" s="434"/>
      <c r="AE3" s="434"/>
      <c r="AF3" s="434"/>
      <c r="AG3" s="434"/>
      <c r="AH3" s="434"/>
      <c r="AI3" s="434"/>
      <c r="AJ3" s="434"/>
      <c r="AK3" s="434"/>
      <c r="AL3" s="434"/>
      <c r="AM3" s="434"/>
      <c r="AN3" s="434"/>
      <c r="AO3" s="434"/>
      <c r="AP3" s="434"/>
      <c r="AQ3" s="434"/>
      <c r="AR3" s="434"/>
      <c r="AS3" s="434"/>
      <c r="AT3" s="434"/>
      <c r="AU3" s="434"/>
      <c r="AV3" s="434"/>
      <c r="AW3" s="434"/>
      <c r="AX3" s="434"/>
      <c r="AY3" s="434"/>
      <c r="AZ3" s="434"/>
      <c r="BA3" s="434"/>
      <c r="BB3" s="434"/>
      <c r="BC3" s="434"/>
      <c r="BD3" s="459"/>
      <c r="BE3" s="459"/>
      <c r="BF3" s="467"/>
      <c r="BG3" s="467"/>
      <c r="BH3" s="467"/>
    </row>
    <row r="4" customHeight="1" spans="1:60">
      <c r="A4" s="437" t="s">
        <v>13</v>
      </c>
      <c r="B4" s="438" t="s">
        <v>14</v>
      </c>
      <c r="C4" s="439" t="s">
        <v>15</v>
      </c>
      <c r="D4" s="440" t="s">
        <v>16</v>
      </c>
      <c r="E4" s="441" t="s">
        <v>17</v>
      </c>
      <c r="F4" s="442" t="s">
        <v>18</v>
      </c>
      <c r="G4" s="443"/>
      <c r="H4" s="443"/>
      <c r="I4" s="443"/>
      <c r="J4" s="443"/>
      <c r="K4" s="443"/>
      <c r="L4" s="443"/>
      <c r="M4" s="443"/>
      <c r="N4" s="443"/>
      <c r="O4" s="443"/>
      <c r="P4" s="443"/>
      <c r="Q4" s="443"/>
      <c r="R4" s="443"/>
      <c r="S4" s="443"/>
      <c r="T4" s="443"/>
      <c r="U4" s="443"/>
      <c r="V4" s="443"/>
      <c r="W4" s="443"/>
      <c r="X4" s="443"/>
      <c r="Y4" s="443"/>
      <c r="Z4" s="443"/>
      <c r="AA4" s="443"/>
      <c r="AB4" s="443"/>
      <c r="AC4" s="443"/>
      <c r="AD4" s="443"/>
      <c r="AE4" s="443"/>
      <c r="AF4" s="443"/>
      <c r="AG4" s="443"/>
      <c r="AH4" s="443"/>
      <c r="AI4" s="443"/>
      <c r="AJ4" s="443"/>
      <c r="AK4" s="443"/>
      <c r="AL4" s="443"/>
      <c r="AM4" s="443"/>
      <c r="AN4" s="443"/>
      <c r="AO4" s="443"/>
      <c r="AP4" s="443"/>
      <c r="AQ4" s="443"/>
      <c r="AR4" s="443"/>
      <c r="AS4" s="443"/>
      <c r="AT4" s="443"/>
      <c r="AU4" s="443"/>
      <c r="AV4" s="443"/>
      <c r="AW4" s="443"/>
      <c r="AX4" s="443"/>
      <c r="AY4" s="443"/>
      <c r="AZ4" s="443"/>
      <c r="BA4" s="443"/>
      <c r="BB4" s="443"/>
      <c r="BC4" s="464"/>
      <c r="BD4" s="465" t="s">
        <v>19</v>
      </c>
      <c r="BE4" s="465"/>
      <c r="BF4" s="468" t="s">
        <v>20</v>
      </c>
      <c r="BG4" s="468"/>
      <c r="BH4" s="468"/>
    </row>
    <row r="5" ht="39.75" customHeight="1" spans="1:60">
      <c r="A5" s="437"/>
      <c r="B5" s="444"/>
      <c r="C5" s="439"/>
      <c r="D5" s="445"/>
      <c r="E5" s="446"/>
      <c r="F5" s="447">
        <v>1</v>
      </c>
      <c r="G5" s="448">
        <v>2</v>
      </c>
      <c r="H5" s="447">
        <v>3</v>
      </c>
      <c r="I5" s="448">
        <v>4</v>
      </c>
      <c r="J5" s="447">
        <v>5</v>
      </c>
      <c r="K5" s="448">
        <v>6</v>
      </c>
      <c r="L5" s="447">
        <v>7</v>
      </c>
      <c r="M5" s="448">
        <v>8</v>
      </c>
      <c r="N5" s="447">
        <v>9</v>
      </c>
      <c r="O5" s="448">
        <v>10</v>
      </c>
      <c r="P5" s="447">
        <v>11</v>
      </c>
      <c r="Q5" s="448">
        <v>12</v>
      </c>
      <c r="R5" s="447">
        <v>13</v>
      </c>
      <c r="S5" s="448">
        <v>14</v>
      </c>
      <c r="T5" s="447">
        <v>15</v>
      </c>
      <c r="U5" s="448">
        <v>16</v>
      </c>
      <c r="V5" s="447">
        <v>17</v>
      </c>
      <c r="W5" s="448">
        <v>18</v>
      </c>
      <c r="X5" s="447">
        <v>19</v>
      </c>
      <c r="Y5" s="448">
        <v>20</v>
      </c>
      <c r="Z5" s="447">
        <v>21</v>
      </c>
      <c r="AA5" s="448">
        <v>22</v>
      </c>
      <c r="AB5" s="447">
        <v>23</v>
      </c>
      <c r="AC5" s="448">
        <v>24</v>
      </c>
      <c r="AD5" s="447">
        <v>25</v>
      </c>
      <c r="AE5" s="448">
        <v>26</v>
      </c>
      <c r="AF5" s="447">
        <v>27</v>
      </c>
      <c r="AG5" s="448">
        <v>28</v>
      </c>
      <c r="AH5" s="447">
        <v>29</v>
      </c>
      <c r="AI5" s="448">
        <v>30</v>
      </c>
      <c r="AJ5" s="447">
        <v>31</v>
      </c>
      <c r="AK5" s="448">
        <v>32</v>
      </c>
      <c r="AL5" s="447">
        <v>33</v>
      </c>
      <c r="AM5" s="448">
        <v>34</v>
      </c>
      <c r="AN5" s="447">
        <v>35</v>
      </c>
      <c r="AO5" s="448">
        <v>36</v>
      </c>
      <c r="AP5" s="447">
        <v>37</v>
      </c>
      <c r="AQ5" s="448">
        <v>38</v>
      </c>
      <c r="AR5" s="447">
        <v>39</v>
      </c>
      <c r="AS5" s="448">
        <v>40</v>
      </c>
      <c r="AT5" s="447">
        <v>41</v>
      </c>
      <c r="AU5" s="448">
        <v>42</v>
      </c>
      <c r="AV5" s="447">
        <v>43</v>
      </c>
      <c r="AW5" s="448">
        <v>44</v>
      </c>
      <c r="AX5" s="447">
        <v>45</v>
      </c>
      <c r="AY5" s="448">
        <v>46</v>
      </c>
      <c r="AZ5" s="447">
        <v>47</v>
      </c>
      <c r="BA5" s="448">
        <v>48</v>
      </c>
      <c r="BB5" s="447">
        <v>49</v>
      </c>
      <c r="BC5" s="448">
        <v>50</v>
      </c>
      <c r="BD5" s="465" t="s">
        <v>21</v>
      </c>
      <c r="BE5" s="465" t="s">
        <v>22</v>
      </c>
      <c r="BF5" s="468" t="s">
        <v>23</v>
      </c>
      <c r="BG5" s="468" t="s">
        <v>24</v>
      </c>
      <c r="BH5" s="468" t="s">
        <v>25</v>
      </c>
    </row>
    <row r="6" ht="39.75" customHeight="1" spans="1:60">
      <c r="A6" s="437"/>
      <c r="B6" s="444"/>
      <c r="C6" s="439"/>
      <c r="D6" s="445"/>
      <c r="E6" s="446"/>
      <c r="F6" s="449"/>
      <c r="G6" s="449"/>
      <c r="H6" s="449"/>
      <c r="I6" s="449"/>
      <c r="J6" s="449"/>
      <c r="K6" s="449"/>
      <c r="L6" s="447"/>
      <c r="M6" s="448"/>
      <c r="N6" s="447"/>
      <c r="O6" s="448"/>
      <c r="P6" s="447"/>
      <c r="Q6" s="448"/>
      <c r="R6" s="447"/>
      <c r="S6" s="448"/>
      <c r="T6" s="447"/>
      <c r="U6" s="448"/>
      <c r="V6" s="447"/>
      <c r="W6" s="448"/>
      <c r="X6" s="447"/>
      <c r="Y6" s="448"/>
      <c r="Z6" s="447"/>
      <c r="AA6" s="448"/>
      <c r="AB6" s="447"/>
      <c r="AC6" s="448"/>
      <c r="AD6" s="447"/>
      <c r="AE6" s="448"/>
      <c r="AF6" s="447"/>
      <c r="AG6" s="448"/>
      <c r="AH6" s="447"/>
      <c r="AI6" s="448"/>
      <c r="AJ6" s="447"/>
      <c r="AK6" s="448"/>
      <c r="AL6" s="447"/>
      <c r="AM6" s="448"/>
      <c r="AN6" s="447"/>
      <c r="AO6" s="448"/>
      <c r="AP6" s="447"/>
      <c r="AQ6" s="448"/>
      <c r="AR6" s="447"/>
      <c r="AS6" s="448"/>
      <c r="AT6" s="447"/>
      <c r="AU6" s="448"/>
      <c r="AV6" s="447"/>
      <c r="AW6" s="448"/>
      <c r="AX6" s="447"/>
      <c r="AY6" s="448"/>
      <c r="AZ6" s="447"/>
      <c r="BA6" s="448"/>
      <c r="BB6" s="447"/>
      <c r="BC6" s="448"/>
      <c r="BD6" s="465"/>
      <c r="BE6" s="465"/>
      <c r="BF6" s="468"/>
      <c r="BG6" s="468"/>
      <c r="BH6" s="468"/>
    </row>
    <row r="7" spans="1:60">
      <c r="A7" s="450">
        <v>1</v>
      </c>
      <c r="B7" s="451"/>
      <c r="C7" s="452"/>
      <c r="D7" s="453"/>
      <c r="E7" s="454"/>
      <c r="F7" s="455"/>
      <c r="G7" s="455"/>
      <c r="H7" s="455"/>
      <c r="I7" s="455"/>
      <c r="J7" s="461"/>
      <c r="K7" s="455"/>
      <c r="L7" s="462"/>
      <c r="M7" s="462"/>
      <c r="N7" s="462"/>
      <c r="O7" s="462"/>
      <c r="P7" s="462"/>
      <c r="Q7" s="462"/>
      <c r="R7" s="462"/>
      <c r="S7" s="462"/>
      <c r="T7" s="462"/>
      <c r="U7" s="462"/>
      <c r="V7" s="462"/>
      <c r="W7" s="462"/>
      <c r="X7" s="462"/>
      <c r="Y7" s="462"/>
      <c r="Z7" s="462"/>
      <c r="AA7" s="462"/>
      <c r="AB7" s="462"/>
      <c r="AC7" s="462"/>
      <c r="AD7" s="462"/>
      <c r="AE7" s="462"/>
      <c r="AF7" s="462"/>
      <c r="AG7" s="462"/>
      <c r="AH7" s="462"/>
      <c r="AI7" s="462"/>
      <c r="AJ7" s="462"/>
      <c r="AK7" s="462"/>
      <c r="AL7" s="462"/>
      <c r="AM7" s="462"/>
      <c r="AN7" s="462"/>
      <c r="AO7" s="462"/>
      <c r="AP7" s="462"/>
      <c r="AQ7" s="462"/>
      <c r="AR7" s="462"/>
      <c r="AS7" s="462"/>
      <c r="AT7" s="462"/>
      <c r="AU7" s="462"/>
      <c r="AV7" s="462"/>
      <c r="AW7" s="462"/>
      <c r="AX7" s="462"/>
      <c r="AY7" s="462"/>
      <c r="AZ7" s="462"/>
      <c r="BA7" s="462"/>
      <c r="BB7" s="462"/>
      <c r="BC7" s="462"/>
      <c r="BD7" s="466" t="str">
        <f>IF(SUM(F7:BC7)=0,"",SUM(F7:BC7))</f>
        <v/>
      </c>
      <c r="BE7" s="469" t="str">
        <f>IFERROR(BD7/COUNTA(F7:BC7),"")</f>
        <v/>
      </c>
      <c r="BF7" s="466" t="str">
        <f>IF(COUNTIF(F7:BC7,"S")=0,"",COUNTIF(F7:BC7,"S"))</f>
        <v/>
      </c>
      <c r="BG7" s="466" t="str">
        <f>IF(COUNTIF(F7:BC7,"I")=0,"",COUNTIF(F7:BC7,"I"))</f>
        <v/>
      </c>
      <c r="BH7" s="466" t="str">
        <f>IF(COUNTIF(F7:BC7,"A")=0,"",COUNTIF(F7:BC7,"A"))</f>
        <v/>
      </c>
    </row>
    <row r="8" spans="1:60">
      <c r="A8" s="450">
        <v>2</v>
      </c>
      <c r="B8" s="451"/>
      <c r="C8" s="452"/>
      <c r="D8" s="453"/>
      <c r="E8" s="454"/>
      <c r="F8" s="455"/>
      <c r="G8" s="455"/>
      <c r="H8" s="455"/>
      <c r="I8" s="455"/>
      <c r="J8" s="461"/>
      <c r="K8" s="455"/>
      <c r="L8" s="462"/>
      <c r="M8" s="462"/>
      <c r="N8" s="462"/>
      <c r="O8" s="462"/>
      <c r="P8" s="462"/>
      <c r="Q8" s="462"/>
      <c r="R8" s="462"/>
      <c r="S8" s="462"/>
      <c r="T8" s="462"/>
      <c r="U8" s="462"/>
      <c r="V8" s="462"/>
      <c r="W8" s="462"/>
      <c r="X8" s="462"/>
      <c r="Y8" s="462"/>
      <c r="Z8" s="462"/>
      <c r="AA8" s="462"/>
      <c r="AB8" s="462"/>
      <c r="AC8" s="462"/>
      <c r="AD8" s="462"/>
      <c r="AE8" s="462"/>
      <c r="AF8" s="462"/>
      <c r="AG8" s="462"/>
      <c r="AH8" s="462"/>
      <c r="AI8" s="462"/>
      <c r="AJ8" s="462"/>
      <c r="AK8" s="462"/>
      <c r="AL8" s="462"/>
      <c r="AM8" s="462"/>
      <c r="AN8" s="462"/>
      <c r="AO8" s="462"/>
      <c r="AP8" s="462"/>
      <c r="AQ8" s="462"/>
      <c r="AR8" s="462"/>
      <c r="AS8" s="462"/>
      <c r="AT8" s="462"/>
      <c r="AU8" s="462"/>
      <c r="AV8" s="462"/>
      <c r="AW8" s="462"/>
      <c r="AX8" s="462"/>
      <c r="AY8" s="462"/>
      <c r="AZ8" s="462"/>
      <c r="BA8" s="462"/>
      <c r="BB8" s="462"/>
      <c r="BC8" s="462"/>
      <c r="BD8" s="466" t="str">
        <f t="shared" ref="BD8:BD56" si="0">IF(SUM(F8:BC8)=0,"",SUM(F8:BC8))</f>
        <v/>
      </c>
      <c r="BE8" s="469" t="str">
        <f t="shared" ref="BE8:BE56" si="1">IFERROR(BD8/COUNTA(F8:BC8),"")</f>
        <v/>
      </c>
      <c r="BF8" s="466" t="str">
        <f t="shared" ref="BF8:BF56" si="2">IF(COUNTIF(F8:BC8,"S")=0,"",COUNTIF(F8:BC8,"S"))</f>
        <v/>
      </c>
      <c r="BG8" s="466" t="str">
        <f t="shared" ref="BG8:BG56" si="3">IF(COUNTIF(F8:BC8,"I")=0,"",COUNTIF(F8:BC8,"I"))</f>
        <v/>
      </c>
      <c r="BH8" s="466" t="str">
        <f t="shared" ref="BH8:BH56" si="4">IF(COUNTIF(F8:BC8,"A")=0,"",COUNTIF(F8:BC8,"A"))</f>
        <v/>
      </c>
    </row>
    <row r="9" spans="1:60">
      <c r="A9" s="450">
        <v>3</v>
      </c>
      <c r="B9" s="451"/>
      <c r="C9" s="452"/>
      <c r="D9" s="453"/>
      <c r="E9" s="454"/>
      <c r="F9" s="455"/>
      <c r="G9" s="455"/>
      <c r="H9" s="455"/>
      <c r="I9" s="455"/>
      <c r="J9" s="461"/>
      <c r="K9" s="455"/>
      <c r="L9" s="462"/>
      <c r="M9" s="462"/>
      <c r="N9" s="462"/>
      <c r="O9" s="462"/>
      <c r="P9" s="462"/>
      <c r="Q9" s="462"/>
      <c r="R9" s="462"/>
      <c r="S9" s="462"/>
      <c r="T9" s="462"/>
      <c r="U9" s="462"/>
      <c r="V9" s="462"/>
      <c r="W9" s="462"/>
      <c r="X9" s="462"/>
      <c r="Y9" s="462"/>
      <c r="Z9" s="462"/>
      <c r="AA9" s="462"/>
      <c r="AB9" s="462"/>
      <c r="AC9" s="462"/>
      <c r="AD9" s="462"/>
      <c r="AE9" s="462"/>
      <c r="AF9" s="462"/>
      <c r="AG9" s="462"/>
      <c r="AH9" s="462"/>
      <c r="AI9" s="462"/>
      <c r="AJ9" s="462"/>
      <c r="AK9" s="462"/>
      <c r="AL9" s="462"/>
      <c r="AM9" s="462"/>
      <c r="AN9" s="462"/>
      <c r="AO9" s="462"/>
      <c r="AP9" s="462"/>
      <c r="AQ9" s="462"/>
      <c r="AR9" s="462"/>
      <c r="AS9" s="462"/>
      <c r="AT9" s="462"/>
      <c r="AU9" s="462"/>
      <c r="AV9" s="462"/>
      <c r="AW9" s="462"/>
      <c r="AX9" s="462"/>
      <c r="AY9" s="462"/>
      <c r="AZ9" s="462"/>
      <c r="BA9" s="462"/>
      <c r="BB9" s="462"/>
      <c r="BC9" s="462"/>
      <c r="BD9" s="466" t="str">
        <f t="shared" si="0"/>
        <v/>
      </c>
      <c r="BE9" s="469" t="str">
        <f t="shared" si="1"/>
        <v/>
      </c>
      <c r="BF9" s="466" t="str">
        <f t="shared" si="2"/>
        <v/>
      </c>
      <c r="BG9" s="466" t="str">
        <f t="shared" si="3"/>
        <v/>
      </c>
      <c r="BH9" s="466" t="str">
        <f t="shared" si="4"/>
        <v/>
      </c>
    </row>
    <row r="10" spans="1:60">
      <c r="A10" s="450">
        <v>4</v>
      </c>
      <c r="B10" s="451"/>
      <c r="C10" s="452"/>
      <c r="D10" s="453"/>
      <c r="E10" s="454"/>
      <c r="F10" s="455"/>
      <c r="G10" s="455"/>
      <c r="H10" s="455"/>
      <c r="I10" s="455"/>
      <c r="J10" s="461"/>
      <c r="K10" s="455"/>
      <c r="L10" s="462"/>
      <c r="M10" s="462"/>
      <c r="N10" s="462"/>
      <c r="O10" s="462"/>
      <c r="P10" s="462"/>
      <c r="Q10" s="462"/>
      <c r="R10" s="462"/>
      <c r="S10" s="462"/>
      <c r="T10" s="462"/>
      <c r="U10" s="462"/>
      <c r="V10" s="462"/>
      <c r="W10" s="462"/>
      <c r="X10" s="462"/>
      <c r="Y10" s="462"/>
      <c r="Z10" s="462"/>
      <c r="AA10" s="462"/>
      <c r="AB10" s="462"/>
      <c r="AC10" s="462"/>
      <c r="AD10" s="462"/>
      <c r="AE10" s="462"/>
      <c r="AF10" s="462"/>
      <c r="AG10" s="462"/>
      <c r="AH10" s="462"/>
      <c r="AI10" s="462"/>
      <c r="AJ10" s="462"/>
      <c r="AK10" s="462"/>
      <c r="AL10" s="462"/>
      <c r="AM10" s="462"/>
      <c r="AN10" s="462"/>
      <c r="AO10" s="462"/>
      <c r="AP10" s="462"/>
      <c r="AQ10" s="462"/>
      <c r="AR10" s="462"/>
      <c r="AS10" s="462"/>
      <c r="AT10" s="462"/>
      <c r="AU10" s="462"/>
      <c r="AV10" s="462"/>
      <c r="AW10" s="462"/>
      <c r="AX10" s="462"/>
      <c r="AY10" s="462"/>
      <c r="AZ10" s="462"/>
      <c r="BA10" s="462"/>
      <c r="BB10" s="462"/>
      <c r="BC10" s="462"/>
      <c r="BD10" s="466" t="str">
        <f t="shared" si="0"/>
        <v/>
      </c>
      <c r="BE10" s="469" t="str">
        <f t="shared" si="1"/>
        <v/>
      </c>
      <c r="BF10" s="466" t="str">
        <f t="shared" si="2"/>
        <v/>
      </c>
      <c r="BG10" s="466" t="str">
        <f t="shared" si="3"/>
        <v/>
      </c>
      <c r="BH10" s="466" t="str">
        <f t="shared" si="4"/>
        <v/>
      </c>
    </row>
    <row r="11" spans="1:60">
      <c r="A11" s="450">
        <v>5</v>
      </c>
      <c r="B11" s="451"/>
      <c r="C11" s="452"/>
      <c r="D11" s="453"/>
      <c r="E11" s="454"/>
      <c r="F11" s="455"/>
      <c r="G11" s="455"/>
      <c r="H11" s="455"/>
      <c r="I11" s="455"/>
      <c r="J11" s="461"/>
      <c r="K11" s="455"/>
      <c r="L11" s="462"/>
      <c r="M11" s="462"/>
      <c r="N11" s="462"/>
      <c r="O11" s="462"/>
      <c r="P11" s="462"/>
      <c r="Q11" s="462"/>
      <c r="R11" s="462"/>
      <c r="S11" s="462"/>
      <c r="T11" s="462"/>
      <c r="U11" s="462"/>
      <c r="V11" s="462"/>
      <c r="W11" s="462"/>
      <c r="X11" s="462"/>
      <c r="Y11" s="462"/>
      <c r="Z11" s="462"/>
      <c r="AA11" s="462"/>
      <c r="AB11" s="462"/>
      <c r="AC11" s="462"/>
      <c r="AD11" s="462"/>
      <c r="AE11" s="462"/>
      <c r="AF11" s="462"/>
      <c r="AG11" s="462"/>
      <c r="AH11" s="462"/>
      <c r="AI11" s="462"/>
      <c r="AJ11" s="462"/>
      <c r="AK11" s="462"/>
      <c r="AL11" s="462"/>
      <c r="AM11" s="462"/>
      <c r="AN11" s="462"/>
      <c r="AO11" s="462"/>
      <c r="AP11" s="462"/>
      <c r="AQ11" s="462"/>
      <c r="AR11" s="462"/>
      <c r="AS11" s="462"/>
      <c r="AT11" s="462"/>
      <c r="AU11" s="462"/>
      <c r="AV11" s="462"/>
      <c r="AW11" s="462"/>
      <c r="AX11" s="462"/>
      <c r="AY11" s="462"/>
      <c r="AZ11" s="462"/>
      <c r="BA11" s="462"/>
      <c r="BB11" s="462"/>
      <c r="BC11" s="462"/>
      <c r="BD11" s="466" t="str">
        <f t="shared" si="0"/>
        <v/>
      </c>
      <c r="BE11" s="469" t="str">
        <f t="shared" si="1"/>
        <v/>
      </c>
      <c r="BF11" s="466" t="str">
        <f t="shared" si="2"/>
        <v/>
      </c>
      <c r="BG11" s="466" t="str">
        <f t="shared" si="3"/>
        <v/>
      </c>
      <c r="BH11" s="466" t="str">
        <f t="shared" si="4"/>
        <v/>
      </c>
    </row>
    <row r="12" spans="1:60">
      <c r="A12" s="450">
        <v>6</v>
      </c>
      <c r="B12" s="451"/>
      <c r="C12" s="452"/>
      <c r="D12" s="453"/>
      <c r="E12" s="454"/>
      <c r="F12" s="455"/>
      <c r="G12" s="455"/>
      <c r="H12" s="455"/>
      <c r="I12" s="455"/>
      <c r="J12" s="461"/>
      <c r="K12" s="455"/>
      <c r="L12" s="462"/>
      <c r="M12" s="462"/>
      <c r="N12" s="462"/>
      <c r="O12" s="462"/>
      <c r="P12" s="462"/>
      <c r="Q12" s="462"/>
      <c r="R12" s="462"/>
      <c r="S12" s="462"/>
      <c r="T12" s="462"/>
      <c r="U12" s="462"/>
      <c r="V12" s="462"/>
      <c r="W12" s="462"/>
      <c r="X12" s="462"/>
      <c r="Y12" s="462"/>
      <c r="Z12" s="462"/>
      <c r="AA12" s="462"/>
      <c r="AB12" s="462"/>
      <c r="AC12" s="462"/>
      <c r="AD12" s="462"/>
      <c r="AE12" s="462"/>
      <c r="AF12" s="462"/>
      <c r="AG12" s="462"/>
      <c r="AH12" s="462"/>
      <c r="AI12" s="462"/>
      <c r="AJ12" s="462"/>
      <c r="AK12" s="462"/>
      <c r="AL12" s="462"/>
      <c r="AM12" s="462"/>
      <c r="AN12" s="462"/>
      <c r="AO12" s="462"/>
      <c r="AP12" s="462"/>
      <c r="AQ12" s="462"/>
      <c r="AR12" s="462"/>
      <c r="AS12" s="462"/>
      <c r="AT12" s="462"/>
      <c r="AU12" s="462"/>
      <c r="AV12" s="462"/>
      <c r="AW12" s="462"/>
      <c r="AX12" s="462"/>
      <c r="AY12" s="462"/>
      <c r="AZ12" s="462"/>
      <c r="BA12" s="462"/>
      <c r="BB12" s="462"/>
      <c r="BC12" s="462"/>
      <c r="BD12" s="466" t="str">
        <f t="shared" si="0"/>
        <v/>
      </c>
      <c r="BE12" s="469" t="str">
        <f t="shared" si="1"/>
        <v/>
      </c>
      <c r="BF12" s="466" t="str">
        <f t="shared" si="2"/>
        <v/>
      </c>
      <c r="BG12" s="466" t="str">
        <f t="shared" si="3"/>
        <v/>
      </c>
      <c r="BH12" s="466" t="str">
        <f t="shared" si="4"/>
        <v/>
      </c>
    </row>
    <row r="13" spans="1:60">
      <c r="A13" s="450">
        <v>7</v>
      </c>
      <c r="B13" s="451"/>
      <c r="C13" s="452"/>
      <c r="D13" s="453"/>
      <c r="E13" s="454"/>
      <c r="F13" s="455"/>
      <c r="G13" s="455"/>
      <c r="H13" s="455"/>
      <c r="I13" s="455"/>
      <c r="J13" s="461"/>
      <c r="K13" s="455"/>
      <c r="L13" s="462"/>
      <c r="M13" s="462"/>
      <c r="N13" s="462"/>
      <c r="O13" s="462"/>
      <c r="P13" s="462"/>
      <c r="Q13" s="462"/>
      <c r="R13" s="462"/>
      <c r="S13" s="462"/>
      <c r="T13" s="462"/>
      <c r="U13" s="462"/>
      <c r="V13" s="462"/>
      <c r="W13" s="462"/>
      <c r="X13" s="462"/>
      <c r="Y13" s="462"/>
      <c r="Z13" s="462"/>
      <c r="AA13" s="462"/>
      <c r="AB13" s="462"/>
      <c r="AC13" s="462"/>
      <c r="AD13" s="462"/>
      <c r="AE13" s="462"/>
      <c r="AF13" s="462"/>
      <c r="AG13" s="462"/>
      <c r="AH13" s="462"/>
      <c r="AI13" s="462"/>
      <c r="AJ13" s="462"/>
      <c r="AK13" s="462"/>
      <c r="AL13" s="462"/>
      <c r="AM13" s="462"/>
      <c r="AN13" s="462"/>
      <c r="AO13" s="462"/>
      <c r="AP13" s="462"/>
      <c r="AQ13" s="462"/>
      <c r="AR13" s="462"/>
      <c r="AS13" s="462"/>
      <c r="AT13" s="462"/>
      <c r="AU13" s="462"/>
      <c r="AV13" s="462"/>
      <c r="AW13" s="462"/>
      <c r="AX13" s="462"/>
      <c r="AY13" s="462"/>
      <c r="AZ13" s="462"/>
      <c r="BA13" s="462"/>
      <c r="BB13" s="462"/>
      <c r="BC13" s="462"/>
      <c r="BD13" s="466" t="str">
        <f t="shared" si="0"/>
        <v/>
      </c>
      <c r="BE13" s="469" t="str">
        <f t="shared" si="1"/>
        <v/>
      </c>
      <c r="BF13" s="466" t="str">
        <f t="shared" si="2"/>
        <v/>
      </c>
      <c r="BG13" s="466" t="str">
        <f t="shared" si="3"/>
        <v/>
      </c>
      <c r="BH13" s="466" t="str">
        <f t="shared" si="4"/>
        <v/>
      </c>
    </row>
    <row r="14" spans="1:60">
      <c r="A14" s="450">
        <v>8</v>
      </c>
      <c r="B14" s="451"/>
      <c r="C14" s="452"/>
      <c r="D14" s="453"/>
      <c r="E14" s="454"/>
      <c r="F14" s="455"/>
      <c r="G14" s="455"/>
      <c r="H14" s="455"/>
      <c r="I14" s="455"/>
      <c r="J14" s="461"/>
      <c r="K14" s="455"/>
      <c r="L14" s="462"/>
      <c r="M14" s="462"/>
      <c r="N14" s="462"/>
      <c r="O14" s="462"/>
      <c r="P14" s="462"/>
      <c r="Q14" s="462"/>
      <c r="R14" s="462"/>
      <c r="S14" s="462"/>
      <c r="T14" s="462"/>
      <c r="U14" s="462"/>
      <c r="V14" s="462"/>
      <c r="W14" s="462"/>
      <c r="X14" s="462"/>
      <c r="Y14" s="462"/>
      <c r="Z14" s="462"/>
      <c r="AA14" s="462"/>
      <c r="AB14" s="462"/>
      <c r="AC14" s="462"/>
      <c r="AD14" s="462"/>
      <c r="AE14" s="462"/>
      <c r="AF14" s="462"/>
      <c r="AG14" s="462"/>
      <c r="AH14" s="462"/>
      <c r="AI14" s="462"/>
      <c r="AJ14" s="462"/>
      <c r="AK14" s="462"/>
      <c r="AL14" s="462"/>
      <c r="AM14" s="462"/>
      <c r="AN14" s="462"/>
      <c r="AO14" s="462"/>
      <c r="AP14" s="462"/>
      <c r="AQ14" s="462"/>
      <c r="AR14" s="462"/>
      <c r="AS14" s="462"/>
      <c r="AT14" s="462"/>
      <c r="AU14" s="462"/>
      <c r="AV14" s="462"/>
      <c r="AW14" s="462"/>
      <c r="AX14" s="462"/>
      <c r="AY14" s="462"/>
      <c r="AZ14" s="462"/>
      <c r="BA14" s="462"/>
      <c r="BB14" s="462"/>
      <c r="BC14" s="462"/>
      <c r="BD14" s="466" t="str">
        <f t="shared" si="0"/>
        <v/>
      </c>
      <c r="BE14" s="469" t="str">
        <f t="shared" si="1"/>
        <v/>
      </c>
      <c r="BF14" s="466" t="str">
        <f t="shared" si="2"/>
        <v/>
      </c>
      <c r="BG14" s="466" t="str">
        <f t="shared" si="3"/>
        <v/>
      </c>
      <c r="BH14" s="466" t="str">
        <f t="shared" si="4"/>
        <v/>
      </c>
    </row>
    <row r="15" spans="1:60">
      <c r="A15" s="450">
        <v>9</v>
      </c>
      <c r="B15" s="451"/>
      <c r="C15" s="452"/>
      <c r="D15" s="453"/>
      <c r="E15" s="454"/>
      <c r="F15" s="455"/>
      <c r="G15" s="455"/>
      <c r="H15" s="455"/>
      <c r="I15" s="455"/>
      <c r="J15" s="461"/>
      <c r="K15" s="455"/>
      <c r="L15" s="462"/>
      <c r="M15" s="462"/>
      <c r="N15" s="462"/>
      <c r="O15" s="462"/>
      <c r="P15" s="462"/>
      <c r="Q15" s="462"/>
      <c r="R15" s="462"/>
      <c r="S15" s="462"/>
      <c r="T15" s="462"/>
      <c r="U15" s="462"/>
      <c r="V15" s="462"/>
      <c r="W15" s="462"/>
      <c r="X15" s="462"/>
      <c r="Y15" s="462"/>
      <c r="Z15" s="462"/>
      <c r="AA15" s="462"/>
      <c r="AB15" s="462"/>
      <c r="AC15" s="462"/>
      <c r="AD15" s="462"/>
      <c r="AE15" s="462"/>
      <c r="AF15" s="462"/>
      <c r="AG15" s="462"/>
      <c r="AH15" s="462"/>
      <c r="AI15" s="462"/>
      <c r="AJ15" s="462"/>
      <c r="AK15" s="462"/>
      <c r="AL15" s="462"/>
      <c r="AM15" s="462"/>
      <c r="AN15" s="462"/>
      <c r="AO15" s="462"/>
      <c r="AP15" s="462"/>
      <c r="AQ15" s="462"/>
      <c r="AR15" s="462"/>
      <c r="AS15" s="462"/>
      <c r="AT15" s="462"/>
      <c r="AU15" s="462"/>
      <c r="AV15" s="462"/>
      <c r="AW15" s="462"/>
      <c r="AX15" s="462"/>
      <c r="AY15" s="462"/>
      <c r="AZ15" s="462"/>
      <c r="BA15" s="462"/>
      <c r="BB15" s="462"/>
      <c r="BC15" s="462"/>
      <c r="BD15" s="466" t="str">
        <f t="shared" si="0"/>
        <v/>
      </c>
      <c r="BE15" s="469" t="str">
        <f t="shared" si="1"/>
        <v/>
      </c>
      <c r="BF15" s="466" t="str">
        <f t="shared" si="2"/>
        <v/>
      </c>
      <c r="BG15" s="466" t="str">
        <f t="shared" si="3"/>
        <v/>
      </c>
      <c r="BH15" s="466" t="str">
        <f t="shared" si="4"/>
        <v/>
      </c>
    </row>
    <row r="16" spans="1:60">
      <c r="A16" s="450">
        <v>10</v>
      </c>
      <c r="B16" s="451"/>
      <c r="C16" s="452"/>
      <c r="D16" s="453"/>
      <c r="E16" s="454"/>
      <c r="F16" s="455"/>
      <c r="G16" s="455"/>
      <c r="H16" s="455"/>
      <c r="I16" s="455"/>
      <c r="J16" s="461"/>
      <c r="K16" s="455"/>
      <c r="L16" s="462"/>
      <c r="M16" s="462"/>
      <c r="N16" s="462"/>
      <c r="O16" s="462"/>
      <c r="P16" s="462"/>
      <c r="Q16" s="462"/>
      <c r="R16" s="462"/>
      <c r="S16" s="462"/>
      <c r="T16" s="462"/>
      <c r="U16" s="462"/>
      <c r="V16" s="462"/>
      <c r="W16" s="462"/>
      <c r="X16" s="462"/>
      <c r="Y16" s="462"/>
      <c r="Z16" s="462"/>
      <c r="AA16" s="462"/>
      <c r="AB16" s="462"/>
      <c r="AC16" s="462"/>
      <c r="AD16" s="462"/>
      <c r="AE16" s="462"/>
      <c r="AF16" s="462"/>
      <c r="AG16" s="462"/>
      <c r="AH16" s="462"/>
      <c r="AI16" s="462"/>
      <c r="AJ16" s="462"/>
      <c r="AK16" s="462"/>
      <c r="AL16" s="462"/>
      <c r="AM16" s="462"/>
      <c r="AN16" s="462"/>
      <c r="AO16" s="462"/>
      <c r="AP16" s="462"/>
      <c r="AQ16" s="462"/>
      <c r="AR16" s="462"/>
      <c r="AS16" s="462"/>
      <c r="AT16" s="462"/>
      <c r="AU16" s="462"/>
      <c r="AV16" s="462"/>
      <c r="AW16" s="462"/>
      <c r="AX16" s="462"/>
      <c r="AY16" s="462"/>
      <c r="AZ16" s="462"/>
      <c r="BA16" s="462"/>
      <c r="BB16" s="462"/>
      <c r="BC16" s="462"/>
      <c r="BD16" s="466" t="str">
        <f t="shared" si="0"/>
        <v/>
      </c>
      <c r="BE16" s="469" t="str">
        <f t="shared" si="1"/>
        <v/>
      </c>
      <c r="BF16" s="466" t="str">
        <f t="shared" si="2"/>
        <v/>
      </c>
      <c r="BG16" s="466" t="str">
        <f t="shared" si="3"/>
        <v/>
      </c>
      <c r="BH16" s="466" t="str">
        <f t="shared" si="4"/>
        <v/>
      </c>
    </row>
    <row r="17" spans="1:60">
      <c r="A17" s="450">
        <v>11</v>
      </c>
      <c r="B17" s="451"/>
      <c r="C17" s="452"/>
      <c r="D17" s="453"/>
      <c r="E17" s="454"/>
      <c r="F17" s="455"/>
      <c r="G17" s="455"/>
      <c r="H17" s="455"/>
      <c r="I17" s="455"/>
      <c r="J17" s="461"/>
      <c r="K17" s="455"/>
      <c r="L17" s="462"/>
      <c r="M17" s="462"/>
      <c r="N17" s="462"/>
      <c r="O17" s="462"/>
      <c r="P17" s="462"/>
      <c r="Q17" s="462"/>
      <c r="R17" s="462"/>
      <c r="S17" s="462"/>
      <c r="T17" s="462"/>
      <c r="U17" s="462"/>
      <c r="V17" s="462"/>
      <c r="W17" s="462"/>
      <c r="X17" s="462"/>
      <c r="Y17" s="462"/>
      <c r="Z17" s="462"/>
      <c r="AA17" s="462"/>
      <c r="AB17" s="462"/>
      <c r="AC17" s="462"/>
      <c r="AD17" s="462"/>
      <c r="AE17" s="462"/>
      <c r="AF17" s="462"/>
      <c r="AG17" s="462"/>
      <c r="AH17" s="462"/>
      <c r="AI17" s="462"/>
      <c r="AJ17" s="462"/>
      <c r="AK17" s="462"/>
      <c r="AL17" s="462"/>
      <c r="AM17" s="462"/>
      <c r="AN17" s="462"/>
      <c r="AO17" s="462"/>
      <c r="AP17" s="462"/>
      <c r="AQ17" s="462"/>
      <c r="AR17" s="462"/>
      <c r="AS17" s="462"/>
      <c r="AT17" s="462"/>
      <c r="AU17" s="462"/>
      <c r="AV17" s="462"/>
      <c r="AW17" s="462"/>
      <c r="AX17" s="462"/>
      <c r="AY17" s="462"/>
      <c r="AZ17" s="462"/>
      <c r="BA17" s="462"/>
      <c r="BB17" s="462"/>
      <c r="BC17" s="462"/>
      <c r="BD17" s="466" t="str">
        <f t="shared" si="0"/>
        <v/>
      </c>
      <c r="BE17" s="469" t="str">
        <f t="shared" si="1"/>
        <v/>
      </c>
      <c r="BF17" s="466" t="str">
        <f t="shared" si="2"/>
        <v/>
      </c>
      <c r="BG17" s="466" t="str">
        <f t="shared" si="3"/>
        <v/>
      </c>
      <c r="BH17" s="466" t="str">
        <f t="shared" si="4"/>
        <v/>
      </c>
    </row>
    <row r="18" spans="1:60">
      <c r="A18" s="450">
        <v>12</v>
      </c>
      <c r="B18" s="451"/>
      <c r="C18" s="452"/>
      <c r="D18" s="453"/>
      <c r="E18" s="454"/>
      <c r="F18" s="455"/>
      <c r="G18" s="455"/>
      <c r="H18" s="455"/>
      <c r="I18" s="455"/>
      <c r="J18" s="461"/>
      <c r="K18" s="455"/>
      <c r="L18" s="462"/>
      <c r="M18" s="462"/>
      <c r="N18" s="462"/>
      <c r="O18" s="462"/>
      <c r="P18" s="462"/>
      <c r="Q18" s="462"/>
      <c r="R18" s="462"/>
      <c r="S18" s="462"/>
      <c r="T18" s="462"/>
      <c r="U18" s="462"/>
      <c r="V18" s="462"/>
      <c r="W18" s="462"/>
      <c r="X18" s="462"/>
      <c r="Y18" s="462"/>
      <c r="Z18" s="462"/>
      <c r="AA18" s="462"/>
      <c r="AB18" s="462"/>
      <c r="AC18" s="462"/>
      <c r="AD18" s="462"/>
      <c r="AE18" s="462"/>
      <c r="AF18" s="462"/>
      <c r="AG18" s="462"/>
      <c r="AH18" s="462"/>
      <c r="AI18" s="462"/>
      <c r="AJ18" s="462"/>
      <c r="AK18" s="462"/>
      <c r="AL18" s="462"/>
      <c r="AM18" s="462"/>
      <c r="AN18" s="462"/>
      <c r="AO18" s="462"/>
      <c r="AP18" s="462"/>
      <c r="AQ18" s="462"/>
      <c r="AR18" s="462"/>
      <c r="AS18" s="462"/>
      <c r="AT18" s="462"/>
      <c r="AU18" s="462"/>
      <c r="AV18" s="462"/>
      <c r="AW18" s="462"/>
      <c r="AX18" s="462"/>
      <c r="AY18" s="462"/>
      <c r="AZ18" s="462"/>
      <c r="BA18" s="462"/>
      <c r="BB18" s="462"/>
      <c r="BC18" s="462"/>
      <c r="BD18" s="466" t="str">
        <f t="shared" si="0"/>
        <v/>
      </c>
      <c r="BE18" s="469" t="str">
        <f t="shared" si="1"/>
        <v/>
      </c>
      <c r="BF18" s="466" t="str">
        <f t="shared" si="2"/>
        <v/>
      </c>
      <c r="BG18" s="466" t="str">
        <f t="shared" si="3"/>
        <v/>
      </c>
      <c r="BH18" s="466" t="str">
        <f t="shared" si="4"/>
        <v/>
      </c>
    </row>
    <row r="19" spans="1:60">
      <c r="A19" s="450">
        <v>13</v>
      </c>
      <c r="B19" s="451"/>
      <c r="C19" s="452"/>
      <c r="D19" s="453"/>
      <c r="E19" s="454"/>
      <c r="F19" s="455"/>
      <c r="G19" s="455"/>
      <c r="H19" s="455"/>
      <c r="I19" s="455"/>
      <c r="J19" s="461"/>
      <c r="K19" s="455"/>
      <c r="L19" s="462"/>
      <c r="M19" s="462"/>
      <c r="N19" s="462"/>
      <c r="O19" s="462"/>
      <c r="P19" s="462"/>
      <c r="Q19" s="462"/>
      <c r="R19" s="462"/>
      <c r="S19" s="462"/>
      <c r="T19" s="462"/>
      <c r="U19" s="462"/>
      <c r="V19" s="462"/>
      <c r="W19" s="462"/>
      <c r="X19" s="462"/>
      <c r="Y19" s="462"/>
      <c r="Z19" s="462"/>
      <c r="AA19" s="462"/>
      <c r="AB19" s="462"/>
      <c r="AC19" s="462"/>
      <c r="AD19" s="462"/>
      <c r="AE19" s="462"/>
      <c r="AF19" s="462"/>
      <c r="AG19" s="462"/>
      <c r="AH19" s="462"/>
      <c r="AI19" s="462"/>
      <c r="AJ19" s="462"/>
      <c r="AK19" s="462"/>
      <c r="AL19" s="462"/>
      <c r="AM19" s="462"/>
      <c r="AN19" s="462"/>
      <c r="AO19" s="462"/>
      <c r="AP19" s="462"/>
      <c r="AQ19" s="462"/>
      <c r="AR19" s="462"/>
      <c r="AS19" s="462"/>
      <c r="AT19" s="462"/>
      <c r="AU19" s="462"/>
      <c r="AV19" s="462"/>
      <c r="AW19" s="462"/>
      <c r="AX19" s="462"/>
      <c r="AY19" s="462"/>
      <c r="AZ19" s="462"/>
      <c r="BA19" s="462"/>
      <c r="BB19" s="462"/>
      <c r="BC19" s="462"/>
      <c r="BD19" s="466" t="str">
        <f t="shared" si="0"/>
        <v/>
      </c>
      <c r="BE19" s="469" t="str">
        <f t="shared" si="1"/>
        <v/>
      </c>
      <c r="BF19" s="466" t="str">
        <f t="shared" si="2"/>
        <v/>
      </c>
      <c r="BG19" s="466" t="str">
        <f t="shared" si="3"/>
        <v/>
      </c>
      <c r="BH19" s="466" t="str">
        <f t="shared" si="4"/>
        <v/>
      </c>
    </row>
    <row r="20" spans="1:60">
      <c r="A20" s="450">
        <v>14</v>
      </c>
      <c r="B20" s="451"/>
      <c r="C20" s="452"/>
      <c r="D20" s="453"/>
      <c r="E20" s="454"/>
      <c r="F20" s="455"/>
      <c r="G20" s="455"/>
      <c r="H20" s="455"/>
      <c r="I20" s="455"/>
      <c r="J20" s="461"/>
      <c r="K20" s="455"/>
      <c r="L20" s="462"/>
      <c r="M20" s="462"/>
      <c r="N20" s="462"/>
      <c r="O20" s="462"/>
      <c r="P20" s="462"/>
      <c r="Q20" s="462"/>
      <c r="R20" s="462"/>
      <c r="S20" s="462"/>
      <c r="T20" s="462"/>
      <c r="U20" s="462"/>
      <c r="V20" s="462"/>
      <c r="W20" s="462"/>
      <c r="X20" s="462"/>
      <c r="Y20" s="462"/>
      <c r="Z20" s="462"/>
      <c r="AA20" s="462"/>
      <c r="AB20" s="462"/>
      <c r="AC20" s="462"/>
      <c r="AD20" s="462"/>
      <c r="AE20" s="462"/>
      <c r="AF20" s="462"/>
      <c r="AG20" s="462"/>
      <c r="AH20" s="462"/>
      <c r="AI20" s="462"/>
      <c r="AJ20" s="462"/>
      <c r="AK20" s="462"/>
      <c r="AL20" s="462"/>
      <c r="AM20" s="462"/>
      <c r="AN20" s="462"/>
      <c r="AO20" s="462"/>
      <c r="AP20" s="462"/>
      <c r="AQ20" s="462"/>
      <c r="AR20" s="462"/>
      <c r="AS20" s="462"/>
      <c r="AT20" s="462"/>
      <c r="AU20" s="462"/>
      <c r="AV20" s="462"/>
      <c r="AW20" s="462"/>
      <c r="AX20" s="462"/>
      <c r="AY20" s="462"/>
      <c r="AZ20" s="462"/>
      <c r="BA20" s="462"/>
      <c r="BB20" s="462"/>
      <c r="BC20" s="462"/>
      <c r="BD20" s="466" t="str">
        <f t="shared" si="0"/>
        <v/>
      </c>
      <c r="BE20" s="469" t="str">
        <f t="shared" si="1"/>
        <v/>
      </c>
      <c r="BF20" s="466" t="str">
        <f t="shared" si="2"/>
        <v/>
      </c>
      <c r="BG20" s="466" t="str">
        <f t="shared" si="3"/>
        <v/>
      </c>
      <c r="BH20" s="466" t="str">
        <f t="shared" si="4"/>
        <v/>
      </c>
    </row>
    <row r="21" spans="1:60">
      <c r="A21" s="450">
        <v>15</v>
      </c>
      <c r="B21" s="451"/>
      <c r="C21" s="452"/>
      <c r="D21" s="453"/>
      <c r="E21" s="454"/>
      <c r="F21" s="455"/>
      <c r="G21" s="455"/>
      <c r="H21" s="455"/>
      <c r="I21" s="455"/>
      <c r="J21" s="461"/>
      <c r="K21" s="455"/>
      <c r="L21" s="462"/>
      <c r="M21" s="462"/>
      <c r="N21" s="462"/>
      <c r="O21" s="462"/>
      <c r="P21" s="462"/>
      <c r="Q21" s="462"/>
      <c r="R21" s="462"/>
      <c r="S21" s="462"/>
      <c r="T21" s="462"/>
      <c r="U21" s="462"/>
      <c r="V21" s="462"/>
      <c r="W21" s="462"/>
      <c r="X21" s="462"/>
      <c r="Y21" s="462"/>
      <c r="Z21" s="462"/>
      <c r="AA21" s="462"/>
      <c r="AB21" s="462"/>
      <c r="AC21" s="462"/>
      <c r="AD21" s="462"/>
      <c r="AE21" s="462"/>
      <c r="AF21" s="462"/>
      <c r="AG21" s="462"/>
      <c r="AH21" s="462"/>
      <c r="AI21" s="462"/>
      <c r="AJ21" s="462"/>
      <c r="AK21" s="462"/>
      <c r="AL21" s="462"/>
      <c r="AM21" s="462"/>
      <c r="AN21" s="462"/>
      <c r="AO21" s="462"/>
      <c r="AP21" s="462"/>
      <c r="AQ21" s="462"/>
      <c r="AR21" s="462"/>
      <c r="AS21" s="462"/>
      <c r="AT21" s="462"/>
      <c r="AU21" s="462"/>
      <c r="AV21" s="462"/>
      <c r="AW21" s="462"/>
      <c r="AX21" s="462"/>
      <c r="AY21" s="462"/>
      <c r="AZ21" s="462"/>
      <c r="BA21" s="462"/>
      <c r="BB21" s="462"/>
      <c r="BC21" s="462"/>
      <c r="BD21" s="466" t="str">
        <f t="shared" si="0"/>
        <v/>
      </c>
      <c r="BE21" s="469" t="str">
        <f t="shared" si="1"/>
        <v/>
      </c>
      <c r="BF21" s="466" t="str">
        <f t="shared" si="2"/>
        <v/>
      </c>
      <c r="BG21" s="466" t="str">
        <f t="shared" si="3"/>
        <v/>
      </c>
      <c r="BH21" s="466" t="str">
        <f t="shared" si="4"/>
        <v/>
      </c>
    </row>
    <row r="22" spans="1:60">
      <c r="A22" s="450">
        <v>16</v>
      </c>
      <c r="B22" s="451"/>
      <c r="C22" s="452"/>
      <c r="D22" s="456"/>
      <c r="E22" s="454"/>
      <c r="F22" s="455"/>
      <c r="G22" s="455"/>
      <c r="H22" s="455"/>
      <c r="I22" s="455"/>
      <c r="J22" s="461"/>
      <c r="K22" s="455"/>
      <c r="L22" s="462"/>
      <c r="M22" s="462"/>
      <c r="N22" s="462"/>
      <c r="O22" s="462"/>
      <c r="P22" s="462"/>
      <c r="Q22" s="462"/>
      <c r="R22" s="462"/>
      <c r="S22" s="462"/>
      <c r="T22" s="462"/>
      <c r="U22" s="462"/>
      <c r="V22" s="462"/>
      <c r="W22" s="462"/>
      <c r="X22" s="462"/>
      <c r="Y22" s="462"/>
      <c r="Z22" s="462"/>
      <c r="AA22" s="462"/>
      <c r="AB22" s="462"/>
      <c r="AC22" s="462"/>
      <c r="AD22" s="462"/>
      <c r="AE22" s="462"/>
      <c r="AF22" s="462"/>
      <c r="AG22" s="462"/>
      <c r="AH22" s="462"/>
      <c r="AI22" s="462"/>
      <c r="AJ22" s="462"/>
      <c r="AK22" s="462"/>
      <c r="AL22" s="462"/>
      <c r="AM22" s="462"/>
      <c r="AN22" s="462"/>
      <c r="AO22" s="462"/>
      <c r="AP22" s="462"/>
      <c r="AQ22" s="462"/>
      <c r="AR22" s="462"/>
      <c r="AS22" s="462"/>
      <c r="AT22" s="462"/>
      <c r="AU22" s="462"/>
      <c r="AV22" s="462"/>
      <c r="AW22" s="462"/>
      <c r="AX22" s="462"/>
      <c r="AY22" s="462"/>
      <c r="AZ22" s="462"/>
      <c r="BA22" s="462"/>
      <c r="BB22" s="462"/>
      <c r="BC22" s="462"/>
      <c r="BD22" s="466" t="str">
        <f t="shared" si="0"/>
        <v/>
      </c>
      <c r="BE22" s="469" t="str">
        <f t="shared" si="1"/>
        <v/>
      </c>
      <c r="BF22" s="466" t="str">
        <f t="shared" si="2"/>
        <v/>
      </c>
      <c r="BG22" s="466" t="str">
        <f t="shared" si="3"/>
        <v/>
      </c>
      <c r="BH22" s="466" t="str">
        <f t="shared" si="4"/>
        <v/>
      </c>
    </row>
    <row r="23" spans="1:60">
      <c r="A23" s="450">
        <v>17</v>
      </c>
      <c r="B23" s="451"/>
      <c r="C23" s="452"/>
      <c r="D23" s="453"/>
      <c r="E23" s="454"/>
      <c r="F23" s="455"/>
      <c r="G23" s="455"/>
      <c r="H23" s="455"/>
      <c r="I23" s="455"/>
      <c r="J23" s="461"/>
      <c r="K23" s="455"/>
      <c r="L23" s="462"/>
      <c r="M23" s="462"/>
      <c r="N23" s="462"/>
      <c r="O23" s="462"/>
      <c r="P23" s="462"/>
      <c r="Q23" s="462"/>
      <c r="R23" s="462"/>
      <c r="S23" s="462"/>
      <c r="T23" s="462"/>
      <c r="U23" s="462"/>
      <c r="V23" s="462"/>
      <c r="W23" s="462"/>
      <c r="X23" s="462"/>
      <c r="Y23" s="462"/>
      <c r="Z23" s="462"/>
      <c r="AA23" s="462"/>
      <c r="AB23" s="462"/>
      <c r="AC23" s="462"/>
      <c r="AD23" s="462"/>
      <c r="AE23" s="462"/>
      <c r="AF23" s="462"/>
      <c r="AG23" s="462"/>
      <c r="AH23" s="462"/>
      <c r="AI23" s="462"/>
      <c r="AJ23" s="462"/>
      <c r="AK23" s="462"/>
      <c r="AL23" s="462"/>
      <c r="AM23" s="462"/>
      <c r="AN23" s="462"/>
      <c r="AO23" s="462"/>
      <c r="AP23" s="462"/>
      <c r="AQ23" s="462"/>
      <c r="AR23" s="462"/>
      <c r="AS23" s="462"/>
      <c r="AT23" s="462"/>
      <c r="AU23" s="462"/>
      <c r="AV23" s="462"/>
      <c r="AW23" s="462"/>
      <c r="AX23" s="462"/>
      <c r="AY23" s="462"/>
      <c r="AZ23" s="462"/>
      <c r="BA23" s="462"/>
      <c r="BB23" s="462"/>
      <c r="BC23" s="462"/>
      <c r="BD23" s="466" t="str">
        <f t="shared" si="0"/>
        <v/>
      </c>
      <c r="BE23" s="469" t="str">
        <f t="shared" si="1"/>
        <v/>
      </c>
      <c r="BF23" s="466" t="str">
        <f t="shared" si="2"/>
        <v/>
      </c>
      <c r="BG23" s="466" t="str">
        <f t="shared" si="3"/>
        <v/>
      </c>
      <c r="BH23" s="466" t="str">
        <f t="shared" si="4"/>
        <v/>
      </c>
    </row>
    <row r="24" spans="1:60">
      <c r="A24" s="450">
        <v>18</v>
      </c>
      <c r="B24" s="451"/>
      <c r="C24" s="452"/>
      <c r="D24" s="453"/>
      <c r="E24" s="454"/>
      <c r="F24" s="455"/>
      <c r="G24" s="455"/>
      <c r="H24" s="455"/>
      <c r="I24" s="455"/>
      <c r="J24" s="461"/>
      <c r="K24" s="455"/>
      <c r="L24" s="462"/>
      <c r="M24" s="462"/>
      <c r="N24" s="462"/>
      <c r="O24" s="462"/>
      <c r="P24" s="462"/>
      <c r="Q24" s="462"/>
      <c r="R24" s="462"/>
      <c r="S24" s="462"/>
      <c r="T24" s="462"/>
      <c r="U24" s="462"/>
      <c r="V24" s="462"/>
      <c r="W24" s="462"/>
      <c r="X24" s="462"/>
      <c r="Y24" s="462"/>
      <c r="Z24" s="462"/>
      <c r="AA24" s="462"/>
      <c r="AB24" s="462"/>
      <c r="AC24" s="462"/>
      <c r="AD24" s="462"/>
      <c r="AE24" s="462"/>
      <c r="AF24" s="462"/>
      <c r="AG24" s="462"/>
      <c r="AH24" s="462"/>
      <c r="AI24" s="462"/>
      <c r="AJ24" s="462"/>
      <c r="AK24" s="462"/>
      <c r="AL24" s="462"/>
      <c r="AM24" s="462"/>
      <c r="AN24" s="462"/>
      <c r="AO24" s="462"/>
      <c r="AP24" s="462"/>
      <c r="AQ24" s="462"/>
      <c r="AR24" s="462"/>
      <c r="AS24" s="462"/>
      <c r="AT24" s="462"/>
      <c r="AU24" s="462"/>
      <c r="AV24" s="462"/>
      <c r="AW24" s="462"/>
      <c r="AX24" s="462"/>
      <c r="AY24" s="462"/>
      <c r="AZ24" s="462"/>
      <c r="BA24" s="462"/>
      <c r="BB24" s="462"/>
      <c r="BC24" s="462"/>
      <c r="BD24" s="466" t="str">
        <f t="shared" si="0"/>
        <v/>
      </c>
      <c r="BE24" s="469" t="str">
        <f t="shared" si="1"/>
        <v/>
      </c>
      <c r="BF24" s="466" t="str">
        <f t="shared" si="2"/>
        <v/>
      </c>
      <c r="BG24" s="466" t="str">
        <f t="shared" si="3"/>
        <v/>
      </c>
      <c r="BH24" s="466" t="str">
        <f t="shared" si="4"/>
        <v/>
      </c>
    </row>
    <row r="25" spans="1:60">
      <c r="A25" s="450">
        <v>19</v>
      </c>
      <c r="B25" s="451"/>
      <c r="C25" s="452"/>
      <c r="D25" s="453"/>
      <c r="E25" s="454"/>
      <c r="F25" s="455"/>
      <c r="G25" s="455"/>
      <c r="H25" s="455"/>
      <c r="I25" s="455"/>
      <c r="J25" s="461"/>
      <c r="K25" s="455"/>
      <c r="L25" s="462"/>
      <c r="M25" s="462"/>
      <c r="N25" s="462"/>
      <c r="O25" s="462"/>
      <c r="P25" s="462"/>
      <c r="Q25" s="462"/>
      <c r="R25" s="462"/>
      <c r="S25" s="462"/>
      <c r="T25" s="462"/>
      <c r="U25" s="462"/>
      <c r="V25" s="462"/>
      <c r="W25" s="462"/>
      <c r="X25" s="462"/>
      <c r="Y25" s="462"/>
      <c r="Z25" s="462"/>
      <c r="AA25" s="462"/>
      <c r="AB25" s="462"/>
      <c r="AC25" s="462"/>
      <c r="AD25" s="462"/>
      <c r="AE25" s="462"/>
      <c r="AF25" s="462"/>
      <c r="AG25" s="462"/>
      <c r="AH25" s="462"/>
      <c r="AI25" s="462"/>
      <c r="AJ25" s="462"/>
      <c r="AK25" s="462"/>
      <c r="AL25" s="462"/>
      <c r="AM25" s="462"/>
      <c r="AN25" s="462"/>
      <c r="AO25" s="462"/>
      <c r="AP25" s="462"/>
      <c r="AQ25" s="462"/>
      <c r="AR25" s="462"/>
      <c r="AS25" s="462"/>
      <c r="AT25" s="462"/>
      <c r="AU25" s="462"/>
      <c r="AV25" s="462"/>
      <c r="AW25" s="462"/>
      <c r="AX25" s="462"/>
      <c r="AY25" s="462"/>
      <c r="AZ25" s="462"/>
      <c r="BA25" s="462"/>
      <c r="BB25" s="462"/>
      <c r="BC25" s="462"/>
      <c r="BD25" s="466" t="str">
        <f t="shared" si="0"/>
        <v/>
      </c>
      <c r="BE25" s="469" t="str">
        <f t="shared" si="1"/>
        <v/>
      </c>
      <c r="BF25" s="466" t="str">
        <f t="shared" si="2"/>
        <v/>
      </c>
      <c r="BG25" s="466" t="str">
        <f t="shared" si="3"/>
        <v/>
      </c>
      <c r="BH25" s="466" t="str">
        <f t="shared" si="4"/>
        <v/>
      </c>
    </row>
    <row r="26" spans="1:60">
      <c r="A26" s="450">
        <v>20</v>
      </c>
      <c r="B26" s="451"/>
      <c r="C26" s="452"/>
      <c r="D26" s="453"/>
      <c r="E26" s="454"/>
      <c r="F26" s="455"/>
      <c r="G26" s="455"/>
      <c r="H26" s="455"/>
      <c r="I26" s="455"/>
      <c r="J26" s="461"/>
      <c r="K26" s="455"/>
      <c r="L26" s="462"/>
      <c r="M26" s="462"/>
      <c r="N26" s="462"/>
      <c r="O26" s="462"/>
      <c r="P26" s="462"/>
      <c r="Q26" s="462"/>
      <c r="R26" s="462"/>
      <c r="S26" s="462"/>
      <c r="T26" s="462"/>
      <c r="U26" s="462"/>
      <c r="V26" s="462"/>
      <c r="W26" s="462"/>
      <c r="X26" s="462"/>
      <c r="Y26" s="462"/>
      <c r="Z26" s="462"/>
      <c r="AA26" s="462"/>
      <c r="AB26" s="462"/>
      <c r="AC26" s="462"/>
      <c r="AD26" s="462"/>
      <c r="AE26" s="462"/>
      <c r="AF26" s="462"/>
      <c r="AG26" s="462"/>
      <c r="AH26" s="462"/>
      <c r="AI26" s="462"/>
      <c r="AJ26" s="462"/>
      <c r="AK26" s="462"/>
      <c r="AL26" s="462"/>
      <c r="AM26" s="462"/>
      <c r="AN26" s="462"/>
      <c r="AO26" s="462"/>
      <c r="AP26" s="462"/>
      <c r="AQ26" s="462"/>
      <c r="AR26" s="462"/>
      <c r="AS26" s="462"/>
      <c r="AT26" s="462"/>
      <c r="AU26" s="462"/>
      <c r="AV26" s="462"/>
      <c r="AW26" s="462"/>
      <c r="AX26" s="462"/>
      <c r="AY26" s="462"/>
      <c r="AZ26" s="462"/>
      <c r="BA26" s="462"/>
      <c r="BB26" s="462"/>
      <c r="BC26" s="462"/>
      <c r="BD26" s="466" t="str">
        <f t="shared" si="0"/>
        <v/>
      </c>
      <c r="BE26" s="469" t="str">
        <f t="shared" si="1"/>
        <v/>
      </c>
      <c r="BF26" s="466" t="str">
        <f t="shared" si="2"/>
        <v/>
      </c>
      <c r="BG26" s="466" t="str">
        <f t="shared" si="3"/>
        <v/>
      </c>
      <c r="BH26" s="466" t="str">
        <f t="shared" si="4"/>
        <v/>
      </c>
    </row>
    <row r="27" spans="1:60">
      <c r="A27" s="450">
        <v>21</v>
      </c>
      <c r="B27" s="451"/>
      <c r="C27" s="452"/>
      <c r="D27" s="453"/>
      <c r="E27" s="454"/>
      <c r="F27" s="455"/>
      <c r="G27" s="455"/>
      <c r="H27" s="455"/>
      <c r="I27" s="455"/>
      <c r="J27" s="461"/>
      <c r="K27" s="455"/>
      <c r="L27" s="462"/>
      <c r="M27" s="462"/>
      <c r="N27" s="462"/>
      <c r="O27" s="462"/>
      <c r="P27" s="462"/>
      <c r="Q27" s="462"/>
      <c r="R27" s="462"/>
      <c r="S27" s="462"/>
      <c r="T27" s="462"/>
      <c r="U27" s="462"/>
      <c r="V27" s="462"/>
      <c r="W27" s="462"/>
      <c r="X27" s="462"/>
      <c r="Y27" s="462"/>
      <c r="Z27" s="462"/>
      <c r="AA27" s="462"/>
      <c r="AB27" s="462"/>
      <c r="AC27" s="462"/>
      <c r="AD27" s="462"/>
      <c r="AE27" s="462"/>
      <c r="AF27" s="462"/>
      <c r="AG27" s="462"/>
      <c r="AH27" s="462"/>
      <c r="AI27" s="462"/>
      <c r="AJ27" s="462"/>
      <c r="AK27" s="462"/>
      <c r="AL27" s="462"/>
      <c r="AM27" s="462"/>
      <c r="AN27" s="462"/>
      <c r="AO27" s="462"/>
      <c r="AP27" s="462"/>
      <c r="AQ27" s="462"/>
      <c r="AR27" s="462"/>
      <c r="AS27" s="462"/>
      <c r="AT27" s="462"/>
      <c r="AU27" s="462"/>
      <c r="AV27" s="462"/>
      <c r="AW27" s="462"/>
      <c r="AX27" s="462"/>
      <c r="AY27" s="462"/>
      <c r="AZ27" s="462"/>
      <c r="BA27" s="462"/>
      <c r="BB27" s="462"/>
      <c r="BC27" s="462"/>
      <c r="BD27" s="466" t="str">
        <f t="shared" si="0"/>
        <v/>
      </c>
      <c r="BE27" s="469" t="str">
        <f t="shared" si="1"/>
        <v/>
      </c>
      <c r="BF27" s="466" t="str">
        <f t="shared" si="2"/>
        <v/>
      </c>
      <c r="BG27" s="466" t="str">
        <f t="shared" si="3"/>
        <v/>
      </c>
      <c r="BH27" s="466" t="str">
        <f t="shared" si="4"/>
        <v/>
      </c>
    </row>
    <row r="28" spans="1:60">
      <c r="A28" s="450">
        <v>22</v>
      </c>
      <c r="B28" s="451"/>
      <c r="C28" s="452"/>
      <c r="D28" s="453"/>
      <c r="E28" s="454"/>
      <c r="F28" s="455"/>
      <c r="G28" s="455"/>
      <c r="H28" s="455"/>
      <c r="I28" s="455"/>
      <c r="J28" s="461"/>
      <c r="K28" s="455"/>
      <c r="L28" s="462"/>
      <c r="M28" s="462"/>
      <c r="N28" s="462"/>
      <c r="O28" s="462"/>
      <c r="P28" s="462"/>
      <c r="Q28" s="462"/>
      <c r="R28" s="462"/>
      <c r="S28" s="462"/>
      <c r="T28" s="462"/>
      <c r="U28" s="462"/>
      <c r="V28" s="462"/>
      <c r="W28" s="462"/>
      <c r="X28" s="462"/>
      <c r="Y28" s="462"/>
      <c r="Z28" s="462"/>
      <c r="AA28" s="462"/>
      <c r="AB28" s="462"/>
      <c r="AC28" s="462"/>
      <c r="AD28" s="462"/>
      <c r="AE28" s="462"/>
      <c r="AF28" s="462"/>
      <c r="AG28" s="462"/>
      <c r="AH28" s="462"/>
      <c r="AI28" s="462"/>
      <c r="AJ28" s="462"/>
      <c r="AK28" s="462"/>
      <c r="AL28" s="462"/>
      <c r="AM28" s="462"/>
      <c r="AN28" s="462"/>
      <c r="AO28" s="462"/>
      <c r="AP28" s="462"/>
      <c r="AQ28" s="462"/>
      <c r="AR28" s="462"/>
      <c r="AS28" s="462"/>
      <c r="AT28" s="462"/>
      <c r="AU28" s="462"/>
      <c r="AV28" s="462"/>
      <c r="AW28" s="462"/>
      <c r="AX28" s="462"/>
      <c r="AY28" s="462"/>
      <c r="AZ28" s="462"/>
      <c r="BA28" s="462"/>
      <c r="BB28" s="462"/>
      <c r="BC28" s="462"/>
      <c r="BD28" s="466" t="str">
        <f t="shared" si="0"/>
        <v/>
      </c>
      <c r="BE28" s="469" t="str">
        <f t="shared" si="1"/>
        <v/>
      </c>
      <c r="BF28" s="466" t="str">
        <f t="shared" si="2"/>
        <v/>
      </c>
      <c r="BG28" s="466" t="str">
        <f t="shared" si="3"/>
        <v/>
      </c>
      <c r="BH28" s="466" t="str">
        <f t="shared" si="4"/>
        <v/>
      </c>
    </row>
    <row r="29" spans="1:60">
      <c r="A29" s="450">
        <v>23</v>
      </c>
      <c r="B29" s="451"/>
      <c r="C29" s="452"/>
      <c r="D29" s="453"/>
      <c r="E29" s="454"/>
      <c r="F29" s="455"/>
      <c r="G29" s="455"/>
      <c r="H29" s="455"/>
      <c r="I29" s="455"/>
      <c r="J29" s="461"/>
      <c r="K29" s="462"/>
      <c r="L29" s="462"/>
      <c r="M29" s="462"/>
      <c r="N29" s="462"/>
      <c r="O29" s="462"/>
      <c r="P29" s="462"/>
      <c r="Q29" s="462"/>
      <c r="R29" s="462"/>
      <c r="S29" s="462"/>
      <c r="T29" s="462"/>
      <c r="U29" s="462"/>
      <c r="V29" s="462"/>
      <c r="W29" s="462"/>
      <c r="X29" s="462"/>
      <c r="Y29" s="462"/>
      <c r="Z29" s="462"/>
      <c r="AA29" s="462"/>
      <c r="AB29" s="462"/>
      <c r="AC29" s="462"/>
      <c r="AD29" s="462"/>
      <c r="AE29" s="462"/>
      <c r="AF29" s="462"/>
      <c r="AG29" s="462"/>
      <c r="AH29" s="462"/>
      <c r="AI29" s="462"/>
      <c r="AJ29" s="462"/>
      <c r="AK29" s="462"/>
      <c r="AL29" s="462"/>
      <c r="AM29" s="462"/>
      <c r="AN29" s="462"/>
      <c r="AO29" s="462"/>
      <c r="AP29" s="462"/>
      <c r="AQ29" s="462"/>
      <c r="AR29" s="462"/>
      <c r="AS29" s="462"/>
      <c r="AT29" s="462"/>
      <c r="AU29" s="462"/>
      <c r="AV29" s="462"/>
      <c r="AW29" s="462"/>
      <c r="AX29" s="462"/>
      <c r="AY29" s="462"/>
      <c r="AZ29" s="462"/>
      <c r="BA29" s="462"/>
      <c r="BB29" s="462"/>
      <c r="BC29" s="462"/>
      <c r="BD29" s="466" t="str">
        <f t="shared" si="0"/>
        <v/>
      </c>
      <c r="BE29" s="469" t="str">
        <f t="shared" si="1"/>
        <v/>
      </c>
      <c r="BF29" s="466" t="str">
        <f t="shared" si="2"/>
        <v/>
      </c>
      <c r="BG29" s="466" t="str">
        <f t="shared" si="3"/>
        <v/>
      </c>
      <c r="BH29" s="466" t="str">
        <f t="shared" si="4"/>
        <v/>
      </c>
    </row>
    <row r="30" spans="1:60">
      <c r="A30" s="450">
        <v>24</v>
      </c>
      <c r="B30" s="451"/>
      <c r="C30" s="452"/>
      <c r="D30" s="453"/>
      <c r="E30" s="454"/>
      <c r="F30" s="455"/>
      <c r="G30" s="455"/>
      <c r="H30" s="455"/>
      <c r="I30" s="455"/>
      <c r="J30" s="461"/>
      <c r="K30" s="455"/>
      <c r="L30" s="462"/>
      <c r="M30" s="462"/>
      <c r="N30" s="462"/>
      <c r="O30" s="462"/>
      <c r="P30" s="462"/>
      <c r="Q30" s="462"/>
      <c r="R30" s="462"/>
      <c r="S30" s="462"/>
      <c r="T30" s="462"/>
      <c r="U30" s="462"/>
      <c r="V30" s="462"/>
      <c r="W30" s="462"/>
      <c r="X30" s="462"/>
      <c r="Y30" s="462"/>
      <c r="Z30" s="462"/>
      <c r="AA30" s="462"/>
      <c r="AB30" s="462"/>
      <c r="AC30" s="462"/>
      <c r="AD30" s="462"/>
      <c r="AE30" s="462"/>
      <c r="AF30" s="462"/>
      <c r="AG30" s="462"/>
      <c r="AH30" s="462"/>
      <c r="AI30" s="462"/>
      <c r="AJ30" s="462"/>
      <c r="AK30" s="462"/>
      <c r="AL30" s="462"/>
      <c r="AM30" s="462"/>
      <c r="AN30" s="462"/>
      <c r="AO30" s="462"/>
      <c r="AP30" s="462"/>
      <c r="AQ30" s="462"/>
      <c r="AR30" s="462"/>
      <c r="AS30" s="462"/>
      <c r="AT30" s="462"/>
      <c r="AU30" s="462"/>
      <c r="AV30" s="462"/>
      <c r="AW30" s="462"/>
      <c r="AX30" s="462"/>
      <c r="AY30" s="462"/>
      <c r="AZ30" s="462"/>
      <c r="BA30" s="462"/>
      <c r="BB30" s="462"/>
      <c r="BC30" s="462"/>
      <c r="BD30" s="466" t="str">
        <f t="shared" si="0"/>
        <v/>
      </c>
      <c r="BE30" s="469" t="str">
        <f t="shared" si="1"/>
        <v/>
      </c>
      <c r="BF30" s="466" t="str">
        <f t="shared" si="2"/>
        <v/>
      </c>
      <c r="BG30" s="466" t="str">
        <f t="shared" si="3"/>
        <v/>
      </c>
      <c r="BH30" s="466" t="str">
        <f t="shared" si="4"/>
        <v/>
      </c>
    </row>
    <row r="31" spans="1:60">
      <c r="A31" s="450">
        <v>25</v>
      </c>
      <c r="B31" s="451"/>
      <c r="C31" s="452"/>
      <c r="D31" s="453"/>
      <c r="E31" s="454"/>
      <c r="F31" s="455"/>
      <c r="G31" s="455"/>
      <c r="H31" s="455"/>
      <c r="I31" s="455"/>
      <c r="J31" s="461"/>
      <c r="K31" s="455"/>
      <c r="L31" s="462"/>
      <c r="M31" s="462"/>
      <c r="N31" s="462"/>
      <c r="O31" s="462"/>
      <c r="P31" s="462"/>
      <c r="Q31" s="462"/>
      <c r="R31" s="462"/>
      <c r="S31" s="462"/>
      <c r="T31" s="462"/>
      <c r="U31" s="462"/>
      <c r="V31" s="462"/>
      <c r="W31" s="462"/>
      <c r="X31" s="462"/>
      <c r="Y31" s="462"/>
      <c r="Z31" s="462"/>
      <c r="AA31" s="462"/>
      <c r="AB31" s="462"/>
      <c r="AC31" s="462"/>
      <c r="AD31" s="462"/>
      <c r="AE31" s="462"/>
      <c r="AF31" s="462"/>
      <c r="AG31" s="462"/>
      <c r="AH31" s="462"/>
      <c r="AI31" s="462"/>
      <c r="AJ31" s="462"/>
      <c r="AK31" s="462"/>
      <c r="AL31" s="462"/>
      <c r="AM31" s="462"/>
      <c r="AN31" s="462"/>
      <c r="AO31" s="462"/>
      <c r="AP31" s="462"/>
      <c r="AQ31" s="462"/>
      <c r="AR31" s="462"/>
      <c r="AS31" s="462"/>
      <c r="AT31" s="462"/>
      <c r="AU31" s="462"/>
      <c r="AV31" s="462"/>
      <c r="AW31" s="462"/>
      <c r="AX31" s="462"/>
      <c r="AY31" s="462"/>
      <c r="AZ31" s="462"/>
      <c r="BA31" s="462"/>
      <c r="BB31" s="462"/>
      <c r="BC31" s="462"/>
      <c r="BD31" s="466" t="str">
        <f t="shared" si="0"/>
        <v/>
      </c>
      <c r="BE31" s="469" t="str">
        <f t="shared" si="1"/>
        <v/>
      </c>
      <c r="BF31" s="466" t="str">
        <f t="shared" si="2"/>
        <v/>
      </c>
      <c r="BG31" s="466" t="str">
        <f t="shared" si="3"/>
        <v/>
      </c>
      <c r="BH31" s="466" t="str">
        <f t="shared" si="4"/>
        <v/>
      </c>
    </row>
    <row r="32" spans="1:60">
      <c r="A32" s="450">
        <v>26</v>
      </c>
      <c r="B32" s="451"/>
      <c r="C32" s="452"/>
      <c r="D32" s="456"/>
      <c r="E32" s="454"/>
      <c r="F32" s="455"/>
      <c r="G32" s="455"/>
      <c r="H32" s="455"/>
      <c r="I32" s="455"/>
      <c r="J32" s="461"/>
      <c r="K32" s="455"/>
      <c r="L32" s="462"/>
      <c r="M32" s="462"/>
      <c r="N32" s="462"/>
      <c r="O32" s="462"/>
      <c r="P32" s="462"/>
      <c r="Q32" s="462"/>
      <c r="R32" s="462"/>
      <c r="S32" s="462"/>
      <c r="T32" s="462"/>
      <c r="U32" s="462"/>
      <c r="V32" s="462"/>
      <c r="W32" s="462"/>
      <c r="X32" s="462"/>
      <c r="Y32" s="462"/>
      <c r="Z32" s="462"/>
      <c r="AA32" s="462"/>
      <c r="AB32" s="462"/>
      <c r="AC32" s="462"/>
      <c r="AD32" s="462"/>
      <c r="AE32" s="462"/>
      <c r="AF32" s="462"/>
      <c r="AG32" s="462"/>
      <c r="AH32" s="462"/>
      <c r="AI32" s="462"/>
      <c r="AJ32" s="462"/>
      <c r="AK32" s="462"/>
      <c r="AL32" s="462"/>
      <c r="AM32" s="462"/>
      <c r="AN32" s="462"/>
      <c r="AO32" s="462"/>
      <c r="AP32" s="462"/>
      <c r="AQ32" s="462"/>
      <c r="AR32" s="462"/>
      <c r="AS32" s="462"/>
      <c r="AT32" s="462"/>
      <c r="AU32" s="462"/>
      <c r="AV32" s="462"/>
      <c r="AW32" s="462"/>
      <c r="AX32" s="462"/>
      <c r="AY32" s="462"/>
      <c r="AZ32" s="462"/>
      <c r="BA32" s="462"/>
      <c r="BB32" s="462"/>
      <c r="BC32" s="462"/>
      <c r="BD32" s="466" t="str">
        <f t="shared" si="0"/>
        <v/>
      </c>
      <c r="BE32" s="469" t="str">
        <f t="shared" si="1"/>
        <v/>
      </c>
      <c r="BF32" s="466" t="str">
        <f t="shared" si="2"/>
        <v/>
      </c>
      <c r="BG32" s="466" t="str">
        <f t="shared" si="3"/>
        <v/>
      </c>
      <c r="BH32" s="466" t="str">
        <f t="shared" si="4"/>
        <v/>
      </c>
    </row>
    <row r="33" spans="1:60">
      <c r="A33" s="450">
        <v>27</v>
      </c>
      <c r="B33" s="451"/>
      <c r="C33" s="452"/>
      <c r="D33" s="456"/>
      <c r="E33" s="454"/>
      <c r="F33" s="457"/>
      <c r="G33" s="457"/>
      <c r="H33" s="457"/>
      <c r="I33" s="457"/>
      <c r="J33" s="463"/>
      <c r="K33" s="462"/>
      <c r="L33" s="462"/>
      <c r="M33" s="462"/>
      <c r="N33" s="462"/>
      <c r="O33" s="462"/>
      <c r="P33" s="462"/>
      <c r="Q33" s="462"/>
      <c r="R33" s="462"/>
      <c r="S33" s="462"/>
      <c r="T33" s="462"/>
      <c r="U33" s="462"/>
      <c r="V33" s="462"/>
      <c r="W33" s="462"/>
      <c r="X33" s="462"/>
      <c r="Y33" s="462"/>
      <c r="Z33" s="462"/>
      <c r="AA33" s="462"/>
      <c r="AB33" s="462"/>
      <c r="AC33" s="462"/>
      <c r="AD33" s="462"/>
      <c r="AE33" s="462"/>
      <c r="AF33" s="462"/>
      <c r="AG33" s="462"/>
      <c r="AH33" s="462"/>
      <c r="AI33" s="462"/>
      <c r="AJ33" s="462"/>
      <c r="AK33" s="462"/>
      <c r="AL33" s="462"/>
      <c r="AM33" s="462"/>
      <c r="AN33" s="462"/>
      <c r="AO33" s="462"/>
      <c r="AP33" s="462"/>
      <c r="AQ33" s="462"/>
      <c r="AR33" s="462"/>
      <c r="AS33" s="462"/>
      <c r="AT33" s="462"/>
      <c r="AU33" s="462"/>
      <c r="AV33" s="462"/>
      <c r="AW33" s="462"/>
      <c r="AX33" s="462"/>
      <c r="AY33" s="462"/>
      <c r="AZ33" s="462"/>
      <c r="BA33" s="462"/>
      <c r="BB33" s="462"/>
      <c r="BC33" s="462"/>
      <c r="BD33" s="466" t="str">
        <f t="shared" si="0"/>
        <v/>
      </c>
      <c r="BE33" s="469" t="str">
        <f t="shared" si="1"/>
        <v/>
      </c>
      <c r="BF33" s="466" t="str">
        <f t="shared" si="2"/>
        <v/>
      </c>
      <c r="BG33" s="466" t="str">
        <f t="shared" si="3"/>
        <v/>
      </c>
      <c r="BH33" s="466" t="str">
        <f t="shared" si="4"/>
        <v/>
      </c>
    </row>
    <row r="34" spans="1:60">
      <c r="A34" s="450">
        <v>28</v>
      </c>
      <c r="B34" s="451"/>
      <c r="C34" s="454"/>
      <c r="D34" s="454"/>
      <c r="E34" s="454"/>
      <c r="F34" s="457"/>
      <c r="G34" s="457"/>
      <c r="H34" s="457"/>
      <c r="I34" s="457"/>
      <c r="J34" s="463"/>
      <c r="K34" s="462"/>
      <c r="L34" s="462"/>
      <c r="M34" s="462"/>
      <c r="N34" s="462"/>
      <c r="O34" s="462"/>
      <c r="P34" s="462"/>
      <c r="Q34" s="462"/>
      <c r="R34" s="462"/>
      <c r="S34" s="462"/>
      <c r="T34" s="462"/>
      <c r="U34" s="462"/>
      <c r="V34" s="462"/>
      <c r="W34" s="462"/>
      <c r="X34" s="462"/>
      <c r="Y34" s="462"/>
      <c r="Z34" s="462"/>
      <c r="AA34" s="462"/>
      <c r="AB34" s="462"/>
      <c r="AC34" s="462"/>
      <c r="AD34" s="462"/>
      <c r="AE34" s="462"/>
      <c r="AF34" s="462"/>
      <c r="AG34" s="462"/>
      <c r="AH34" s="462"/>
      <c r="AI34" s="462"/>
      <c r="AJ34" s="462"/>
      <c r="AK34" s="462"/>
      <c r="AL34" s="462"/>
      <c r="AM34" s="462"/>
      <c r="AN34" s="462"/>
      <c r="AO34" s="462"/>
      <c r="AP34" s="462"/>
      <c r="AQ34" s="462"/>
      <c r="AR34" s="462"/>
      <c r="AS34" s="462"/>
      <c r="AT34" s="462"/>
      <c r="AU34" s="462"/>
      <c r="AV34" s="462"/>
      <c r="AW34" s="462"/>
      <c r="AX34" s="462"/>
      <c r="AY34" s="462"/>
      <c r="AZ34" s="462"/>
      <c r="BA34" s="462"/>
      <c r="BB34" s="462"/>
      <c r="BC34" s="462"/>
      <c r="BD34" s="466" t="str">
        <f t="shared" si="0"/>
        <v/>
      </c>
      <c r="BE34" s="469" t="str">
        <f t="shared" si="1"/>
        <v/>
      </c>
      <c r="BF34" s="466" t="str">
        <f t="shared" si="2"/>
        <v/>
      </c>
      <c r="BG34" s="466" t="str">
        <f t="shared" si="3"/>
        <v/>
      </c>
      <c r="BH34" s="466" t="str">
        <f t="shared" si="4"/>
        <v/>
      </c>
    </row>
    <row r="35" spans="1:60">
      <c r="A35" s="450">
        <v>29</v>
      </c>
      <c r="B35" s="458"/>
      <c r="C35" s="454"/>
      <c r="D35" s="454"/>
      <c r="E35" s="454"/>
      <c r="F35" s="457"/>
      <c r="G35" s="457"/>
      <c r="H35" s="457"/>
      <c r="I35" s="457"/>
      <c r="J35" s="463"/>
      <c r="K35" s="462"/>
      <c r="L35" s="462"/>
      <c r="M35" s="462"/>
      <c r="N35" s="462"/>
      <c r="O35" s="462"/>
      <c r="P35" s="462"/>
      <c r="Q35" s="462"/>
      <c r="R35" s="462"/>
      <c r="S35" s="462"/>
      <c r="T35" s="462"/>
      <c r="U35" s="462"/>
      <c r="V35" s="462"/>
      <c r="W35" s="462"/>
      <c r="X35" s="462"/>
      <c r="Y35" s="462"/>
      <c r="Z35" s="462"/>
      <c r="AA35" s="462"/>
      <c r="AB35" s="462"/>
      <c r="AC35" s="462"/>
      <c r="AD35" s="462"/>
      <c r="AE35" s="462"/>
      <c r="AF35" s="462"/>
      <c r="AG35" s="462"/>
      <c r="AH35" s="462"/>
      <c r="AI35" s="462"/>
      <c r="AJ35" s="462"/>
      <c r="AK35" s="462"/>
      <c r="AL35" s="462"/>
      <c r="AM35" s="462"/>
      <c r="AN35" s="462"/>
      <c r="AO35" s="462"/>
      <c r="AP35" s="462"/>
      <c r="AQ35" s="462"/>
      <c r="AR35" s="462"/>
      <c r="AS35" s="462"/>
      <c r="AT35" s="462"/>
      <c r="AU35" s="462"/>
      <c r="AV35" s="462"/>
      <c r="AW35" s="462"/>
      <c r="AX35" s="462"/>
      <c r="AY35" s="462"/>
      <c r="AZ35" s="462"/>
      <c r="BA35" s="462"/>
      <c r="BB35" s="462"/>
      <c r="BC35" s="462"/>
      <c r="BD35" s="466" t="str">
        <f t="shared" si="0"/>
        <v/>
      </c>
      <c r="BE35" s="469" t="str">
        <f t="shared" si="1"/>
        <v/>
      </c>
      <c r="BF35" s="466" t="str">
        <f t="shared" si="2"/>
        <v/>
      </c>
      <c r="BG35" s="466" t="str">
        <f t="shared" si="3"/>
        <v/>
      </c>
      <c r="BH35" s="466" t="str">
        <f t="shared" si="4"/>
        <v/>
      </c>
    </row>
    <row r="36" spans="1:60">
      <c r="A36" s="450">
        <v>30</v>
      </c>
      <c r="B36" s="458"/>
      <c r="C36" s="454"/>
      <c r="D36" s="454"/>
      <c r="E36" s="454"/>
      <c r="F36" s="457"/>
      <c r="G36" s="457"/>
      <c r="H36" s="457"/>
      <c r="I36" s="457"/>
      <c r="J36" s="463"/>
      <c r="K36" s="462"/>
      <c r="L36" s="462"/>
      <c r="M36" s="462"/>
      <c r="N36" s="462"/>
      <c r="O36" s="462"/>
      <c r="P36" s="462"/>
      <c r="Q36" s="462"/>
      <c r="R36" s="462"/>
      <c r="S36" s="462"/>
      <c r="T36" s="462"/>
      <c r="U36" s="462"/>
      <c r="V36" s="462"/>
      <c r="W36" s="462"/>
      <c r="X36" s="462"/>
      <c r="Y36" s="462"/>
      <c r="Z36" s="462"/>
      <c r="AA36" s="462"/>
      <c r="AB36" s="462"/>
      <c r="AC36" s="462"/>
      <c r="AD36" s="462"/>
      <c r="AE36" s="462"/>
      <c r="AF36" s="462"/>
      <c r="AG36" s="462"/>
      <c r="AH36" s="462"/>
      <c r="AI36" s="462"/>
      <c r="AJ36" s="462"/>
      <c r="AK36" s="462"/>
      <c r="AL36" s="462"/>
      <c r="AM36" s="462"/>
      <c r="AN36" s="462"/>
      <c r="AO36" s="462"/>
      <c r="AP36" s="462"/>
      <c r="AQ36" s="462"/>
      <c r="AR36" s="462"/>
      <c r="AS36" s="462"/>
      <c r="AT36" s="462"/>
      <c r="AU36" s="462"/>
      <c r="AV36" s="462"/>
      <c r="AW36" s="462"/>
      <c r="AX36" s="462"/>
      <c r="AY36" s="462"/>
      <c r="AZ36" s="462"/>
      <c r="BA36" s="462"/>
      <c r="BB36" s="462"/>
      <c r="BC36" s="462"/>
      <c r="BD36" s="466" t="str">
        <f t="shared" si="0"/>
        <v/>
      </c>
      <c r="BE36" s="469" t="str">
        <f t="shared" si="1"/>
        <v/>
      </c>
      <c r="BF36" s="466" t="str">
        <f t="shared" si="2"/>
        <v/>
      </c>
      <c r="BG36" s="466" t="str">
        <f t="shared" si="3"/>
        <v/>
      </c>
      <c r="BH36" s="466" t="str">
        <f t="shared" si="4"/>
        <v/>
      </c>
    </row>
    <row r="37" spans="1:60">
      <c r="A37" s="450">
        <v>31</v>
      </c>
      <c r="B37" s="458"/>
      <c r="C37" s="454"/>
      <c r="D37" s="454"/>
      <c r="E37" s="454"/>
      <c r="F37" s="457"/>
      <c r="G37" s="457"/>
      <c r="H37" s="457"/>
      <c r="I37" s="457"/>
      <c r="J37" s="463"/>
      <c r="K37" s="462"/>
      <c r="L37" s="462"/>
      <c r="M37" s="462"/>
      <c r="N37" s="462"/>
      <c r="O37" s="462"/>
      <c r="P37" s="462"/>
      <c r="Q37" s="462"/>
      <c r="R37" s="462"/>
      <c r="S37" s="462"/>
      <c r="T37" s="462"/>
      <c r="U37" s="462"/>
      <c r="V37" s="462"/>
      <c r="W37" s="462"/>
      <c r="X37" s="462"/>
      <c r="Y37" s="462"/>
      <c r="Z37" s="462"/>
      <c r="AA37" s="462"/>
      <c r="AB37" s="462"/>
      <c r="AC37" s="462"/>
      <c r="AD37" s="462"/>
      <c r="AE37" s="462"/>
      <c r="AF37" s="462"/>
      <c r="AG37" s="462"/>
      <c r="AH37" s="462"/>
      <c r="AI37" s="462"/>
      <c r="AJ37" s="462"/>
      <c r="AK37" s="462"/>
      <c r="AL37" s="462"/>
      <c r="AM37" s="462"/>
      <c r="AN37" s="462"/>
      <c r="AO37" s="462"/>
      <c r="AP37" s="462"/>
      <c r="AQ37" s="462"/>
      <c r="AR37" s="462"/>
      <c r="AS37" s="462"/>
      <c r="AT37" s="462"/>
      <c r="AU37" s="462"/>
      <c r="AV37" s="462"/>
      <c r="AW37" s="462"/>
      <c r="AX37" s="462"/>
      <c r="AY37" s="462"/>
      <c r="AZ37" s="462"/>
      <c r="BA37" s="462"/>
      <c r="BB37" s="462"/>
      <c r="BC37" s="462"/>
      <c r="BD37" s="466" t="str">
        <f t="shared" si="0"/>
        <v/>
      </c>
      <c r="BE37" s="469" t="str">
        <f t="shared" si="1"/>
        <v/>
      </c>
      <c r="BF37" s="466" t="str">
        <f t="shared" si="2"/>
        <v/>
      </c>
      <c r="BG37" s="466" t="str">
        <f t="shared" si="3"/>
        <v/>
      </c>
      <c r="BH37" s="466" t="str">
        <f t="shared" si="4"/>
        <v/>
      </c>
    </row>
    <row r="38" spans="1:60">
      <c r="A38" s="450">
        <v>32</v>
      </c>
      <c r="B38" s="458">
        <f>siswa!C36</f>
        <v>0</v>
      </c>
      <c r="C38" s="454">
        <f>siswa!D36</f>
        <v>0</v>
      </c>
      <c r="D38" s="454">
        <f>siswa!E36</f>
        <v>0</v>
      </c>
      <c r="E38" s="454">
        <f>siswa!F36</f>
        <v>0</v>
      </c>
      <c r="F38" s="457"/>
      <c r="G38" s="457"/>
      <c r="H38" s="457"/>
      <c r="I38" s="457"/>
      <c r="J38" s="463"/>
      <c r="K38" s="462"/>
      <c r="L38" s="462"/>
      <c r="M38" s="462"/>
      <c r="N38" s="462"/>
      <c r="O38" s="462"/>
      <c r="P38" s="462"/>
      <c r="Q38" s="462"/>
      <c r="R38" s="462"/>
      <c r="S38" s="462"/>
      <c r="T38" s="462"/>
      <c r="U38" s="462"/>
      <c r="V38" s="462"/>
      <c r="W38" s="462"/>
      <c r="X38" s="462"/>
      <c r="Y38" s="462"/>
      <c r="Z38" s="462"/>
      <c r="AA38" s="462"/>
      <c r="AB38" s="462"/>
      <c r="AC38" s="462"/>
      <c r="AD38" s="462"/>
      <c r="AE38" s="462"/>
      <c r="AF38" s="462"/>
      <c r="AG38" s="462"/>
      <c r="AH38" s="462"/>
      <c r="AI38" s="462"/>
      <c r="AJ38" s="462"/>
      <c r="AK38" s="462"/>
      <c r="AL38" s="462"/>
      <c r="AM38" s="462"/>
      <c r="AN38" s="462"/>
      <c r="AO38" s="462"/>
      <c r="AP38" s="462"/>
      <c r="AQ38" s="462"/>
      <c r="AR38" s="462"/>
      <c r="AS38" s="462"/>
      <c r="AT38" s="462"/>
      <c r="AU38" s="462"/>
      <c r="AV38" s="462"/>
      <c r="AW38" s="462"/>
      <c r="AX38" s="462"/>
      <c r="AY38" s="462"/>
      <c r="AZ38" s="462"/>
      <c r="BA38" s="462"/>
      <c r="BB38" s="462"/>
      <c r="BC38" s="462"/>
      <c r="BD38" s="466" t="str">
        <f t="shared" si="0"/>
        <v/>
      </c>
      <c r="BE38" s="469" t="str">
        <f t="shared" si="1"/>
        <v/>
      </c>
      <c r="BF38" s="466" t="str">
        <f t="shared" si="2"/>
        <v/>
      </c>
      <c r="BG38" s="466" t="str">
        <f t="shared" si="3"/>
        <v/>
      </c>
      <c r="BH38" s="466" t="str">
        <f t="shared" si="4"/>
        <v/>
      </c>
    </row>
    <row r="39" spans="1:60">
      <c r="A39" s="450">
        <v>33</v>
      </c>
      <c r="B39" s="458">
        <f>siswa!C37</f>
        <v>0</v>
      </c>
      <c r="C39" s="454">
        <f>siswa!D37</f>
        <v>0</v>
      </c>
      <c r="D39" s="454">
        <f>siswa!E37</f>
        <v>0</v>
      </c>
      <c r="E39" s="454">
        <f>siswa!F37</f>
        <v>0</v>
      </c>
      <c r="F39" s="457"/>
      <c r="G39" s="457"/>
      <c r="H39" s="457"/>
      <c r="I39" s="457"/>
      <c r="J39" s="463"/>
      <c r="K39" s="462"/>
      <c r="L39" s="462"/>
      <c r="M39" s="462"/>
      <c r="N39" s="462"/>
      <c r="O39" s="462"/>
      <c r="P39" s="462"/>
      <c r="Q39" s="462"/>
      <c r="R39" s="462"/>
      <c r="S39" s="462"/>
      <c r="T39" s="462"/>
      <c r="U39" s="462"/>
      <c r="V39" s="462"/>
      <c r="W39" s="462"/>
      <c r="X39" s="462"/>
      <c r="Y39" s="462"/>
      <c r="Z39" s="462"/>
      <c r="AA39" s="462"/>
      <c r="AB39" s="462"/>
      <c r="AC39" s="462"/>
      <c r="AD39" s="462"/>
      <c r="AE39" s="462"/>
      <c r="AF39" s="462"/>
      <c r="AG39" s="462"/>
      <c r="AH39" s="462"/>
      <c r="AI39" s="462"/>
      <c r="AJ39" s="462"/>
      <c r="AK39" s="462"/>
      <c r="AL39" s="462"/>
      <c r="AM39" s="462"/>
      <c r="AN39" s="462"/>
      <c r="AO39" s="462"/>
      <c r="AP39" s="462"/>
      <c r="AQ39" s="462"/>
      <c r="AR39" s="462"/>
      <c r="AS39" s="462"/>
      <c r="AT39" s="462"/>
      <c r="AU39" s="462"/>
      <c r="AV39" s="462"/>
      <c r="AW39" s="462"/>
      <c r="AX39" s="462"/>
      <c r="AY39" s="462"/>
      <c r="AZ39" s="462"/>
      <c r="BA39" s="462"/>
      <c r="BB39" s="462"/>
      <c r="BC39" s="462"/>
      <c r="BD39" s="466" t="str">
        <f t="shared" si="0"/>
        <v/>
      </c>
      <c r="BE39" s="469" t="str">
        <f t="shared" si="1"/>
        <v/>
      </c>
      <c r="BF39" s="466" t="str">
        <f t="shared" si="2"/>
        <v/>
      </c>
      <c r="BG39" s="466" t="str">
        <f t="shared" si="3"/>
        <v/>
      </c>
      <c r="BH39" s="466" t="str">
        <f t="shared" si="4"/>
        <v/>
      </c>
    </row>
    <row r="40" spans="1:60">
      <c r="A40" s="450">
        <v>34</v>
      </c>
      <c r="B40" s="458">
        <f>siswa!C38</f>
        <v>0</v>
      </c>
      <c r="C40" s="454">
        <f>siswa!D38</f>
        <v>0</v>
      </c>
      <c r="D40" s="454">
        <f>siswa!E38</f>
        <v>0</v>
      </c>
      <c r="E40" s="454">
        <f>siswa!F38</f>
        <v>0</v>
      </c>
      <c r="F40" s="457"/>
      <c r="G40" s="457"/>
      <c r="H40" s="457"/>
      <c r="I40" s="457"/>
      <c r="J40" s="457"/>
      <c r="K40" s="462"/>
      <c r="L40" s="462"/>
      <c r="M40" s="462"/>
      <c r="N40" s="462"/>
      <c r="O40" s="462"/>
      <c r="P40" s="462"/>
      <c r="Q40" s="462"/>
      <c r="R40" s="462"/>
      <c r="S40" s="462"/>
      <c r="T40" s="462"/>
      <c r="U40" s="462"/>
      <c r="V40" s="462"/>
      <c r="W40" s="462"/>
      <c r="X40" s="462"/>
      <c r="Y40" s="462"/>
      <c r="Z40" s="462"/>
      <c r="AA40" s="462"/>
      <c r="AB40" s="462"/>
      <c r="AC40" s="462"/>
      <c r="AD40" s="462"/>
      <c r="AE40" s="462"/>
      <c r="AF40" s="462"/>
      <c r="AG40" s="462"/>
      <c r="AH40" s="462"/>
      <c r="AI40" s="462"/>
      <c r="AJ40" s="462"/>
      <c r="AK40" s="462"/>
      <c r="AL40" s="462"/>
      <c r="AM40" s="462"/>
      <c r="AN40" s="462"/>
      <c r="AO40" s="462"/>
      <c r="AP40" s="462"/>
      <c r="AQ40" s="462"/>
      <c r="AR40" s="462"/>
      <c r="AS40" s="462"/>
      <c r="AT40" s="462"/>
      <c r="AU40" s="462"/>
      <c r="AV40" s="462"/>
      <c r="AW40" s="462"/>
      <c r="AX40" s="462"/>
      <c r="AY40" s="462"/>
      <c r="AZ40" s="462"/>
      <c r="BA40" s="462"/>
      <c r="BB40" s="462"/>
      <c r="BC40" s="462"/>
      <c r="BD40" s="466" t="str">
        <f t="shared" si="0"/>
        <v/>
      </c>
      <c r="BE40" s="469" t="str">
        <f t="shared" si="1"/>
        <v/>
      </c>
      <c r="BF40" s="466" t="str">
        <f t="shared" si="2"/>
        <v/>
      </c>
      <c r="BG40" s="466" t="str">
        <f t="shared" si="3"/>
        <v/>
      </c>
      <c r="BH40" s="466" t="str">
        <f t="shared" si="4"/>
        <v/>
      </c>
    </row>
    <row r="41" spans="1:60">
      <c r="A41" s="450">
        <v>35</v>
      </c>
      <c r="B41" s="458">
        <f>siswa!C39</f>
        <v>0</v>
      </c>
      <c r="C41" s="454">
        <f>siswa!D39</f>
        <v>0</v>
      </c>
      <c r="D41" s="454">
        <f>siswa!E39</f>
        <v>0</v>
      </c>
      <c r="E41" s="454">
        <f>siswa!F39</f>
        <v>0</v>
      </c>
      <c r="F41" s="457"/>
      <c r="G41" s="457"/>
      <c r="H41" s="457"/>
      <c r="I41" s="457"/>
      <c r="J41" s="457"/>
      <c r="K41" s="462"/>
      <c r="L41" s="462"/>
      <c r="M41" s="462"/>
      <c r="N41" s="462"/>
      <c r="O41" s="462"/>
      <c r="P41" s="462"/>
      <c r="Q41" s="462"/>
      <c r="R41" s="462"/>
      <c r="S41" s="462"/>
      <c r="T41" s="462"/>
      <c r="U41" s="462"/>
      <c r="V41" s="462"/>
      <c r="W41" s="462"/>
      <c r="X41" s="462"/>
      <c r="Y41" s="462"/>
      <c r="Z41" s="462"/>
      <c r="AA41" s="462"/>
      <c r="AB41" s="462"/>
      <c r="AC41" s="462"/>
      <c r="AD41" s="462"/>
      <c r="AE41" s="462"/>
      <c r="AF41" s="462"/>
      <c r="AG41" s="462"/>
      <c r="AH41" s="462"/>
      <c r="AI41" s="462"/>
      <c r="AJ41" s="462"/>
      <c r="AK41" s="462"/>
      <c r="AL41" s="462"/>
      <c r="AM41" s="462"/>
      <c r="AN41" s="462"/>
      <c r="AO41" s="462"/>
      <c r="AP41" s="462"/>
      <c r="AQ41" s="462"/>
      <c r="AR41" s="462"/>
      <c r="AS41" s="462"/>
      <c r="AT41" s="462"/>
      <c r="AU41" s="462"/>
      <c r="AV41" s="462"/>
      <c r="AW41" s="462"/>
      <c r="AX41" s="462"/>
      <c r="AY41" s="462"/>
      <c r="AZ41" s="462"/>
      <c r="BA41" s="462"/>
      <c r="BB41" s="462"/>
      <c r="BC41" s="462"/>
      <c r="BD41" s="466" t="str">
        <f t="shared" si="0"/>
        <v/>
      </c>
      <c r="BE41" s="469" t="str">
        <f t="shared" si="1"/>
        <v/>
      </c>
      <c r="BF41" s="466" t="str">
        <f t="shared" si="2"/>
        <v/>
      </c>
      <c r="BG41" s="466" t="str">
        <f t="shared" si="3"/>
        <v/>
      </c>
      <c r="BH41" s="466" t="str">
        <f t="shared" si="4"/>
        <v/>
      </c>
    </row>
    <row r="42" spans="1:60">
      <c r="A42" s="450">
        <v>36</v>
      </c>
      <c r="B42" s="458">
        <f>siswa!C40</f>
        <v>0</v>
      </c>
      <c r="C42" s="454">
        <f>siswa!D40</f>
        <v>0</v>
      </c>
      <c r="D42" s="454">
        <f>siswa!E40</f>
        <v>0</v>
      </c>
      <c r="E42" s="454">
        <f>siswa!F40</f>
        <v>0</v>
      </c>
      <c r="F42" s="457"/>
      <c r="G42" s="457"/>
      <c r="H42" s="457"/>
      <c r="I42" s="457"/>
      <c r="J42" s="457"/>
      <c r="K42" s="462"/>
      <c r="L42" s="462"/>
      <c r="M42" s="462"/>
      <c r="N42" s="462"/>
      <c r="O42" s="462"/>
      <c r="P42" s="462"/>
      <c r="Q42" s="462"/>
      <c r="R42" s="462"/>
      <c r="S42" s="462"/>
      <c r="T42" s="462"/>
      <c r="U42" s="462"/>
      <c r="V42" s="462"/>
      <c r="W42" s="462"/>
      <c r="X42" s="462"/>
      <c r="Y42" s="462"/>
      <c r="Z42" s="462"/>
      <c r="AA42" s="462"/>
      <c r="AB42" s="462"/>
      <c r="AC42" s="462"/>
      <c r="AD42" s="462"/>
      <c r="AE42" s="462"/>
      <c r="AF42" s="462"/>
      <c r="AG42" s="462"/>
      <c r="AH42" s="462"/>
      <c r="AI42" s="462"/>
      <c r="AJ42" s="462"/>
      <c r="AK42" s="462"/>
      <c r="AL42" s="462"/>
      <c r="AM42" s="462"/>
      <c r="AN42" s="462"/>
      <c r="AO42" s="462"/>
      <c r="AP42" s="462"/>
      <c r="AQ42" s="462"/>
      <c r="AR42" s="462"/>
      <c r="AS42" s="462"/>
      <c r="AT42" s="462"/>
      <c r="AU42" s="462"/>
      <c r="AV42" s="462"/>
      <c r="AW42" s="462"/>
      <c r="AX42" s="462"/>
      <c r="AY42" s="462"/>
      <c r="AZ42" s="462"/>
      <c r="BA42" s="462"/>
      <c r="BB42" s="462"/>
      <c r="BC42" s="462"/>
      <c r="BD42" s="466" t="str">
        <f t="shared" si="0"/>
        <v/>
      </c>
      <c r="BE42" s="469" t="str">
        <f t="shared" si="1"/>
        <v/>
      </c>
      <c r="BF42" s="466" t="str">
        <f t="shared" si="2"/>
        <v/>
      </c>
      <c r="BG42" s="466" t="str">
        <f t="shared" si="3"/>
        <v/>
      </c>
      <c r="BH42" s="466" t="str">
        <f t="shared" si="4"/>
        <v/>
      </c>
    </row>
    <row r="43" spans="1:60">
      <c r="A43" s="450">
        <v>37</v>
      </c>
      <c r="B43" s="458">
        <f>siswa!C41</f>
        <v>0</v>
      </c>
      <c r="C43" s="454">
        <f>siswa!D41</f>
        <v>0</v>
      </c>
      <c r="D43" s="454">
        <f>siswa!E41</f>
        <v>0</v>
      </c>
      <c r="E43" s="454">
        <f>siswa!F41</f>
        <v>0</v>
      </c>
      <c r="F43" s="457"/>
      <c r="G43" s="457"/>
      <c r="H43" s="457"/>
      <c r="I43" s="457"/>
      <c r="J43" s="457"/>
      <c r="K43" s="462"/>
      <c r="L43" s="462"/>
      <c r="M43" s="462"/>
      <c r="N43" s="462"/>
      <c r="O43" s="462"/>
      <c r="P43" s="462"/>
      <c r="Q43" s="462"/>
      <c r="R43" s="462"/>
      <c r="S43" s="462"/>
      <c r="T43" s="462"/>
      <c r="U43" s="462"/>
      <c r="V43" s="462"/>
      <c r="W43" s="462"/>
      <c r="X43" s="462"/>
      <c r="Y43" s="462"/>
      <c r="Z43" s="462"/>
      <c r="AA43" s="462"/>
      <c r="AB43" s="462"/>
      <c r="AC43" s="462"/>
      <c r="AD43" s="462"/>
      <c r="AE43" s="462"/>
      <c r="AF43" s="462"/>
      <c r="AG43" s="462"/>
      <c r="AH43" s="462"/>
      <c r="AI43" s="462"/>
      <c r="AJ43" s="462"/>
      <c r="AK43" s="462"/>
      <c r="AL43" s="462"/>
      <c r="AM43" s="462"/>
      <c r="AN43" s="462"/>
      <c r="AO43" s="462"/>
      <c r="AP43" s="462"/>
      <c r="AQ43" s="462"/>
      <c r="AR43" s="462"/>
      <c r="AS43" s="462"/>
      <c r="AT43" s="462"/>
      <c r="AU43" s="462"/>
      <c r="AV43" s="462"/>
      <c r="AW43" s="462"/>
      <c r="AX43" s="462"/>
      <c r="AY43" s="462"/>
      <c r="AZ43" s="462"/>
      <c r="BA43" s="462"/>
      <c r="BB43" s="462"/>
      <c r="BC43" s="462"/>
      <c r="BD43" s="466" t="str">
        <f t="shared" si="0"/>
        <v/>
      </c>
      <c r="BE43" s="469" t="str">
        <f t="shared" si="1"/>
        <v/>
      </c>
      <c r="BF43" s="466" t="str">
        <f t="shared" si="2"/>
        <v/>
      </c>
      <c r="BG43" s="466" t="str">
        <f t="shared" si="3"/>
        <v/>
      </c>
      <c r="BH43" s="466" t="str">
        <f t="shared" si="4"/>
        <v/>
      </c>
    </row>
    <row r="44" spans="1:60">
      <c r="A44" s="450">
        <v>38</v>
      </c>
      <c r="B44" s="458">
        <f>siswa!C42</f>
        <v>0</v>
      </c>
      <c r="C44" s="454">
        <f>siswa!D42</f>
        <v>0</v>
      </c>
      <c r="D44" s="454">
        <f>siswa!E42</f>
        <v>0</v>
      </c>
      <c r="E44" s="454">
        <f>siswa!F42</f>
        <v>0</v>
      </c>
      <c r="F44" s="457"/>
      <c r="G44" s="457"/>
      <c r="H44" s="457"/>
      <c r="I44" s="457"/>
      <c r="J44" s="457"/>
      <c r="K44" s="462"/>
      <c r="L44" s="462"/>
      <c r="M44" s="462"/>
      <c r="N44" s="462"/>
      <c r="O44" s="462"/>
      <c r="P44" s="462"/>
      <c r="Q44" s="462"/>
      <c r="R44" s="462"/>
      <c r="S44" s="462"/>
      <c r="T44" s="462"/>
      <c r="U44" s="462"/>
      <c r="V44" s="462"/>
      <c r="W44" s="462"/>
      <c r="X44" s="462"/>
      <c r="Y44" s="462"/>
      <c r="Z44" s="462"/>
      <c r="AA44" s="462"/>
      <c r="AB44" s="462"/>
      <c r="AC44" s="462"/>
      <c r="AD44" s="462"/>
      <c r="AE44" s="462"/>
      <c r="AF44" s="462"/>
      <c r="AG44" s="462"/>
      <c r="AH44" s="462"/>
      <c r="AI44" s="462"/>
      <c r="AJ44" s="462"/>
      <c r="AK44" s="462"/>
      <c r="AL44" s="462"/>
      <c r="AM44" s="462"/>
      <c r="AN44" s="462"/>
      <c r="AO44" s="462"/>
      <c r="AP44" s="462"/>
      <c r="AQ44" s="462"/>
      <c r="AR44" s="462"/>
      <c r="AS44" s="462"/>
      <c r="AT44" s="462"/>
      <c r="AU44" s="462"/>
      <c r="AV44" s="462"/>
      <c r="AW44" s="462"/>
      <c r="AX44" s="462"/>
      <c r="AY44" s="462"/>
      <c r="AZ44" s="462"/>
      <c r="BA44" s="462"/>
      <c r="BB44" s="462"/>
      <c r="BC44" s="462"/>
      <c r="BD44" s="466" t="str">
        <f t="shared" si="0"/>
        <v/>
      </c>
      <c r="BE44" s="469" t="str">
        <f t="shared" si="1"/>
        <v/>
      </c>
      <c r="BF44" s="466" t="str">
        <f t="shared" si="2"/>
        <v/>
      </c>
      <c r="BG44" s="466" t="str">
        <f t="shared" si="3"/>
        <v/>
      </c>
      <c r="BH44" s="466" t="str">
        <f t="shared" si="4"/>
        <v/>
      </c>
    </row>
    <row r="45" spans="1:60">
      <c r="A45" s="450">
        <v>39</v>
      </c>
      <c r="B45" s="458">
        <f>siswa!C43</f>
        <v>0</v>
      </c>
      <c r="C45" s="454">
        <f>siswa!D43</f>
        <v>0</v>
      </c>
      <c r="D45" s="454">
        <f>siswa!E43</f>
        <v>0</v>
      </c>
      <c r="E45" s="454">
        <f>siswa!F43</f>
        <v>0</v>
      </c>
      <c r="F45" s="457"/>
      <c r="G45" s="457"/>
      <c r="H45" s="457"/>
      <c r="I45" s="457"/>
      <c r="J45" s="457"/>
      <c r="K45" s="462"/>
      <c r="L45" s="462"/>
      <c r="M45" s="462"/>
      <c r="N45" s="462"/>
      <c r="O45" s="462"/>
      <c r="P45" s="462"/>
      <c r="Q45" s="462"/>
      <c r="R45" s="462"/>
      <c r="S45" s="462"/>
      <c r="T45" s="462"/>
      <c r="U45" s="462"/>
      <c r="V45" s="462"/>
      <c r="W45" s="462"/>
      <c r="X45" s="462"/>
      <c r="Y45" s="462"/>
      <c r="Z45" s="462"/>
      <c r="AA45" s="462"/>
      <c r="AB45" s="462"/>
      <c r="AC45" s="462"/>
      <c r="AD45" s="462"/>
      <c r="AE45" s="462"/>
      <c r="AF45" s="462"/>
      <c r="AG45" s="462"/>
      <c r="AH45" s="462"/>
      <c r="AI45" s="462"/>
      <c r="AJ45" s="462"/>
      <c r="AK45" s="462"/>
      <c r="AL45" s="462"/>
      <c r="AM45" s="462"/>
      <c r="AN45" s="462"/>
      <c r="AO45" s="462"/>
      <c r="AP45" s="462"/>
      <c r="AQ45" s="462"/>
      <c r="AR45" s="462"/>
      <c r="AS45" s="462"/>
      <c r="AT45" s="462"/>
      <c r="AU45" s="462"/>
      <c r="AV45" s="462"/>
      <c r="AW45" s="462"/>
      <c r="AX45" s="462"/>
      <c r="AY45" s="462"/>
      <c r="AZ45" s="462"/>
      <c r="BA45" s="462"/>
      <c r="BB45" s="462"/>
      <c r="BC45" s="462"/>
      <c r="BD45" s="466" t="str">
        <f t="shared" si="0"/>
        <v/>
      </c>
      <c r="BE45" s="469" t="str">
        <f t="shared" si="1"/>
        <v/>
      </c>
      <c r="BF45" s="466" t="str">
        <f t="shared" si="2"/>
        <v/>
      </c>
      <c r="BG45" s="466" t="str">
        <f t="shared" si="3"/>
        <v/>
      </c>
      <c r="BH45" s="466" t="str">
        <f t="shared" si="4"/>
        <v/>
      </c>
    </row>
    <row r="46" spans="1:60">
      <c r="A46" s="450">
        <v>40</v>
      </c>
      <c r="B46" s="458">
        <f>siswa!C44</f>
        <v>0</v>
      </c>
      <c r="C46" s="454">
        <f>siswa!D44</f>
        <v>0</v>
      </c>
      <c r="D46" s="454">
        <f>siswa!E44</f>
        <v>0</v>
      </c>
      <c r="E46" s="454">
        <f>siswa!F44</f>
        <v>0</v>
      </c>
      <c r="F46" s="457"/>
      <c r="G46" s="457"/>
      <c r="H46" s="457"/>
      <c r="I46" s="457"/>
      <c r="J46" s="457"/>
      <c r="K46" s="462"/>
      <c r="L46" s="462"/>
      <c r="M46" s="462"/>
      <c r="N46" s="462"/>
      <c r="O46" s="462"/>
      <c r="P46" s="462"/>
      <c r="Q46" s="462"/>
      <c r="R46" s="462"/>
      <c r="S46" s="462"/>
      <c r="T46" s="462"/>
      <c r="U46" s="462"/>
      <c r="V46" s="462"/>
      <c r="W46" s="462"/>
      <c r="X46" s="462"/>
      <c r="Y46" s="462"/>
      <c r="Z46" s="462"/>
      <c r="AA46" s="462"/>
      <c r="AB46" s="462"/>
      <c r="AC46" s="462"/>
      <c r="AD46" s="462"/>
      <c r="AE46" s="462"/>
      <c r="AF46" s="462"/>
      <c r="AG46" s="462"/>
      <c r="AH46" s="462"/>
      <c r="AI46" s="462"/>
      <c r="AJ46" s="462"/>
      <c r="AK46" s="462"/>
      <c r="AL46" s="462"/>
      <c r="AM46" s="462"/>
      <c r="AN46" s="462"/>
      <c r="AO46" s="462"/>
      <c r="AP46" s="462"/>
      <c r="AQ46" s="462"/>
      <c r="AR46" s="462"/>
      <c r="AS46" s="462"/>
      <c r="AT46" s="462"/>
      <c r="AU46" s="462"/>
      <c r="AV46" s="462"/>
      <c r="AW46" s="462"/>
      <c r="AX46" s="462"/>
      <c r="AY46" s="462"/>
      <c r="AZ46" s="462"/>
      <c r="BA46" s="462"/>
      <c r="BB46" s="462"/>
      <c r="BC46" s="462"/>
      <c r="BD46" s="466" t="str">
        <f t="shared" si="0"/>
        <v/>
      </c>
      <c r="BE46" s="469" t="str">
        <f t="shared" si="1"/>
        <v/>
      </c>
      <c r="BF46" s="466" t="str">
        <f t="shared" si="2"/>
        <v/>
      </c>
      <c r="BG46" s="466" t="str">
        <f t="shared" si="3"/>
        <v/>
      </c>
      <c r="BH46" s="466" t="str">
        <f t="shared" si="4"/>
        <v/>
      </c>
    </row>
    <row r="47" spans="1:60">
      <c r="A47" s="450">
        <v>41</v>
      </c>
      <c r="B47" s="458">
        <f>siswa!C45</f>
        <v>0</v>
      </c>
      <c r="C47" s="454">
        <f>siswa!D45</f>
        <v>0</v>
      </c>
      <c r="D47" s="454">
        <f>siswa!E45</f>
        <v>0</v>
      </c>
      <c r="E47" s="454">
        <f>siswa!F45</f>
        <v>0</v>
      </c>
      <c r="F47" s="457"/>
      <c r="G47" s="457"/>
      <c r="H47" s="457"/>
      <c r="I47" s="457"/>
      <c r="J47" s="457"/>
      <c r="K47" s="462"/>
      <c r="L47" s="462"/>
      <c r="M47" s="462"/>
      <c r="N47" s="462"/>
      <c r="O47" s="462"/>
      <c r="P47" s="462"/>
      <c r="Q47" s="462"/>
      <c r="R47" s="462"/>
      <c r="S47" s="462"/>
      <c r="T47" s="462"/>
      <c r="U47" s="462"/>
      <c r="V47" s="462"/>
      <c r="W47" s="462"/>
      <c r="X47" s="462"/>
      <c r="Y47" s="462"/>
      <c r="Z47" s="462"/>
      <c r="AA47" s="462"/>
      <c r="AB47" s="462"/>
      <c r="AC47" s="462"/>
      <c r="AD47" s="462"/>
      <c r="AE47" s="462"/>
      <c r="AF47" s="462"/>
      <c r="AG47" s="462"/>
      <c r="AH47" s="462"/>
      <c r="AI47" s="462"/>
      <c r="AJ47" s="462"/>
      <c r="AK47" s="462"/>
      <c r="AL47" s="462"/>
      <c r="AM47" s="462"/>
      <c r="AN47" s="462"/>
      <c r="AO47" s="462"/>
      <c r="AP47" s="462"/>
      <c r="AQ47" s="462"/>
      <c r="AR47" s="462"/>
      <c r="AS47" s="462"/>
      <c r="AT47" s="462"/>
      <c r="AU47" s="462"/>
      <c r="AV47" s="462"/>
      <c r="AW47" s="462"/>
      <c r="AX47" s="462"/>
      <c r="AY47" s="462"/>
      <c r="AZ47" s="462"/>
      <c r="BA47" s="462"/>
      <c r="BB47" s="462"/>
      <c r="BC47" s="462"/>
      <c r="BD47" s="466" t="str">
        <f t="shared" si="0"/>
        <v/>
      </c>
      <c r="BE47" s="469" t="str">
        <f t="shared" si="1"/>
        <v/>
      </c>
      <c r="BF47" s="466" t="str">
        <f t="shared" si="2"/>
        <v/>
      </c>
      <c r="BG47" s="466" t="str">
        <f t="shared" si="3"/>
        <v/>
      </c>
      <c r="BH47" s="466" t="str">
        <f t="shared" si="4"/>
        <v/>
      </c>
    </row>
    <row r="48" spans="1:60">
      <c r="A48" s="450">
        <v>42</v>
      </c>
      <c r="B48" s="458">
        <f>siswa!C46</f>
        <v>0</v>
      </c>
      <c r="C48" s="454">
        <f>siswa!D46</f>
        <v>0</v>
      </c>
      <c r="D48" s="454">
        <f>siswa!E46</f>
        <v>0</v>
      </c>
      <c r="E48" s="454">
        <f>siswa!F46</f>
        <v>0</v>
      </c>
      <c r="F48" s="457"/>
      <c r="G48" s="457"/>
      <c r="H48" s="457"/>
      <c r="I48" s="457"/>
      <c r="J48" s="457"/>
      <c r="K48" s="462"/>
      <c r="L48" s="462"/>
      <c r="M48" s="462"/>
      <c r="N48" s="462"/>
      <c r="O48" s="462"/>
      <c r="P48" s="462"/>
      <c r="Q48" s="462"/>
      <c r="R48" s="462"/>
      <c r="S48" s="462"/>
      <c r="T48" s="462"/>
      <c r="U48" s="462"/>
      <c r="V48" s="462"/>
      <c r="W48" s="462"/>
      <c r="X48" s="462"/>
      <c r="Y48" s="462"/>
      <c r="Z48" s="462"/>
      <c r="AA48" s="462"/>
      <c r="AB48" s="462"/>
      <c r="AC48" s="462"/>
      <c r="AD48" s="462"/>
      <c r="AE48" s="462"/>
      <c r="AF48" s="462"/>
      <c r="AG48" s="462"/>
      <c r="AH48" s="462"/>
      <c r="AI48" s="462"/>
      <c r="AJ48" s="462"/>
      <c r="AK48" s="462"/>
      <c r="AL48" s="462"/>
      <c r="AM48" s="462"/>
      <c r="AN48" s="462"/>
      <c r="AO48" s="462"/>
      <c r="AP48" s="462"/>
      <c r="AQ48" s="462"/>
      <c r="AR48" s="462"/>
      <c r="AS48" s="462"/>
      <c r="AT48" s="462"/>
      <c r="AU48" s="462"/>
      <c r="AV48" s="462"/>
      <c r="AW48" s="462"/>
      <c r="AX48" s="462"/>
      <c r="AY48" s="462"/>
      <c r="AZ48" s="462"/>
      <c r="BA48" s="462"/>
      <c r="BB48" s="462"/>
      <c r="BC48" s="462"/>
      <c r="BD48" s="466" t="str">
        <f t="shared" si="0"/>
        <v/>
      </c>
      <c r="BE48" s="469" t="str">
        <f t="shared" si="1"/>
        <v/>
      </c>
      <c r="BF48" s="466" t="str">
        <f t="shared" si="2"/>
        <v/>
      </c>
      <c r="BG48" s="466" t="str">
        <f t="shared" si="3"/>
        <v/>
      </c>
      <c r="BH48" s="466" t="str">
        <f t="shared" si="4"/>
        <v/>
      </c>
    </row>
    <row r="49" spans="1:60">
      <c r="A49" s="450">
        <v>43</v>
      </c>
      <c r="B49" s="458">
        <f>siswa!C47</f>
        <v>0</v>
      </c>
      <c r="C49" s="454">
        <f>siswa!D47</f>
        <v>0</v>
      </c>
      <c r="D49" s="454">
        <f>siswa!E47</f>
        <v>0</v>
      </c>
      <c r="E49" s="454">
        <f>siswa!F47</f>
        <v>0</v>
      </c>
      <c r="F49" s="457"/>
      <c r="G49" s="457"/>
      <c r="H49" s="457"/>
      <c r="I49" s="457"/>
      <c r="J49" s="457"/>
      <c r="K49" s="462"/>
      <c r="L49" s="462"/>
      <c r="M49" s="462"/>
      <c r="N49" s="462"/>
      <c r="O49" s="462"/>
      <c r="P49" s="462"/>
      <c r="Q49" s="462"/>
      <c r="R49" s="462"/>
      <c r="S49" s="462"/>
      <c r="T49" s="462"/>
      <c r="U49" s="462"/>
      <c r="V49" s="462"/>
      <c r="W49" s="462"/>
      <c r="X49" s="462"/>
      <c r="Y49" s="462"/>
      <c r="Z49" s="462"/>
      <c r="AA49" s="462"/>
      <c r="AB49" s="462"/>
      <c r="AC49" s="462"/>
      <c r="AD49" s="462"/>
      <c r="AE49" s="462"/>
      <c r="AF49" s="462"/>
      <c r="AG49" s="462"/>
      <c r="AH49" s="462"/>
      <c r="AI49" s="462"/>
      <c r="AJ49" s="462"/>
      <c r="AK49" s="462"/>
      <c r="AL49" s="462"/>
      <c r="AM49" s="462"/>
      <c r="AN49" s="462"/>
      <c r="AO49" s="462"/>
      <c r="AP49" s="462"/>
      <c r="AQ49" s="462"/>
      <c r="AR49" s="462"/>
      <c r="AS49" s="462"/>
      <c r="AT49" s="462"/>
      <c r="AU49" s="462"/>
      <c r="AV49" s="462"/>
      <c r="AW49" s="462"/>
      <c r="AX49" s="462"/>
      <c r="AY49" s="462"/>
      <c r="AZ49" s="462"/>
      <c r="BA49" s="462"/>
      <c r="BB49" s="462"/>
      <c r="BC49" s="462"/>
      <c r="BD49" s="466" t="str">
        <f t="shared" si="0"/>
        <v/>
      </c>
      <c r="BE49" s="469" t="str">
        <f t="shared" si="1"/>
        <v/>
      </c>
      <c r="BF49" s="466" t="str">
        <f t="shared" si="2"/>
        <v/>
      </c>
      <c r="BG49" s="466" t="str">
        <f t="shared" si="3"/>
        <v/>
      </c>
      <c r="BH49" s="466" t="str">
        <f t="shared" si="4"/>
        <v/>
      </c>
    </row>
    <row r="50" spans="1:60">
      <c r="A50" s="450">
        <v>44</v>
      </c>
      <c r="B50" s="458">
        <f>siswa!C48</f>
        <v>0</v>
      </c>
      <c r="C50" s="454">
        <f>siswa!D48</f>
        <v>0</v>
      </c>
      <c r="D50" s="454">
        <f>siswa!E48</f>
        <v>0</v>
      </c>
      <c r="E50" s="454">
        <f>siswa!F48</f>
        <v>0</v>
      </c>
      <c r="F50" s="457"/>
      <c r="G50" s="457"/>
      <c r="H50" s="457"/>
      <c r="I50" s="457"/>
      <c r="J50" s="457"/>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2"/>
      <c r="BC50" s="462"/>
      <c r="BD50" s="466" t="str">
        <f t="shared" si="0"/>
        <v/>
      </c>
      <c r="BE50" s="469" t="str">
        <f t="shared" si="1"/>
        <v/>
      </c>
      <c r="BF50" s="466" t="str">
        <f t="shared" si="2"/>
        <v/>
      </c>
      <c r="BG50" s="466" t="str">
        <f t="shared" si="3"/>
        <v/>
      </c>
      <c r="BH50" s="466" t="str">
        <f t="shared" si="4"/>
        <v/>
      </c>
    </row>
    <row r="51" spans="1:60">
      <c r="A51" s="450">
        <v>45</v>
      </c>
      <c r="B51" s="458">
        <f>siswa!C49</f>
        <v>0</v>
      </c>
      <c r="C51" s="454">
        <f>siswa!D49</f>
        <v>0</v>
      </c>
      <c r="D51" s="454">
        <f>siswa!E49</f>
        <v>0</v>
      </c>
      <c r="E51" s="454">
        <f>siswa!F49</f>
        <v>0</v>
      </c>
      <c r="F51" s="457"/>
      <c r="G51" s="457"/>
      <c r="H51" s="457"/>
      <c r="I51" s="457"/>
      <c r="J51" s="457"/>
      <c r="K51" s="462"/>
      <c r="L51" s="462"/>
      <c r="M51" s="462"/>
      <c r="N51" s="462"/>
      <c r="O51" s="462"/>
      <c r="P51" s="462"/>
      <c r="Q51" s="462"/>
      <c r="R51" s="462"/>
      <c r="S51" s="462"/>
      <c r="T51" s="462"/>
      <c r="U51" s="462"/>
      <c r="V51" s="462"/>
      <c r="W51" s="462"/>
      <c r="X51" s="462"/>
      <c r="Y51" s="462"/>
      <c r="Z51" s="462"/>
      <c r="AA51" s="462"/>
      <c r="AB51" s="462"/>
      <c r="AC51" s="462"/>
      <c r="AD51" s="462"/>
      <c r="AE51" s="462"/>
      <c r="AF51" s="462"/>
      <c r="AG51" s="462"/>
      <c r="AH51" s="462"/>
      <c r="AI51" s="462"/>
      <c r="AJ51" s="462"/>
      <c r="AK51" s="462"/>
      <c r="AL51" s="462"/>
      <c r="AM51" s="462"/>
      <c r="AN51" s="462"/>
      <c r="AO51" s="462"/>
      <c r="AP51" s="462"/>
      <c r="AQ51" s="462"/>
      <c r="AR51" s="462"/>
      <c r="AS51" s="462"/>
      <c r="AT51" s="462"/>
      <c r="AU51" s="462"/>
      <c r="AV51" s="462"/>
      <c r="AW51" s="462"/>
      <c r="AX51" s="462"/>
      <c r="AY51" s="462"/>
      <c r="AZ51" s="462"/>
      <c r="BA51" s="462"/>
      <c r="BB51" s="462"/>
      <c r="BC51" s="462"/>
      <c r="BD51" s="466" t="str">
        <f t="shared" si="0"/>
        <v/>
      </c>
      <c r="BE51" s="469" t="str">
        <f t="shared" si="1"/>
        <v/>
      </c>
      <c r="BF51" s="466" t="str">
        <f t="shared" si="2"/>
        <v/>
      </c>
      <c r="BG51" s="466" t="str">
        <f t="shared" si="3"/>
        <v/>
      </c>
      <c r="BH51" s="466" t="str">
        <f t="shared" si="4"/>
        <v/>
      </c>
    </row>
    <row r="52" spans="1:60">
      <c r="A52" s="450">
        <v>46</v>
      </c>
      <c r="B52" s="458">
        <f>siswa!C50</f>
        <v>0</v>
      </c>
      <c r="C52" s="454">
        <f>siswa!D50</f>
        <v>0</v>
      </c>
      <c r="D52" s="454">
        <f>siswa!E50</f>
        <v>0</v>
      </c>
      <c r="E52" s="454">
        <f>siswa!F50</f>
        <v>0</v>
      </c>
      <c r="F52" s="457"/>
      <c r="G52" s="457"/>
      <c r="H52" s="457"/>
      <c r="I52" s="457"/>
      <c r="J52" s="457"/>
      <c r="K52" s="462"/>
      <c r="L52" s="462"/>
      <c r="M52" s="462"/>
      <c r="N52" s="462"/>
      <c r="O52" s="462"/>
      <c r="P52" s="462"/>
      <c r="Q52" s="462"/>
      <c r="R52" s="462"/>
      <c r="S52" s="462"/>
      <c r="T52" s="462"/>
      <c r="U52" s="462"/>
      <c r="V52" s="462"/>
      <c r="W52" s="462"/>
      <c r="X52" s="462"/>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2"/>
      <c r="BC52" s="462"/>
      <c r="BD52" s="466" t="str">
        <f t="shared" si="0"/>
        <v/>
      </c>
      <c r="BE52" s="469" t="str">
        <f t="shared" si="1"/>
        <v/>
      </c>
      <c r="BF52" s="466" t="str">
        <f t="shared" si="2"/>
        <v/>
      </c>
      <c r="BG52" s="466" t="str">
        <f t="shared" si="3"/>
        <v/>
      </c>
      <c r="BH52" s="466" t="str">
        <f t="shared" si="4"/>
        <v/>
      </c>
    </row>
    <row r="53" spans="1:60">
      <c r="A53" s="450">
        <v>47</v>
      </c>
      <c r="B53" s="458">
        <f>siswa!C51</f>
        <v>0</v>
      </c>
      <c r="C53" s="454">
        <f>siswa!D51</f>
        <v>0</v>
      </c>
      <c r="D53" s="454">
        <f>siswa!E51</f>
        <v>0</v>
      </c>
      <c r="E53" s="454">
        <f>siswa!F51</f>
        <v>0</v>
      </c>
      <c r="F53" s="457"/>
      <c r="G53" s="457"/>
      <c r="H53" s="457"/>
      <c r="I53" s="457"/>
      <c r="J53" s="457"/>
      <c r="K53" s="462"/>
      <c r="L53" s="462"/>
      <c r="M53" s="462"/>
      <c r="N53" s="462"/>
      <c r="O53" s="462"/>
      <c r="P53" s="462"/>
      <c r="Q53" s="462"/>
      <c r="R53" s="462"/>
      <c r="S53" s="462"/>
      <c r="T53" s="462"/>
      <c r="U53" s="462"/>
      <c r="V53" s="462"/>
      <c r="W53" s="462"/>
      <c r="X53" s="462"/>
      <c r="Y53" s="462"/>
      <c r="Z53" s="462"/>
      <c r="AA53" s="462"/>
      <c r="AB53" s="462"/>
      <c r="AC53" s="462"/>
      <c r="AD53" s="462"/>
      <c r="AE53" s="462"/>
      <c r="AF53" s="462"/>
      <c r="AG53" s="462"/>
      <c r="AH53" s="462"/>
      <c r="AI53" s="462"/>
      <c r="AJ53" s="462"/>
      <c r="AK53" s="462"/>
      <c r="AL53" s="462"/>
      <c r="AM53" s="462"/>
      <c r="AN53" s="462"/>
      <c r="AO53" s="462"/>
      <c r="AP53" s="462"/>
      <c r="AQ53" s="462"/>
      <c r="AR53" s="462"/>
      <c r="AS53" s="462"/>
      <c r="AT53" s="462"/>
      <c r="AU53" s="462"/>
      <c r="AV53" s="462"/>
      <c r="AW53" s="462"/>
      <c r="AX53" s="462"/>
      <c r="AY53" s="462"/>
      <c r="AZ53" s="462"/>
      <c r="BA53" s="462"/>
      <c r="BB53" s="462"/>
      <c r="BC53" s="462"/>
      <c r="BD53" s="466" t="str">
        <f t="shared" si="0"/>
        <v/>
      </c>
      <c r="BE53" s="469" t="str">
        <f t="shared" si="1"/>
        <v/>
      </c>
      <c r="BF53" s="466" t="str">
        <f t="shared" si="2"/>
        <v/>
      </c>
      <c r="BG53" s="466" t="str">
        <f t="shared" si="3"/>
        <v/>
      </c>
      <c r="BH53" s="466" t="str">
        <f t="shared" si="4"/>
        <v/>
      </c>
    </row>
    <row r="54" spans="1:60">
      <c r="A54" s="450">
        <v>48</v>
      </c>
      <c r="B54" s="458">
        <f>siswa!C52</f>
        <v>0</v>
      </c>
      <c r="C54" s="454">
        <f>siswa!D52</f>
        <v>0</v>
      </c>
      <c r="D54" s="454">
        <f>siswa!E52</f>
        <v>0</v>
      </c>
      <c r="E54" s="454">
        <f>siswa!F52</f>
        <v>0</v>
      </c>
      <c r="F54" s="457"/>
      <c r="G54" s="457"/>
      <c r="H54" s="457"/>
      <c r="I54" s="457"/>
      <c r="J54" s="457"/>
      <c r="K54" s="462"/>
      <c r="L54" s="462"/>
      <c r="M54" s="462"/>
      <c r="N54" s="462"/>
      <c r="O54" s="462"/>
      <c r="P54" s="462"/>
      <c r="Q54" s="462"/>
      <c r="R54" s="462"/>
      <c r="S54" s="462"/>
      <c r="T54" s="462"/>
      <c r="U54" s="462"/>
      <c r="V54" s="462"/>
      <c r="W54" s="462"/>
      <c r="X54" s="462"/>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2"/>
      <c r="BC54" s="462"/>
      <c r="BD54" s="466" t="str">
        <f t="shared" si="0"/>
        <v/>
      </c>
      <c r="BE54" s="469" t="str">
        <f t="shared" si="1"/>
        <v/>
      </c>
      <c r="BF54" s="466" t="str">
        <f t="shared" si="2"/>
        <v/>
      </c>
      <c r="BG54" s="466" t="str">
        <f t="shared" si="3"/>
        <v/>
      </c>
      <c r="BH54" s="466" t="str">
        <f t="shared" si="4"/>
        <v/>
      </c>
    </row>
    <row r="55" spans="1:60">
      <c r="A55" s="450">
        <v>49</v>
      </c>
      <c r="B55" s="458">
        <f>siswa!C53</f>
        <v>0</v>
      </c>
      <c r="C55" s="454">
        <f>siswa!D53</f>
        <v>0</v>
      </c>
      <c r="D55" s="454">
        <f>siswa!E53</f>
        <v>0</v>
      </c>
      <c r="E55" s="454">
        <f>siswa!F53</f>
        <v>0</v>
      </c>
      <c r="F55" s="457"/>
      <c r="G55" s="457"/>
      <c r="H55" s="457"/>
      <c r="I55" s="457"/>
      <c r="J55" s="457"/>
      <c r="K55" s="462"/>
      <c r="L55" s="462"/>
      <c r="M55" s="462"/>
      <c r="N55" s="462"/>
      <c r="O55" s="462"/>
      <c r="P55" s="462"/>
      <c r="Q55" s="462"/>
      <c r="R55" s="462"/>
      <c r="S55" s="462"/>
      <c r="T55" s="462"/>
      <c r="U55" s="462"/>
      <c r="V55" s="462"/>
      <c r="W55" s="462"/>
      <c r="X55" s="462"/>
      <c r="Y55" s="462"/>
      <c r="Z55" s="462"/>
      <c r="AA55" s="462"/>
      <c r="AB55" s="462"/>
      <c r="AC55" s="462"/>
      <c r="AD55" s="462"/>
      <c r="AE55" s="462"/>
      <c r="AF55" s="462"/>
      <c r="AG55" s="462"/>
      <c r="AH55" s="462"/>
      <c r="AI55" s="462"/>
      <c r="AJ55" s="462"/>
      <c r="AK55" s="462"/>
      <c r="AL55" s="462"/>
      <c r="AM55" s="462"/>
      <c r="AN55" s="462"/>
      <c r="AO55" s="462"/>
      <c r="AP55" s="462"/>
      <c r="AQ55" s="462"/>
      <c r="AR55" s="462"/>
      <c r="AS55" s="462"/>
      <c r="AT55" s="462"/>
      <c r="AU55" s="462"/>
      <c r="AV55" s="462"/>
      <c r="AW55" s="462"/>
      <c r="AX55" s="462"/>
      <c r="AY55" s="462"/>
      <c r="AZ55" s="462"/>
      <c r="BA55" s="462"/>
      <c r="BB55" s="462"/>
      <c r="BC55" s="462"/>
      <c r="BD55" s="466" t="str">
        <f t="shared" si="0"/>
        <v/>
      </c>
      <c r="BE55" s="469" t="str">
        <f t="shared" si="1"/>
        <v/>
      </c>
      <c r="BF55" s="466" t="str">
        <f t="shared" si="2"/>
        <v/>
      </c>
      <c r="BG55" s="466" t="str">
        <f t="shared" si="3"/>
        <v/>
      </c>
      <c r="BH55" s="466" t="str">
        <f t="shared" si="4"/>
        <v/>
      </c>
    </row>
    <row r="56" spans="1:60">
      <c r="A56" s="450">
        <v>50</v>
      </c>
      <c r="B56" s="458">
        <f>siswa!C54</f>
        <v>0</v>
      </c>
      <c r="C56" s="454">
        <f>siswa!D54</f>
        <v>0</v>
      </c>
      <c r="D56" s="454">
        <f>siswa!E54</f>
        <v>0</v>
      </c>
      <c r="E56" s="454">
        <f>siswa!F54</f>
        <v>0</v>
      </c>
      <c r="F56" s="457"/>
      <c r="G56" s="457"/>
      <c r="H56" s="457"/>
      <c r="I56" s="457"/>
      <c r="J56" s="457"/>
      <c r="K56" s="462"/>
      <c r="L56" s="462"/>
      <c r="M56" s="462"/>
      <c r="N56" s="462"/>
      <c r="O56" s="462"/>
      <c r="P56" s="462"/>
      <c r="Q56" s="462"/>
      <c r="R56" s="462"/>
      <c r="S56" s="462"/>
      <c r="T56" s="462"/>
      <c r="U56" s="462"/>
      <c r="V56" s="462"/>
      <c r="W56" s="462"/>
      <c r="X56" s="462"/>
      <c r="Y56" s="462"/>
      <c r="Z56" s="462"/>
      <c r="AA56" s="462"/>
      <c r="AB56" s="462"/>
      <c r="AC56" s="462"/>
      <c r="AD56" s="462"/>
      <c r="AE56" s="462"/>
      <c r="AF56" s="462"/>
      <c r="AG56" s="462"/>
      <c r="AH56" s="462"/>
      <c r="AI56" s="462"/>
      <c r="AJ56" s="462"/>
      <c r="AK56" s="462"/>
      <c r="AL56" s="462"/>
      <c r="AM56" s="462"/>
      <c r="AN56" s="462"/>
      <c r="AO56" s="462"/>
      <c r="AP56" s="462"/>
      <c r="AQ56" s="462"/>
      <c r="AR56" s="462"/>
      <c r="AS56" s="462"/>
      <c r="AT56" s="462"/>
      <c r="AU56" s="462"/>
      <c r="AV56" s="462"/>
      <c r="AW56" s="462"/>
      <c r="AX56" s="462"/>
      <c r="AY56" s="462"/>
      <c r="AZ56" s="462"/>
      <c r="BA56" s="462"/>
      <c r="BB56" s="462"/>
      <c r="BC56" s="462"/>
      <c r="BD56" s="466" t="str">
        <f t="shared" si="0"/>
        <v/>
      </c>
      <c r="BE56" s="469" t="str">
        <f t="shared" si="1"/>
        <v/>
      </c>
      <c r="BF56" s="466" t="str">
        <f t="shared" si="2"/>
        <v/>
      </c>
      <c r="BG56" s="466" t="str">
        <f t="shared" si="3"/>
        <v/>
      </c>
      <c r="BH56" s="466" t="str">
        <f t="shared" si="4"/>
        <v/>
      </c>
    </row>
    <row r="57" spans="1:61">
      <c r="A57" s="459"/>
      <c r="B57" s="459"/>
      <c r="C57" s="434"/>
      <c r="D57" s="434"/>
      <c r="E57" s="434"/>
      <c r="F57" s="434"/>
      <c r="G57" s="434"/>
      <c r="H57" s="434"/>
      <c r="I57" s="434"/>
      <c r="J57" s="434"/>
      <c r="K57" s="434"/>
      <c r="L57" s="434"/>
      <c r="M57" s="434"/>
      <c r="N57" s="434"/>
      <c r="O57" s="434"/>
      <c r="P57" s="434"/>
      <c r="Q57" s="434"/>
      <c r="R57" s="434"/>
      <c r="S57" s="434"/>
      <c r="T57" s="434"/>
      <c r="U57" s="434"/>
      <c r="V57" s="434"/>
      <c r="W57" s="434"/>
      <c r="X57" s="434"/>
      <c r="Y57" s="434"/>
      <c r="Z57" s="434"/>
      <c r="AA57" s="434"/>
      <c r="AB57" s="434"/>
      <c r="AC57" s="434"/>
      <c r="AD57" s="434"/>
      <c r="AE57" s="434"/>
      <c r="AF57" s="434"/>
      <c r="AG57" s="434"/>
      <c r="AH57" s="434"/>
      <c r="AI57" s="434"/>
      <c r="AJ57" s="434"/>
      <c r="AK57" s="434"/>
      <c r="AL57" s="434"/>
      <c r="AM57" s="434"/>
      <c r="AN57" s="434"/>
      <c r="AO57" s="434"/>
      <c r="AP57" s="434"/>
      <c r="AQ57" s="434"/>
      <c r="AR57" s="434"/>
      <c r="AS57" s="434"/>
      <c r="AT57" s="434"/>
      <c r="AU57" s="434"/>
      <c r="AV57" s="434"/>
      <c r="AW57" s="434"/>
      <c r="AX57" s="434"/>
      <c r="AY57" s="434"/>
      <c r="AZ57" s="434"/>
      <c r="BA57" s="434"/>
      <c r="BB57" s="434"/>
      <c r="BC57" s="434"/>
      <c r="BD57" s="459"/>
      <c r="BE57" s="459"/>
      <c r="BF57" s="467"/>
      <c r="BG57" s="467"/>
      <c r="BH57" s="467"/>
      <c r="BI57" s="459"/>
    </row>
    <row r="58" spans="1:61">
      <c r="A58" s="459"/>
      <c r="B58" s="459"/>
      <c r="C58" s="434"/>
      <c r="D58" s="434"/>
      <c r="E58" s="434"/>
      <c r="F58" s="434"/>
      <c r="G58" s="434"/>
      <c r="H58" s="434"/>
      <c r="I58" s="434"/>
      <c r="J58" s="434"/>
      <c r="K58" s="434"/>
      <c r="L58" s="434"/>
      <c r="M58" s="434"/>
      <c r="N58" s="434"/>
      <c r="O58" s="434"/>
      <c r="P58" s="434"/>
      <c r="Q58" s="434"/>
      <c r="R58" s="434"/>
      <c r="S58" s="434"/>
      <c r="T58" s="434"/>
      <c r="U58" s="434"/>
      <c r="V58" s="434"/>
      <c r="W58" s="434"/>
      <c r="X58" s="434"/>
      <c r="Y58" s="434"/>
      <c r="Z58" s="434"/>
      <c r="AA58" s="434"/>
      <c r="AB58" s="434"/>
      <c r="AC58" s="434"/>
      <c r="AD58" s="434"/>
      <c r="AE58" s="434"/>
      <c r="AF58" s="434"/>
      <c r="AG58" s="434"/>
      <c r="AH58" s="434"/>
      <c r="AI58" s="434"/>
      <c r="AJ58" s="434"/>
      <c r="AK58" s="434"/>
      <c r="AL58" s="434"/>
      <c r="AM58" s="434"/>
      <c r="AN58" s="434"/>
      <c r="AO58" s="434"/>
      <c r="AP58" s="434"/>
      <c r="AQ58" s="434"/>
      <c r="AR58" s="434"/>
      <c r="AS58" s="434"/>
      <c r="AT58" s="434"/>
      <c r="AU58" s="434"/>
      <c r="AV58" s="434"/>
      <c r="AW58" s="434"/>
      <c r="AX58" s="434"/>
      <c r="AY58" s="434"/>
      <c r="AZ58" s="434"/>
      <c r="BA58" s="434"/>
      <c r="BB58" s="434"/>
      <c r="BC58" s="434"/>
      <c r="BD58" s="459"/>
      <c r="BE58" s="459"/>
      <c r="BF58" s="467"/>
      <c r="BG58" s="467"/>
      <c r="BH58" s="467"/>
      <c r="BI58" s="459"/>
    </row>
    <row r="59" spans="1:61">
      <c r="A59" s="459"/>
      <c r="B59" s="459"/>
      <c r="C59" s="434"/>
      <c r="D59" s="434"/>
      <c r="E59" s="434"/>
      <c r="F59" s="434"/>
      <c r="G59" s="434"/>
      <c r="H59" s="434"/>
      <c r="I59" s="434"/>
      <c r="J59" s="434"/>
      <c r="K59" s="434"/>
      <c r="L59" s="434"/>
      <c r="M59" s="434"/>
      <c r="N59" s="434"/>
      <c r="O59" s="434"/>
      <c r="P59" s="434"/>
      <c r="Q59" s="434"/>
      <c r="R59" s="434"/>
      <c r="S59" s="434"/>
      <c r="T59" s="434"/>
      <c r="U59" s="434"/>
      <c r="V59" s="434"/>
      <c r="W59" s="434"/>
      <c r="X59" s="434"/>
      <c r="Y59" s="434"/>
      <c r="Z59" s="434"/>
      <c r="AA59" s="434"/>
      <c r="AB59" s="434"/>
      <c r="AC59" s="434"/>
      <c r="AD59" s="434"/>
      <c r="AE59" s="434"/>
      <c r="AF59" s="434"/>
      <c r="AG59" s="434"/>
      <c r="AH59" s="434"/>
      <c r="AI59" s="434"/>
      <c r="AJ59" s="434"/>
      <c r="AK59" s="434"/>
      <c r="AL59" s="434"/>
      <c r="AM59" s="434"/>
      <c r="AN59" s="434"/>
      <c r="AO59" s="434"/>
      <c r="AP59" s="434"/>
      <c r="AQ59" s="434"/>
      <c r="AR59" s="434"/>
      <c r="AS59" s="434"/>
      <c r="AT59" s="434"/>
      <c r="AU59" s="434"/>
      <c r="AV59" s="434"/>
      <c r="AW59" s="434"/>
      <c r="AX59" s="434"/>
      <c r="AY59" s="434"/>
      <c r="AZ59" s="434"/>
      <c r="BA59" s="434"/>
      <c r="BB59" s="434"/>
      <c r="BC59" s="434"/>
      <c r="BD59" s="459"/>
      <c r="BE59" s="459"/>
      <c r="BF59" s="467"/>
      <c r="BG59" s="467"/>
      <c r="BH59" s="467"/>
      <c r="BI59" s="459"/>
    </row>
    <row r="60" spans="1:61">
      <c r="A60" s="459"/>
      <c r="B60" s="459"/>
      <c r="C60" s="434"/>
      <c r="D60" s="434"/>
      <c r="E60" s="434"/>
      <c r="F60" s="434"/>
      <c r="G60" s="434"/>
      <c r="H60" s="434"/>
      <c r="I60" s="434"/>
      <c r="J60" s="434"/>
      <c r="K60" s="434"/>
      <c r="L60" s="434"/>
      <c r="M60" s="434"/>
      <c r="N60" s="434"/>
      <c r="O60" s="434"/>
      <c r="P60" s="434"/>
      <c r="Q60" s="434"/>
      <c r="R60" s="434"/>
      <c r="S60" s="434"/>
      <c r="T60" s="434"/>
      <c r="U60" s="434"/>
      <c r="V60" s="434"/>
      <c r="W60" s="434"/>
      <c r="X60" s="434"/>
      <c r="Y60" s="434"/>
      <c r="Z60" s="434"/>
      <c r="AA60" s="434"/>
      <c r="AB60" s="434"/>
      <c r="AC60" s="434"/>
      <c r="AD60" s="434"/>
      <c r="AE60" s="434"/>
      <c r="AF60" s="434"/>
      <c r="AG60" s="434"/>
      <c r="AH60" s="434"/>
      <c r="AI60" s="434"/>
      <c r="AJ60" s="434"/>
      <c r="AK60" s="434"/>
      <c r="AL60" s="434"/>
      <c r="AM60" s="434"/>
      <c r="AN60" s="434"/>
      <c r="AO60" s="434"/>
      <c r="AP60" s="434"/>
      <c r="AQ60" s="434"/>
      <c r="AR60" s="434"/>
      <c r="AS60" s="434"/>
      <c r="AT60" s="434"/>
      <c r="AU60" s="434"/>
      <c r="AV60" s="434"/>
      <c r="AW60" s="434"/>
      <c r="AX60" s="434"/>
      <c r="AY60" s="434"/>
      <c r="AZ60" s="434"/>
      <c r="BA60" s="434"/>
      <c r="BB60" s="434"/>
      <c r="BC60" s="434"/>
      <c r="BD60" s="459"/>
      <c r="BE60" s="459"/>
      <c r="BF60" s="467"/>
      <c r="BG60" s="467"/>
      <c r="BH60" s="467"/>
      <c r="BI60" s="459"/>
    </row>
    <row r="61" spans="1:61">
      <c r="A61" s="459"/>
      <c r="B61" s="459"/>
      <c r="C61" s="434"/>
      <c r="D61" s="434"/>
      <c r="E61" s="434"/>
      <c r="F61" s="434"/>
      <c r="G61" s="434"/>
      <c r="H61" s="434"/>
      <c r="I61" s="434"/>
      <c r="J61" s="434"/>
      <c r="K61" s="434"/>
      <c r="L61" s="434"/>
      <c r="M61" s="434"/>
      <c r="N61" s="434"/>
      <c r="O61" s="434"/>
      <c r="P61" s="434"/>
      <c r="Q61" s="434"/>
      <c r="R61" s="434"/>
      <c r="S61" s="434"/>
      <c r="T61" s="434"/>
      <c r="U61" s="434"/>
      <c r="V61" s="434"/>
      <c r="W61" s="434"/>
      <c r="X61" s="434"/>
      <c r="Y61" s="434"/>
      <c r="Z61" s="434"/>
      <c r="AA61" s="434"/>
      <c r="AB61" s="434"/>
      <c r="AC61" s="434"/>
      <c r="AD61" s="434"/>
      <c r="AE61" s="434"/>
      <c r="AF61" s="434"/>
      <c r="AG61" s="434"/>
      <c r="AH61" s="434"/>
      <c r="AI61" s="434"/>
      <c r="AJ61" s="434"/>
      <c r="AK61" s="434"/>
      <c r="AL61" s="434"/>
      <c r="AM61" s="434"/>
      <c r="AN61" s="434"/>
      <c r="AO61" s="434"/>
      <c r="AP61" s="434"/>
      <c r="AQ61" s="434"/>
      <c r="AR61" s="434"/>
      <c r="AS61" s="434"/>
      <c r="AT61" s="434"/>
      <c r="AU61" s="434"/>
      <c r="AV61" s="434"/>
      <c r="AW61" s="434"/>
      <c r="AX61" s="434"/>
      <c r="AY61" s="434"/>
      <c r="AZ61" s="434"/>
      <c r="BA61" s="434"/>
      <c r="BB61" s="434"/>
      <c r="BC61" s="434"/>
      <c r="BD61" s="459"/>
      <c r="BE61" s="459"/>
      <c r="BF61" s="467"/>
      <c r="BG61" s="467"/>
      <c r="BH61" s="467"/>
      <c r="BI61" s="459"/>
    </row>
    <row r="62" spans="1:61">
      <c r="A62" s="459"/>
      <c r="B62" s="459"/>
      <c r="C62" s="434"/>
      <c r="D62" s="434"/>
      <c r="E62" s="434"/>
      <c r="F62" s="434"/>
      <c r="G62" s="434"/>
      <c r="H62" s="434"/>
      <c r="I62" s="434"/>
      <c r="J62" s="434"/>
      <c r="K62" s="434"/>
      <c r="L62" s="434"/>
      <c r="M62" s="434"/>
      <c r="N62" s="434"/>
      <c r="O62" s="434"/>
      <c r="P62" s="434"/>
      <c r="Q62" s="434"/>
      <c r="R62" s="434"/>
      <c r="S62" s="434"/>
      <c r="T62" s="434"/>
      <c r="U62" s="434"/>
      <c r="V62" s="434"/>
      <c r="W62" s="434"/>
      <c r="X62" s="434"/>
      <c r="Y62" s="434"/>
      <c r="Z62" s="434"/>
      <c r="AA62" s="434"/>
      <c r="AB62" s="434"/>
      <c r="AC62" s="434"/>
      <c r="AD62" s="434"/>
      <c r="AE62" s="434"/>
      <c r="AF62" s="434"/>
      <c r="AG62" s="434"/>
      <c r="AH62" s="434"/>
      <c r="AI62" s="434"/>
      <c r="AJ62" s="434"/>
      <c r="AK62" s="434"/>
      <c r="AL62" s="434"/>
      <c r="AM62" s="434"/>
      <c r="AN62" s="434"/>
      <c r="AO62" s="434"/>
      <c r="AP62" s="434"/>
      <c r="AQ62" s="434"/>
      <c r="AR62" s="434"/>
      <c r="AS62" s="434"/>
      <c r="AT62" s="434"/>
      <c r="AU62" s="434"/>
      <c r="AV62" s="434"/>
      <c r="AW62" s="434"/>
      <c r="AX62" s="434"/>
      <c r="AY62" s="434"/>
      <c r="AZ62" s="434"/>
      <c r="BA62" s="434"/>
      <c r="BB62" s="434"/>
      <c r="BC62" s="434"/>
      <c r="BD62" s="459"/>
      <c r="BE62" s="459"/>
      <c r="BF62" s="467"/>
      <c r="BG62" s="467"/>
      <c r="BH62" s="467"/>
      <c r="BI62" s="459"/>
    </row>
    <row r="63" spans="1:61">
      <c r="A63" s="459"/>
      <c r="B63" s="459"/>
      <c r="C63" s="434"/>
      <c r="D63" s="434"/>
      <c r="E63" s="434"/>
      <c r="F63" s="434"/>
      <c r="G63" s="434"/>
      <c r="H63" s="434"/>
      <c r="I63" s="434"/>
      <c r="J63" s="434"/>
      <c r="K63" s="434"/>
      <c r="L63" s="434"/>
      <c r="M63" s="434"/>
      <c r="N63" s="434"/>
      <c r="O63" s="434"/>
      <c r="P63" s="434"/>
      <c r="Q63" s="434"/>
      <c r="R63" s="434"/>
      <c r="S63" s="434"/>
      <c r="T63" s="434"/>
      <c r="U63" s="434"/>
      <c r="V63" s="434"/>
      <c r="W63" s="434"/>
      <c r="X63" s="434"/>
      <c r="Y63" s="434"/>
      <c r="Z63" s="434"/>
      <c r="AA63" s="434"/>
      <c r="AB63" s="434"/>
      <c r="AC63" s="434"/>
      <c r="AD63" s="434"/>
      <c r="AE63" s="434"/>
      <c r="AF63" s="434"/>
      <c r="AG63" s="434"/>
      <c r="AH63" s="434"/>
      <c r="AI63" s="434"/>
      <c r="AJ63" s="434"/>
      <c r="AK63" s="434"/>
      <c r="AL63" s="434"/>
      <c r="AM63" s="434"/>
      <c r="AN63" s="434"/>
      <c r="AO63" s="434"/>
      <c r="AP63" s="434"/>
      <c r="AQ63" s="434"/>
      <c r="AR63" s="434"/>
      <c r="AS63" s="434"/>
      <c r="AT63" s="434"/>
      <c r="AU63" s="434"/>
      <c r="AV63" s="434"/>
      <c r="AW63" s="434"/>
      <c r="AX63" s="434"/>
      <c r="AY63" s="434"/>
      <c r="AZ63" s="434"/>
      <c r="BA63" s="434"/>
      <c r="BB63" s="434"/>
      <c r="BC63" s="434"/>
      <c r="BD63" s="459"/>
      <c r="BE63" s="459"/>
      <c r="BF63" s="467"/>
      <c r="BG63" s="467"/>
      <c r="BH63" s="467"/>
      <c r="BI63" s="459"/>
    </row>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sheetData>
  <mergeCells count="10">
    <mergeCell ref="A3:C3"/>
    <mergeCell ref="F4:BC4"/>
    <mergeCell ref="BD4:BE4"/>
    <mergeCell ref="BF4:BH4"/>
    <mergeCell ref="A4:A5"/>
    <mergeCell ref="B4:B5"/>
    <mergeCell ref="C4:C5"/>
    <mergeCell ref="D4:D5"/>
    <mergeCell ref="E4:E5"/>
    <mergeCell ref="A1:C2"/>
  </mergeCells>
  <conditionalFormatting sqref="B33">
    <cfRule type="duplicateValues" dxfId="0" priority="6"/>
    <cfRule type="cellIs" dxfId="1" priority="5" operator="equal">
      <formula>0</formula>
    </cfRule>
  </conditionalFormatting>
  <conditionalFormatting sqref="A7:A56">
    <cfRule type="cellIs" dxfId="1" priority="21" operator="equal">
      <formula>0</formula>
    </cfRule>
  </conditionalFormatting>
  <conditionalFormatting sqref="B7:B32">
    <cfRule type="cellIs" dxfId="1" priority="1" operator="equal">
      <formula>0</formula>
    </cfRule>
    <cfRule type="duplicateValues" dxfId="0" priority="2"/>
  </conditionalFormatting>
  <conditionalFormatting sqref="B16:B25">
    <cfRule type="duplicateValues" dxfId="0" priority="4"/>
    <cfRule type="cellIs" dxfId="1" priority="3" operator="equal">
      <formula>0</formula>
    </cfRule>
  </conditionalFormatting>
  <conditionalFormatting sqref="B34:E56;E7:E33">
    <cfRule type="cellIs" dxfId="2" priority="20" operator="equal">
      <formula>0</formula>
    </cfRule>
  </conditionalFormatting>
  <conditionalFormatting sqref="F7:AI56">
    <cfRule type="cellIs" dxfId="1" priority="17" operator="equal">
      <formula>"A"</formula>
    </cfRule>
    <cfRule type="cellIs" dxfId="1" priority="18" operator="equal">
      <formula>"I"</formula>
    </cfRule>
    <cfRule type="cellIs" dxfId="1" priority="19" operator="equal">
      <formula>"S"</formula>
    </cfRule>
  </conditionalFormatting>
  <conditionalFormatting sqref="AJ7:AT56">
    <cfRule type="cellIs" dxfId="1" priority="14" operator="equal">
      <formula>"A"</formula>
    </cfRule>
    <cfRule type="cellIs" dxfId="1" priority="15" operator="equal">
      <formula>"I"</formula>
    </cfRule>
    <cfRule type="cellIs" dxfId="1" priority="16" operator="equal">
      <formula>"S"</formula>
    </cfRule>
  </conditionalFormatting>
  <conditionalFormatting sqref="AU7:BC56">
    <cfRule type="cellIs" dxfId="1" priority="11" operator="equal">
      <formula>"A"</formula>
    </cfRule>
    <cfRule type="cellIs" dxfId="1" priority="12" operator="equal">
      <formula>"I"</formula>
    </cfRule>
    <cfRule type="cellIs" dxfId="1" priority="13" operator="equal">
      <formula>"S"</formula>
    </cfRule>
  </conditionalFormatting>
  <pageMargins left="0.7" right="0.7" top="0.75" bottom="0.75" header="0.3" footer="0.3"/>
  <pageSetup paperSize="5"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1:XFD32"/>
  <sheetViews>
    <sheetView showRowColHeaders="0" zoomScale="90" zoomScaleNormal="90" topLeftCell="B1" workbookViewId="0">
      <selection activeCell="D14" sqref="D14"/>
    </sheetView>
  </sheetViews>
  <sheetFormatPr defaultColWidth="0" defaultRowHeight="15.75" zeroHeight="1"/>
  <cols>
    <col min="1" max="1" width="14.625" style="408" hidden="1" customWidth="1"/>
    <col min="2" max="2" width="35.375" style="408" customWidth="1"/>
    <col min="3" max="3" width="1.5" style="408" customWidth="1"/>
    <col min="4" max="4" width="72.25" style="408" customWidth="1"/>
    <col min="5" max="5" width="3" style="408" customWidth="1"/>
    <col min="6" max="6" width="40.75" style="408" customWidth="1"/>
    <col min="7" max="7" width="2" style="409" hidden="1" customWidth="1"/>
    <col min="8" max="8" width="13.5" style="409" hidden="1" customWidth="1"/>
    <col min="9" max="9" width="3" style="409" hidden="1" customWidth="1"/>
    <col min="10" max="10" width="3.5" style="409" hidden="1" customWidth="1"/>
    <col min="11" max="11" width="8" style="409" hidden="1" customWidth="1"/>
    <col min="12" max="12" width="4.875" style="410" hidden="1" customWidth="1"/>
    <col min="13" max="13" width="3.5" style="410" hidden="1" customWidth="1"/>
    <col min="14" max="14" width="8" style="410" hidden="1" customWidth="1"/>
    <col min="15" max="16384" width="9" style="410" hidden="1"/>
  </cols>
  <sheetData>
    <row r="1" ht="33.75" spans="2:16384">
      <c r="B1" s="411" t="s">
        <v>26</v>
      </c>
      <c r="C1" s="412"/>
      <c r="D1" s="412"/>
      <c r="E1" s="413"/>
      <c r="F1" s="414" t="s">
        <v>27</v>
      </c>
      <c r="XFD1" s="410" t="e">
        <f>#REF!</f>
        <v>#REF!</v>
      </c>
    </row>
    <row r="2" ht="16.5" spans="2:6">
      <c r="B2" s="415"/>
      <c r="C2" s="416"/>
      <c r="D2" s="416"/>
      <c r="E2" s="417"/>
      <c r="F2" s="414"/>
    </row>
    <row r="3" ht="16.5" spans="2:6">
      <c r="B3" s="418" t="s">
        <v>28</v>
      </c>
      <c r="C3" s="416" t="s">
        <v>29</v>
      </c>
      <c r="D3" s="419" t="s">
        <v>30</v>
      </c>
      <c r="E3" s="417"/>
      <c r="F3" s="414"/>
    </row>
    <row r="4" ht="16.5" spans="2:6">
      <c r="B4" s="418"/>
      <c r="C4" s="416"/>
      <c r="D4" s="420"/>
      <c r="E4" s="417"/>
      <c r="F4" s="414"/>
    </row>
    <row r="5" ht="16.5" spans="2:6">
      <c r="B5" s="418" t="s">
        <v>31</v>
      </c>
      <c r="C5" s="416" t="s">
        <v>29</v>
      </c>
      <c r="D5" s="421" t="s">
        <v>32</v>
      </c>
      <c r="E5" s="417"/>
      <c r="F5" s="414"/>
    </row>
    <row r="6" ht="16.5" spans="2:6">
      <c r="B6" s="418"/>
      <c r="C6" s="416"/>
      <c r="D6" s="420"/>
      <c r="E6" s="417"/>
      <c r="F6" s="422"/>
    </row>
    <row r="7" ht="16.5" spans="2:6">
      <c r="B7" s="418" t="s">
        <v>33</v>
      </c>
      <c r="C7" s="416" t="s">
        <v>29</v>
      </c>
      <c r="D7" s="421" t="s">
        <v>34</v>
      </c>
      <c r="E7" s="417"/>
      <c r="F7" s="423"/>
    </row>
    <row r="8" ht="16.5" spans="2:6">
      <c r="B8" s="418"/>
      <c r="C8" s="416"/>
      <c r="D8" s="420"/>
      <c r="E8" s="417"/>
      <c r="F8" s="423"/>
    </row>
    <row r="9" ht="16.5" spans="2:8">
      <c r="B9" s="418" t="s">
        <v>35</v>
      </c>
      <c r="C9" s="416" t="s">
        <v>29</v>
      </c>
      <c r="D9" s="424" t="s">
        <v>36</v>
      </c>
      <c r="E9" s="417"/>
      <c r="F9" s="423"/>
      <c r="H9" s="409" t="s">
        <v>36</v>
      </c>
    </row>
    <row r="10" ht="16.5" spans="2:8">
      <c r="B10" s="418"/>
      <c r="C10" s="416"/>
      <c r="D10" s="420"/>
      <c r="E10" s="417"/>
      <c r="F10" s="423"/>
      <c r="H10" s="409" t="s">
        <v>37</v>
      </c>
    </row>
    <row r="11" ht="16.5" spans="2:6">
      <c r="B11" s="418" t="s">
        <v>38</v>
      </c>
      <c r="C11" s="416" t="s">
        <v>29</v>
      </c>
      <c r="D11" s="425" t="s">
        <v>39</v>
      </c>
      <c r="E11" s="417"/>
      <c r="F11" s="423"/>
    </row>
    <row r="12" ht="16.5" spans="2:6">
      <c r="B12" s="418"/>
      <c r="C12" s="416"/>
      <c r="D12" s="420"/>
      <c r="E12" s="417"/>
      <c r="F12" s="423"/>
    </row>
    <row r="13" ht="16.5" spans="2:6">
      <c r="B13" s="418" t="s">
        <v>40</v>
      </c>
      <c r="C13" s="416" t="s">
        <v>29</v>
      </c>
      <c r="D13" s="425" t="s">
        <v>41</v>
      </c>
      <c r="E13" s="417"/>
      <c r="F13" s="423"/>
    </row>
    <row r="14" ht="16.5" spans="2:6">
      <c r="B14" s="418"/>
      <c r="C14" s="416"/>
      <c r="D14" s="420"/>
      <c r="E14" s="417"/>
      <c r="F14" s="423"/>
    </row>
    <row r="15" ht="16.5" spans="2:6">
      <c r="B15" s="418" t="s">
        <v>42</v>
      </c>
      <c r="C15" s="416" t="s">
        <v>29</v>
      </c>
      <c r="D15" s="424" t="s">
        <v>43</v>
      </c>
      <c r="E15" s="417"/>
      <c r="F15" s="423"/>
    </row>
    <row r="16" ht="16.5" spans="2:6">
      <c r="B16" s="418"/>
      <c r="C16" s="416"/>
      <c r="D16" s="420"/>
      <c r="E16" s="417"/>
      <c r="F16" s="423"/>
    </row>
    <row r="17" ht="16.5" spans="2:6">
      <c r="B17" s="418" t="s">
        <v>44</v>
      </c>
      <c r="C17" s="416" t="s">
        <v>29</v>
      </c>
      <c r="D17" s="490" t="s">
        <v>45</v>
      </c>
      <c r="E17" s="417"/>
      <c r="F17" s="423"/>
    </row>
    <row r="18" ht="16.5" spans="2:6">
      <c r="B18" s="418"/>
      <c r="C18" s="416"/>
      <c r="D18" s="427"/>
      <c r="E18" s="417"/>
      <c r="F18" s="423"/>
    </row>
    <row r="19" spans="2:6">
      <c r="B19" s="428" t="s">
        <v>46</v>
      </c>
      <c r="C19" s="428"/>
      <c r="D19" s="428"/>
      <c r="E19" s="428"/>
      <c r="F19" s="428"/>
    </row>
    <row r="20" spans="2:6">
      <c r="B20" s="428"/>
      <c r="C20" s="428"/>
      <c r="D20" s="428"/>
      <c r="E20" s="428"/>
      <c r="F20" s="428"/>
    </row>
    <row r="21" hidden="1"/>
    <row r="22" hidden="1"/>
    <row r="23" hidden="1" spans="4:4">
      <c r="D23" s="429"/>
    </row>
    <row r="24" hidden="1"/>
    <row r="25" hidden="1"/>
    <row r="26" hidden="1"/>
    <row r="27" hidden="1"/>
    <row r="28" hidden="1"/>
    <row r="29" hidden="1"/>
    <row r="30" hidden="1"/>
    <row r="31" hidden="1"/>
    <row r="32" hidden="1"/>
  </sheetData>
  <sheetProtection algorithmName="SHA-512" hashValue="YULMTSBxkil+HJukEd/Qgz6aZ+MaMdSIwyy3Q8cY8Rl7pGr84EgLXPG3sIhMCIBmuSJnzISYQGFt9SLejCo0nw==" saltValue="m+r5COO6qcyJ6ew4/1EJdQ==" spinCount="100000" sheet="1" objects="1" scenarios="1"/>
  <protectedRanges>
    <protectedRange sqref="D5;D9;D11;D13;D17:D18;D15;D7" name="Range1"/>
  </protectedRanges>
  <mergeCells count="3">
    <mergeCell ref="B1:E1"/>
    <mergeCell ref="F1:F5"/>
    <mergeCell ref="B19:F20"/>
  </mergeCells>
  <conditionalFormatting sqref="D3">
    <cfRule type="expression" dxfId="3" priority="1">
      <formula>$D3&lt;&gt;""</formula>
    </cfRule>
  </conditionalFormatting>
  <conditionalFormatting sqref="D15">
    <cfRule type="expression" dxfId="3" priority="2">
      <formula>$D15&lt;&gt;""</formula>
    </cfRule>
  </conditionalFormatting>
  <conditionalFormatting sqref="D17">
    <cfRule type="expression" dxfId="3" priority="4">
      <formula>$D17&lt;&gt;""</formula>
    </cfRule>
    <cfRule type="expression" dxfId="3" priority="3">
      <formula>$D17&lt;&gt;""</formula>
    </cfRule>
  </conditionalFormatting>
  <conditionalFormatting sqref="D5;D9;D11;D13;D7">
    <cfRule type="expression" dxfId="3" priority="5">
      <formula>$D5&lt;&gt;""</formula>
    </cfRule>
  </conditionalFormatting>
  <dataValidations count="2">
    <dataValidation allowBlank="1" errorTitle="Warning" error="Hanya angka 1 atau 2" promptTitle="Semester" prompt="Ketikan semester 1  atau 2" sqref="D7"/>
    <dataValidation type="list" showInputMessage="1" showErrorMessage="1" errorTitle="Warning" error="Hanya Boleh &quot;Ganjil&quot; atau &quot;Genap&quot;!" promptTitle="Semester" prompt="Masukan sesuai menu!" sqref="D9">
      <formula1>$H$9:$H$10</formula1>
    </dataValidation>
  </dataValidations>
  <pageMargins left="0.7" right="0.7" top="0.75" bottom="0.75" header="0.3" footer="0.3"/>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G1509"/>
  <sheetViews>
    <sheetView showGridLines="0" showRowColHeaders="0" zoomScale="90" zoomScaleNormal="90" workbookViewId="0">
      <pane xSplit="4" ySplit="4" topLeftCell="E5" activePane="bottomRight" state="frozen"/>
      <selection/>
      <selection pane="topRight"/>
      <selection pane="bottomLeft"/>
      <selection pane="bottomRight" activeCell="C5" sqref="C5:F54"/>
    </sheetView>
  </sheetViews>
  <sheetFormatPr defaultColWidth="9" defaultRowHeight="15" zeroHeight="1" outlineLevelCol="6"/>
  <cols>
    <col min="1" max="1" width="3.25" style="384" customWidth="1"/>
    <col min="2" max="2" width="4.625" style="384" customWidth="1"/>
    <col min="3" max="3" width="38.875" style="384" customWidth="1"/>
    <col min="4" max="4" width="10.375" style="384" customWidth="1"/>
    <col min="5" max="5" width="13.875" style="384" customWidth="1"/>
    <col min="6" max="6" width="9.875" style="384" customWidth="1"/>
    <col min="7" max="7" width="31.875" style="384" customWidth="1"/>
    <col min="8" max="26" width="9" style="384" hidden="1" customWidth="1"/>
    <col min="27" max="16384" width="9" style="384"/>
  </cols>
  <sheetData>
    <row r="1" s="382" customFormat="1" ht="20.25" customHeight="1" spans="1:7">
      <c r="A1" s="385"/>
      <c r="B1" s="386" t="s">
        <v>47</v>
      </c>
      <c r="C1" s="386"/>
      <c r="D1" s="386"/>
      <c r="E1" s="386"/>
      <c r="F1" s="386"/>
      <c r="G1" s="385"/>
    </row>
    <row r="2" s="382" customFormat="1" ht="15.75" spans="1:7">
      <c r="A2" s="385"/>
      <c r="B2" s="387">
        <f>COUNTA(C5:C54)</f>
        <v>28</v>
      </c>
      <c r="C2" s="388"/>
      <c r="D2" s="389"/>
      <c r="E2" s="389"/>
      <c r="F2" s="389"/>
      <c r="G2" s="385"/>
    </row>
    <row r="3" s="383" customFormat="1" ht="18.75" spans="1:7">
      <c r="A3" s="390"/>
      <c r="B3" s="391" t="s">
        <v>13</v>
      </c>
      <c r="C3" s="391" t="s">
        <v>14</v>
      </c>
      <c r="D3" s="391" t="s">
        <v>48</v>
      </c>
      <c r="E3" s="391" t="s">
        <v>16</v>
      </c>
      <c r="F3" s="392" t="s">
        <v>49</v>
      </c>
      <c r="G3" s="390"/>
    </row>
    <row r="4" s="383" customFormat="1" ht="18.75" spans="1:7">
      <c r="A4" s="390"/>
      <c r="B4" s="391"/>
      <c r="C4" s="391"/>
      <c r="D4" s="391"/>
      <c r="E4" s="391"/>
      <c r="F4" s="393"/>
      <c r="G4" s="390"/>
    </row>
    <row r="5" s="382" customFormat="1" ht="15.75" spans="1:7">
      <c r="A5" s="385"/>
      <c r="B5" s="394">
        <v>1</v>
      </c>
      <c r="C5" s="395" t="s">
        <v>50</v>
      </c>
      <c r="D5" s="396">
        <v>2708</v>
      </c>
      <c r="E5" s="491" t="s">
        <v>51</v>
      </c>
      <c r="F5" s="398"/>
      <c r="G5" s="385"/>
    </row>
    <row r="6" s="382" customFormat="1" ht="15.75" spans="1:7">
      <c r="A6" s="385"/>
      <c r="B6" s="399">
        <v>2</v>
      </c>
      <c r="C6" s="395" t="s">
        <v>52</v>
      </c>
      <c r="D6" s="396">
        <v>2717</v>
      </c>
      <c r="E6" s="491" t="s">
        <v>53</v>
      </c>
      <c r="F6" s="398"/>
      <c r="G6" s="385"/>
    </row>
    <row r="7" s="382" customFormat="1" ht="15.75" spans="1:7">
      <c r="A7" s="385"/>
      <c r="B7" s="399">
        <v>3</v>
      </c>
      <c r="C7" s="395" t="s">
        <v>54</v>
      </c>
      <c r="D7" s="396">
        <v>2724</v>
      </c>
      <c r="E7" s="491" t="s">
        <v>55</v>
      </c>
      <c r="F7" s="398"/>
      <c r="G7" s="385"/>
    </row>
    <row r="8" s="382" customFormat="1" ht="15.75" spans="1:7">
      <c r="A8" s="385"/>
      <c r="B8" s="399">
        <v>4</v>
      </c>
      <c r="C8" s="395" t="s">
        <v>56</v>
      </c>
      <c r="D8" s="396">
        <v>2740</v>
      </c>
      <c r="E8" s="491" t="s">
        <v>57</v>
      </c>
      <c r="F8" s="398"/>
      <c r="G8" s="385"/>
    </row>
    <row r="9" s="382" customFormat="1" ht="15.75" spans="1:7">
      <c r="A9" s="385"/>
      <c r="B9" s="399">
        <v>5</v>
      </c>
      <c r="C9" s="395" t="s">
        <v>58</v>
      </c>
      <c r="D9" s="396">
        <v>2746</v>
      </c>
      <c r="E9" s="491" t="s">
        <v>59</v>
      </c>
      <c r="F9" s="398"/>
      <c r="G9" s="385"/>
    </row>
    <row r="10" s="382" customFormat="1" ht="15.75" spans="1:7">
      <c r="A10" s="385"/>
      <c r="B10" s="399">
        <v>6</v>
      </c>
      <c r="C10" s="395" t="s">
        <v>60</v>
      </c>
      <c r="D10" s="396">
        <v>2754</v>
      </c>
      <c r="E10" s="491" t="s">
        <v>61</v>
      </c>
      <c r="F10" s="398"/>
      <c r="G10" s="385"/>
    </row>
    <row r="11" s="382" customFormat="1" ht="15.75" spans="1:7">
      <c r="A11" s="385"/>
      <c r="B11" s="399">
        <v>7</v>
      </c>
      <c r="C11" s="395" t="s">
        <v>62</v>
      </c>
      <c r="D11" s="396">
        <v>2755</v>
      </c>
      <c r="E11" s="491" t="s">
        <v>63</v>
      </c>
      <c r="F11" s="398"/>
      <c r="G11" s="385"/>
    </row>
    <row r="12" s="382" customFormat="1" ht="15.75" spans="1:7">
      <c r="A12" s="385"/>
      <c r="B12" s="399">
        <v>8</v>
      </c>
      <c r="C12" s="395" t="s">
        <v>64</v>
      </c>
      <c r="D12" s="396">
        <v>2756</v>
      </c>
      <c r="E12" s="491" t="s">
        <v>65</v>
      </c>
      <c r="F12" s="398"/>
      <c r="G12" s="385"/>
    </row>
    <row r="13" s="382" customFormat="1" ht="15.75" spans="1:7">
      <c r="A13" s="385"/>
      <c r="B13" s="399">
        <v>9</v>
      </c>
      <c r="C13" s="395" t="s">
        <v>66</v>
      </c>
      <c r="D13" s="396">
        <v>2757</v>
      </c>
      <c r="E13" s="491" t="s">
        <v>67</v>
      </c>
      <c r="F13" s="398"/>
      <c r="G13" s="385"/>
    </row>
    <row r="14" s="382" customFormat="1" ht="15.75" spans="1:7">
      <c r="A14" s="385"/>
      <c r="B14" s="399">
        <v>10</v>
      </c>
      <c r="C14" s="395" t="s">
        <v>68</v>
      </c>
      <c r="D14" s="396">
        <v>2759</v>
      </c>
      <c r="E14" s="491" t="s">
        <v>69</v>
      </c>
      <c r="F14" s="398"/>
      <c r="G14" s="385"/>
    </row>
    <row r="15" s="382" customFormat="1" ht="15.75" spans="1:7">
      <c r="A15" s="385"/>
      <c r="B15" s="399">
        <v>11</v>
      </c>
      <c r="C15" s="395" t="s">
        <v>70</v>
      </c>
      <c r="D15" s="396">
        <v>2766</v>
      </c>
      <c r="E15" s="491" t="s">
        <v>71</v>
      </c>
      <c r="F15" s="398"/>
      <c r="G15" s="385"/>
    </row>
    <row r="16" s="382" customFormat="1" ht="15.75" spans="1:7">
      <c r="A16" s="385"/>
      <c r="B16" s="399">
        <v>12</v>
      </c>
      <c r="C16" s="395" t="s">
        <v>72</v>
      </c>
      <c r="D16" s="396">
        <v>2774</v>
      </c>
      <c r="E16" s="491" t="s">
        <v>73</v>
      </c>
      <c r="F16" s="398"/>
      <c r="G16" s="385"/>
    </row>
    <row r="17" s="382" customFormat="1" ht="15.75" spans="1:7">
      <c r="A17" s="385"/>
      <c r="B17" s="399">
        <v>13</v>
      </c>
      <c r="C17" s="395" t="s">
        <v>74</v>
      </c>
      <c r="D17" s="396">
        <v>2777</v>
      </c>
      <c r="E17" s="491" t="s">
        <v>75</v>
      </c>
      <c r="F17" s="398"/>
      <c r="G17" s="385"/>
    </row>
    <row r="18" s="382" customFormat="1" ht="15.75" spans="1:7">
      <c r="A18" s="385"/>
      <c r="B18" s="399">
        <v>14</v>
      </c>
      <c r="C18" s="395" t="s">
        <v>76</v>
      </c>
      <c r="D18" s="396">
        <v>2781</v>
      </c>
      <c r="E18" s="491" t="s">
        <v>77</v>
      </c>
      <c r="F18" s="398"/>
      <c r="G18" s="385"/>
    </row>
    <row r="19" s="382" customFormat="1" ht="15.75" spans="1:7">
      <c r="A19" s="385"/>
      <c r="B19" s="399">
        <v>15</v>
      </c>
      <c r="C19" s="395" t="s">
        <v>78</v>
      </c>
      <c r="D19" s="396">
        <v>2782</v>
      </c>
      <c r="E19" s="491" t="s">
        <v>79</v>
      </c>
      <c r="F19" s="398"/>
      <c r="G19" s="385"/>
    </row>
    <row r="20" s="382" customFormat="1" ht="15.75" spans="1:7">
      <c r="A20" s="385"/>
      <c r="B20" s="399">
        <v>16</v>
      </c>
      <c r="C20" s="395" t="s">
        <v>80</v>
      </c>
      <c r="D20" s="396">
        <v>2795</v>
      </c>
      <c r="E20" s="491" t="s">
        <v>81</v>
      </c>
      <c r="F20" s="398"/>
      <c r="G20" s="385"/>
    </row>
    <row r="21" s="382" customFormat="1" ht="15.75" spans="1:7">
      <c r="A21" s="385"/>
      <c r="B21" s="399">
        <v>17</v>
      </c>
      <c r="C21" s="395" t="s">
        <v>82</v>
      </c>
      <c r="D21" s="396">
        <v>2804</v>
      </c>
      <c r="E21" s="491" t="s">
        <v>83</v>
      </c>
      <c r="F21" s="398"/>
      <c r="G21" s="385"/>
    </row>
    <row r="22" s="382" customFormat="1" ht="15.75" spans="1:7">
      <c r="A22" s="385"/>
      <c r="B22" s="399">
        <v>18</v>
      </c>
      <c r="C22" s="395" t="s">
        <v>84</v>
      </c>
      <c r="D22" s="396">
        <v>2805</v>
      </c>
      <c r="E22" s="491" t="s">
        <v>85</v>
      </c>
      <c r="F22" s="398"/>
      <c r="G22" s="385"/>
    </row>
    <row r="23" s="382" customFormat="1" ht="15.75" spans="1:7">
      <c r="A23" s="385"/>
      <c r="B23" s="399">
        <v>19</v>
      </c>
      <c r="C23" s="395" t="s">
        <v>86</v>
      </c>
      <c r="D23" s="396">
        <v>2820</v>
      </c>
      <c r="E23" s="491" t="s">
        <v>87</v>
      </c>
      <c r="F23" s="398"/>
      <c r="G23" s="385"/>
    </row>
    <row r="24" s="382" customFormat="1" ht="15.75" spans="1:7">
      <c r="A24" s="385"/>
      <c r="B24" s="399">
        <v>20</v>
      </c>
      <c r="C24" s="395" t="s">
        <v>88</v>
      </c>
      <c r="D24" s="396">
        <v>2830</v>
      </c>
      <c r="E24" s="491" t="s">
        <v>89</v>
      </c>
      <c r="F24" s="398"/>
      <c r="G24" s="385"/>
    </row>
    <row r="25" s="382" customFormat="1" ht="15.75" spans="1:7">
      <c r="A25" s="385"/>
      <c r="B25" s="399">
        <v>21</v>
      </c>
      <c r="C25" s="395" t="s">
        <v>90</v>
      </c>
      <c r="D25" s="396">
        <v>2832</v>
      </c>
      <c r="E25" s="491" t="s">
        <v>91</v>
      </c>
      <c r="F25" s="398"/>
      <c r="G25" s="385"/>
    </row>
    <row r="26" s="382" customFormat="1" ht="15.75" spans="1:7">
      <c r="A26" s="385"/>
      <c r="B26" s="399">
        <v>22</v>
      </c>
      <c r="C26" s="395" t="s">
        <v>92</v>
      </c>
      <c r="D26" s="396">
        <v>2834</v>
      </c>
      <c r="E26" s="491" t="s">
        <v>93</v>
      </c>
      <c r="F26" s="398"/>
      <c r="G26" s="385"/>
    </row>
    <row r="27" s="382" customFormat="1" ht="15.75" spans="1:7">
      <c r="A27" s="385"/>
      <c r="B27" s="399">
        <v>23</v>
      </c>
      <c r="C27" s="395" t="s">
        <v>94</v>
      </c>
      <c r="D27" s="396">
        <v>2847</v>
      </c>
      <c r="E27" s="491" t="s">
        <v>95</v>
      </c>
      <c r="F27" s="398"/>
      <c r="G27" s="385"/>
    </row>
    <row r="28" s="382" customFormat="1" ht="15.75" spans="1:7">
      <c r="A28" s="385"/>
      <c r="B28" s="399">
        <v>24</v>
      </c>
      <c r="C28" s="395" t="s">
        <v>96</v>
      </c>
      <c r="D28" s="396">
        <v>2848</v>
      </c>
      <c r="E28" s="491" t="s">
        <v>97</v>
      </c>
      <c r="F28" s="400"/>
      <c r="G28" s="385"/>
    </row>
    <row r="29" s="382" customFormat="1" ht="15.75" spans="1:7">
      <c r="A29" s="385"/>
      <c r="B29" s="399">
        <v>25</v>
      </c>
      <c r="C29" s="395" t="s">
        <v>98</v>
      </c>
      <c r="D29" s="396">
        <v>2854</v>
      </c>
      <c r="E29" s="491" t="s">
        <v>99</v>
      </c>
      <c r="F29" s="398"/>
      <c r="G29" s="385"/>
    </row>
    <row r="30" s="382" customFormat="1" ht="15.75" spans="1:7">
      <c r="A30" s="385"/>
      <c r="B30" s="399">
        <v>26</v>
      </c>
      <c r="C30" s="395" t="s">
        <v>100</v>
      </c>
      <c r="D30" s="396">
        <v>2856</v>
      </c>
      <c r="E30" s="491" t="s">
        <v>101</v>
      </c>
      <c r="F30" s="398"/>
      <c r="G30" s="385"/>
    </row>
    <row r="31" s="382" customFormat="1" ht="15.75" spans="1:7">
      <c r="A31" s="385"/>
      <c r="B31" s="399">
        <v>27</v>
      </c>
      <c r="C31" s="395" t="s">
        <v>102</v>
      </c>
      <c r="D31" s="396">
        <v>2858</v>
      </c>
      <c r="E31" s="491" t="s">
        <v>103</v>
      </c>
      <c r="F31" s="398"/>
      <c r="G31" s="385"/>
    </row>
    <row r="32" s="382" customFormat="1" ht="15.75" spans="1:7">
      <c r="A32" s="385"/>
      <c r="B32" s="399">
        <v>28</v>
      </c>
      <c r="C32" s="395" t="s">
        <v>104</v>
      </c>
      <c r="D32" s="396">
        <v>2871</v>
      </c>
      <c r="E32" s="491" t="s">
        <v>105</v>
      </c>
      <c r="F32" s="400"/>
      <c r="G32" s="385"/>
    </row>
    <row r="33" s="382" customFormat="1" ht="15.75" spans="1:7">
      <c r="A33" s="385"/>
      <c r="B33" s="399">
        <v>29</v>
      </c>
      <c r="C33" s="401"/>
      <c r="D33" s="402"/>
      <c r="E33" s="402"/>
      <c r="F33" s="398"/>
      <c r="G33" s="385"/>
    </row>
    <row r="34" s="382" customFormat="1" ht="15.75" spans="1:7">
      <c r="A34" s="385"/>
      <c r="B34" s="399">
        <v>30</v>
      </c>
      <c r="C34" s="403"/>
      <c r="D34" s="402"/>
      <c r="E34" s="402"/>
      <c r="F34" s="398"/>
      <c r="G34" s="385"/>
    </row>
    <row r="35" s="382" customFormat="1" ht="15.75" spans="1:7">
      <c r="A35" s="385"/>
      <c r="B35" s="399">
        <v>31</v>
      </c>
      <c r="C35" s="403"/>
      <c r="D35" s="402"/>
      <c r="E35" s="402"/>
      <c r="F35" s="398"/>
      <c r="G35" s="385"/>
    </row>
    <row r="36" s="382" customFormat="1" spans="1:7">
      <c r="A36" s="385"/>
      <c r="B36" s="399">
        <v>32</v>
      </c>
      <c r="C36" s="404"/>
      <c r="D36" s="405"/>
      <c r="E36" s="406"/>
      <c r="F36" s="406"/>
      <c r="G36" s="385"/>
    </row>
    <row r="37" s="382" customFormat="1" spans="1:7">
      <c r="A37" s="385"/>
      <c r="B37" s="399">
        <v>33</v>
      </c>
      <c r="C37" s="404"/>
      <c r="D37" s="405"/>
      <c r="E37" s="406"/>
      <c r="F37" s="406"/>
      <c r="G37" s="385"/>
    </row>
    <row r="38" s="382" customFormat="1" spans="1:7">
      <c r="A38" s="385"/>
      <c r="B38" s="399">
        <v>34</v>
      </c>
      <c r="C38" s="404"/>
      <c r="D38" s="405"/>
      <c r="E38" s="406"/>
      <c r="F38" s="406"/>
      <c r="G38" s="385"/>
    </row>
    <row r="39" s="382" customFormat="1" spans="1:7">
      <c r="A39" s="385"/>
      <c r="B39" s="399">
        <v>35</v>
      </c>
      <c r="C39" s="404"/>
      <c r="D39" s="405"/>
      <c r="E39" s="406"/>
      <c r="F39" s="406"/>
      <c r="G39" s="385"/>
    </row>
    <row r="40" s="382" customFormat="1" spans="1:7">
      <c r="A40" s="385"/>
      <c r="B40" s="399">
        <v>36</v>
      </c>
      <c r="C40" s="404"/>
      <c r="D40" s="405"/>
      <c r="E40" s="406"/>
      <c r="F40" s="406"/>
      <c r="G40" s="385"/>
    </row>
    <row r="41" s="382" customFormat="1" spans="1:7">
      <c r="A41" s="385"/>
      <c r="B41" s="399">
        <v>37</v>
      </c>
      <c r="C41" s="404"/>
      <c r="D41" s="405"/>
      <c r="E41" s="406"/>
      <c r="F41" s="406"/>
      <c r="G41" s="385"/>
    </row>
    <row r="42" s="382" customFormat="1" spans="1:7">
      <c r="A42" s="385"/>
      <c r="B42" s="399">
        <v>38</v>
      </c>
      <c r="C42" s="404"/>
      <c r="D42" s="405"/>
      <c r="E42" s="406"/>
      <c r="F42" s="406"/>
      <c r="G42" s="385"/>
    </row>
    <row r="43" s="382" customFormat="1" spans="1:7">
      <c r="A43" s="385"/>
      <c r="B43" s="399">
        <v>39</v>
      </c>
      <c r="C43" s="404"/>
      <c r="D43" s="405"/>
      <c r="E43" s="406"/>
      <c r="F43" s="406"/>
      <c r="G43" s="385"/>
    </row>
    <row r="44" s="382" customFormat="1" spans="1:7">
      <c r="A44" s="385"/>
      <c r="B44" s="399">
        <v>40</v>
      </c>
      <c r="C44" s="404"/>
      <c r="D44" s="405"/>
      <c r="E44" s="406"/>
      <c r="F44" s="406"/>
      <c r="G44" s="385"/>
    </row>
    <row r="45" s="382" customFormat="1" spans="1:7">
      <c r="A45" s="385"/>
      <c r="B45" s="399">
        <v>41</v>
      </c>
      <c r="C45" s="404"/>
      <c r="D45" s="405"/>
      <c r="E45" s="406"/>
      <c r="F45" s="406"/>
      <c r="G45" s="385"/>
    </row>
    <row r="46" s="382" customFormat="1" spans="1:7">
      <c r="A46" s="385"/>
      <c r="B46" s="399">
        <v>42</v>
      </c>
      <c r="C46" s="404"/>
      <c r="D46" s="405"/>
      <c r="E46" s="406"/>
      <c r="F46" s="406"/>
      <c r="G46" s="385"/>
    </row>
    <row r="47" s="382" customFormat="1" spans="1:7">
      <c r="A47" s="385"/>
      <c r="B47" s="399">
        <v>43</v>
      </c>
      <c r="C47" s="404"/>
      <c r="D47" s="405"/>
      <c r="E47" s="406"/>
      <c r="F47" s="406"/>
      <c r="G47" s="385"/>
    </row>
    <row r="48" s="382" customFormat="1" spans="1:7">
      <c r="A48" s="385"/>
      <c r="B48" s="399">
        <v>44</v>
      </c>
      <c r="C48" s="404"/>
      <c r="D48" s="405"/>
      <c r="E48" s="406"/>
      <c r="F48" s="406"/>
      <c r="G48" s="385"/>
    </row>
    <row r="49" s="382" customFormat="1" spans="1:7">
      <c r="A49" s="385"/>
      <c r="B49" s="399">
        <v>45</v>
      </c>
      <c r="C49" s="404"/>
      <c r="D49" s="405"/>
      <c r="E49" s="406"/>
      <c r="F49" s="406"/>
      <c r="G49" s="385"/>
    </row>
    <row r="50" s="382" customFormat="1" spans="1:7">
      <c r="A50" s="385"/>
      <c r="B50" s="399">
        <v>46</v>
      </c>
      <c r="C50" s="404"/>
      <c r="D50" s="405"/>
      <c r="E50" s="406"/>
      <c r="F50" s="406"/>
      <c r="G50" s="385"/>
    </row>
    <row r="51" s="382" customFormat="1" spans="1:7">
      <c r="A51" s="385"/>
      <c r="B51" s="399">
        <v>47</v>
      </c>
      <c r="C51" s="404"/>
      <c r="D51" s="405"/>
      <c r="E51" s="406"/>
      <c r="F51" s="406"/>
      <c r="G51" s="385"/>
    </row>
    <row r="52" s="382" customFormat="1" spans="1:7">
      <c r="A52" s="385"/>
      <c r="B52" s="399">
        <v>48</v>
      </c>
      <c r="C52" s="404"/>
      <c r="D52" s="405"/>
      <c r="E52" s="406"/>
      <c r="F52" s="406"/>
      <c r="G52" s="385"/>
    </row>
    <row r="53" s="382" customFormat="1" spans="1:7">
      <c r="A53" s="385"/>
      <c r="B53" s="399">
        <v>49</v>
      </c>
      <c r="C53" s="404"/>
      <c r="D53" s="405"/>
      <c r="E53" s="406"/>
      <c r="F53" s="406"/>
      <c r="G53" s="385"/>
    </row>
    <row r="54" s="382" customFormat="1" spans="1:7">
      <c r="A54" s="385"/>
      <c r="B54" s="399">
        <v>50</v>
      </c>
      <c r="C54" s="404"/>
      <c r="D54" s="405"/>
      <c r="E54" s="406"/>
      <c r="F54" s="406"/>
      <c r="G54" s="385"/>
    </row>
    <row r="55" spans="1:7">
      <c r="A55" s="385"/>
      <c r="B55" s="407"/>
      <c r="C55" s="407"/>
      <c r="D55" s="407"/>
      <c r="E55" s="407"/>
      <c r="F55" s="407"/>
      <c r="G55" s="407"/>
    </row>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sheetData>
  <sheetProtection password="F8E5" sheet="1" formatCells="0" formatColumns="0" formatRows="0" objects="1"/>
  <mergeCells count="6">
    <mergeCell ref="B1:F1"/>
    <mergeCell ref="B3:B4"/>
    <mergeCell ref="C3:C4"/>
    <mergeCell ref="D3:D4"/>
    <mergeCell ref="E3:E4"/>
    <mergeCell ref="F3:F4"/>
  </mergeCells>
  <conditionalFormatting sqref="C30">
    <cfRule type="duplicateValues" dxfId="0" priority="1"/>
  </conditionalFormatting>
  <conditionalFormatting sqref="C31">
    <cfRule type="duplicateValues" dxfId="0" priority="5"/>
  </conditionalFormatting>
  <conditionalFormatting sqref="C5:C6">
    <cfRule type="cellIs" dxfId="1" priority="7" operator="equal">
      <formula>0</formula>
    </cfRule>
    <cfRule type="duplicateValues" dxfId="0" priority="8"/>
  </conditionalFormatting>
  <conditionalFormatting sqref="C8:C31">
    <cfRule type="cellIs" dxfId="1" priority="4" operator="equal">
      <formula>0</formula>
    </cfRule>
  </conditionalFormatting>
  <conditionalFormatting sqref="C8:C30">
    <cfRule type="duplicateValues" dxfId="0" priority="6"/>
  </conditionalFormatting>
  <conditionalFormatting sqref="C14:C23">
    <cfRule type="duplicateValues" dxfId="0" priority="3"/>
    <cfRule type="cellIs" dxfId="1" priority="2" operator="equal">
      <formula>0</formula>
    </cfRule>
  </conditionalFormatting>
  <conditionalFormatting sqref="C36:C54">
    <cfRule type="duplicateValues" dxfId="0" priority="16"/>
    <cfRule type="cellIs" dxfId="1" priority="15" operator="equal">
      <formula>0</formula>
    </cfRule>
  </conditionalFormatting>
  <pageMargins left="0.56" right="0.45" top="0.748031496062992" bottom="0.748031496062992" header="0.31496062992126" footer="0.31496062992126"/>
  <pageSetup paperSize="9" orientation="portrait"/>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000066"/>
  </sheetPr>
  <dimension ref="A1:I70"/>
  <sheetViews>
    <sheetView showGridLines="0" showRowColHeaders="0" zoomScale="90" zoomScaleNormal="90" workbookViewId="0">
      <pane ySplit="2" topLeftCell="A3" activePane="bottomLeft" state="frozen"/>
      <selection/>
      <selection pane="bottomLeft" activeCell="B26" sqref="B26:B27"/>
    </sheetView>
  </sheetViews>
  <sheetFormatPr defaultColWidth="0" defaultRowHeight="15" customHeight="1" zeroHeight="1"/>
  <cols>
    <col min="1" max="1" width="5" style="351" customWidth="1"/>
    <col min="2" max="2" width="125" style="351" customWidth="1"/>
    <col min="3" max="3" width="34.375" style="352" customWidth="1"/>
    <col min="4" max="8" width="14.125" style="353" hidden="1" customWidth="1"/>
    <col min="9" max="9" width="23.75" style="353" hidden="1" customWidth="1"/>
    <col min="10" max="16384" width="9" style="353" hidden="1"/>
  </cols>
  <sheetData>
    <row r="1" s="348" customFormat="1" hidden="1" customHeight="1" spans="1:3">
      <c r="A1" s="354"/>
      <c r="B1" s="354"/>
      <c r="C1" s="355"/>
    </row>
    <row r="2" s="348" customFormat="1" ht="27.75" spans="1:3">
      <c r="A2" s="356"/>
      <c r="B2" s="357" t="s">
        <v>106</v>
      </c>
      <c r="C2" s="355"/>
    </row>
    <row r="3" s="348" customFormat="1" hidden="1" customHeight="1" spans="1:3">
      <c r="A3" s="354"/>
      <c r="B3" s="354"/>
      <c r="C3" s="355"/>
    </row>
    <row r="4" s="348" customFormat="1" ht="26.25" spans="1:8">
      <c r="A4" s="358" t="s">
        <v>107</v>
      </c>
      <c r="B4" s="359" t="s">
        <v>108</v>
      </c>
      <c r="C4" s="360"/>
      <c r="D4" s="361"/>
      <c r="E4" s="361"/>
      <c r="F4" s="361"/>
      <c r="G4" s="361"/>
      <c r="H4" s="361"/>
    </row>
    <row r="5" s="349" customFormat="1" ht="31.5" customHeight="1" spans="1:8">
      <c r="A5" s="362">
        <v>1</v>
      </c>
      <c r="B5" s="363" t="s">
        <v>109</v>
      </c>
      <c r="C5" s="364"/>
      <c r="D5" s="365"/>
      <c r="E5" s="365"/>
      <c r="F5" s="365"/>
      <c r="G5" s="365"/>
      <c r="H5" s="365"/>
    </row>
    <row r="6" s="349" customFormat="1" ht="31.5" customHeight="1" spans="1:8">
      <c r="A6" s="362">
        <v>2</v>
      </c>
      <c r="B6" s="363" t="s">
        <v>110</v>
      </c>
      <c r="C6" s="366"/>
      <c r="D6" s="367"/>
      <c r="E6" s="367"/>
      <c r="F6" s="367"/>
      <c r="G6" s="367"/>
      <c r="H6" s="367"/>
    </row>
    <row r="7" s="349" customFormat="1" ht="31.5" customHeight="1" spans="1:8">
      <c r="A7" s="362">
        <v>3</v>
      </c>
      <c r="B7" s="368"/>
      <c r="C7" s="366"/>
      <c r="D7" s="369"/>
      <c r="E7" s="369"/>
      <c r="F7" s="369"/>
      <c r="G7" s="369"/>
      <c r="H7" s="369"/>
    </row>
    <row r="8" s="349" customFormat="1" ht="31.5" customHeight="1" spans="1:8">
      <c r="A8" s="362">
        <v>4</v>
      </c>
      <c r="B8" s="368"/>
      <c r="C8" s="366"/>
      <c r="D8" s="369"/>
      <c r="E8" s="369"/>
      <c r="F8" s="369"/>
      <c r="G8" s="369"/>
      <c r="H8" s="369"/>
    </row>
    <row r="9" s="349" customFormat="1" ht="31.5" customHeight="1" spans="1:8">
      <c r="A9" s="362">
        <v>5</v>
      </c>
      <c r="B9" s="370"/>
      <c r="C9" s="366"/>
      <c r="D9" s="369"/>
      <c r="E9" s="369"/>
      <c r="F9" s="369"/>
      <c r="G9" s="369"/>
      <c r="H9" s="369"/>
    </row>
    <row r="10" s="349" customFormat="1" ht="31.5" customHeight="1" spans="1:8">
      <c r="A10" s="362">
        <v>6</v>
      </c>
      <c r="B10" s="370"/>
      <c r="C10" s="366"/>
      <c r="D10" s="369"/>
      <c r="E10" s="369"/>
      <c r="F10" s="369"/>
      <c r="G10" s="369"/>
      <c r="H10" s="369"/>
    </row>
    <row r="11" s="349" customFormat="1" ht="31.5" customHeight="1" spans="1:8">
      <c r="A11" s="362">
        <v>7</v>
      </c>
      <c r="B11" s="370"/>
      <c r="C11" s="366"/>
      <c r="D11" s="369"/>
      <c r="E11" s="369"/>
      <c r="F11" s="369"/>
      <c r="G11" s="369"/>
      <c r="H11" s="369"/>
    </row>
    <row r="12" s="349" customFormat="1" ht="31.5" customHeight="1" spans="1:8">
      <c r="A12" s="362">
        <v>8</v>
      </c>
      <c r="B12" s="370"/>
      <c r="C12" s="366"/>
      <c r="D12" s="369"/>
      <c r="E12" s="369"/>
      <c r="F12" s="369"/>
      <c r="G12" s="369"/>
      <c r="H12" s="369"/>
    </row>
    <row r="13" s="349" customFormat="1" ht="31.5" customHeight="1" spans="1:8">
      <c r="A13" s="362">
        <v>9</v>
      </c>
      <c r="B13" s="370"/>
      <c r="C13" s="366"/>
      <c r="D13" s="369"/>
      <c r="E13" s="369"/>
      <c r="F13" s="369"/>
      <c r="G13" s="369"/>
      <c r="H13" s="369"/>
    </row>
    <row r="14" s="349" customFormat="1" ht="31.5" customHeight="1" spans="1:8">
      <c r="A14" s="362">
        <v>10</v>
      </c>
      <c r="B14" s="370"/>
      <c r="C14" s="366"/>
      <c r="D14" s="369"/>
      <c r="E14" s="369"/>
      <c r="F14" s="369"/>
      <c r="G14" s="369"/>
      <c r="H14" s="369"/>
    </row>
    <row r="15" s="349" customFormat="1" ht="31.5" customHeight="1" spans="1:8">
      <c r="A15" s="362">
        <v>11</v>
      </c>
      <c r="B15" s="370"/>
      <c r="C15" s="366"/>
      <c r="D15" s="369"/>
      <c r="E15" s="369"/>
      <c r="F15" s="369"/>
      <c r="G15" s="369"/>
      <c r="H15" s="369"/>
    </row>
    <row r="16" s="349" customFormat="1" ht="31.5" customHeight="1" spans="1:8">
      <c r="A16" s="362">
        <v>12</v>
      </c>
      <c r="B16" s="370"/>
      <c r="C16" s="366"/>
      <c r="D16" s="369"/>
      <c r="E16" s="369"/>
      <c r="F16" s="369"/>
      <c r="G16" s="369"/>
      <c r="H16" s="369"/>
    </row>
    <row r="17" s="349" customFormat="1" ht="31.5" customHeight="1" spans="1:8">
      <c r="A17" s="362">
        <v>13</v>
      </c>
      <c r="B17" s="370"/>
      <c r="C17" s="366"/>
      <c r="D17" s="369"/>
      <c r="E17" s="369"/>
      <c r="F17" s="369"/>
      <c r="G17" s="369"/>
      <c r="H17" s="369"/>
    </row>
    <row r="18" s="349" customFormat="1" ht="31.5" customHeight="1" spans="1:8">
      <c r="A18" s="362">
        <v>14</v>
      </c>
      <c r="B18" s="370"/>
      <c r="C18" s="366"/>
      <c r="D18" s="369"/>
      <c r="E18" s="369"/>
      <c r="F18" s="369"/>
      <c r="G18" s="369"/>
      <c r="H18" s="369"/>
    </row>
    <row r="19" s="349" customFormat="1" ht="31.5" customHeight="1" spans="1:8">
      <c r="A19" s="362">
        <v>15</v>
      </c>
      <c r="B19" s="370"/>
      <c r="C19" s="366"/>
      <c r="D19" s="369"/>
      <c r="E19" s="369"/>
      <c r="F19" s="369"/>
      <c r="G19" s="369"/>
      <c r="H19" s="369"/>
    </row>
    <row r="20" s="349" customFormat="1" ht="31.5" customHeight="1" spans="1:8">
      <c r="A20" s="362">
        <v>16</v>
      </c>
      <c r="B20" s="370"/>
      <c r="C20" s="366"/>
      <c r="D20" s="369"/>
      <c r="E20" s="369"/>
      <c r="F20" s="369"/>
      <c r="G20" s="369"/>
      <c r="H20" s="369"/>
    </row>
    <row r="21" s="349" customFormat="1" ht="31.5" customHeight="1" spans="1:8">
      <c r="A21" s="362">
        <v>17</v>
      </c>
      <c r="B21" s="370"/>
      <c r="C21" s="366"/>
      <c r="D21" s="369"/>
      <c r="E21" s="369"/>
      <c r="F21" s="369"/>
      <c r="G21" s="369"/>
      <c r="H21" s="369"/>
    </row>
    <row r="22" s="349" customFormat="1" ht="31.5" customHeight="1" spans="1:8">
      <c r="A22" s="362">
        <v>18</v>
      </c>
      <c r="B22" s="370"/>
      <c r="C22" s="366"/>
      <c r="D22" s="369"/>
      <c r="E22" s="369"/>
      <c r="F22" s="369"/>
      <c r="G22" s="369"/>
      <c r="H22" s="369"/>
    </row>
    <row r="23" s="349" customFormat="1" ht="31.5" customHeight="1" spans="1:8">
      <c r="A23" s="362">
        <v>19</v>
      </c>
      <c r="B23" s="370"/>
      <c r="C23" s="366"/>
      <c r="D23" s="369"/>
      <c r="E23" s="369"/>
      <c r="F23" s="369"/>
      <c r="G23" s="369"/>
      <c r="H23" s="369"/>
    </row>
    <row r="24" s="349" customFormat="1" ht="31.5" customHeight="1" spans="1:8">
      <c r="A24" s="362">
        <v>20</v>
      </c>
      <c r="B24" s="370"/>
      <c r="C24" s="366"/>
      <c r="D24" s="369"/>
      <c r="E24" s="369"/>
      <c r="F24" s="369"/>
      <c r="G24" s="369"/>
      <c r="H24" s="369"/>
    </row>
    <row r="25" s="350" customFormat="1" ht="26.25" spans="1:8">
      <c r="A25" s="371" t="s">
        <v>107</v>
      </c>
      <c r="B25" s="372" t="s">
        <v>111</v>
      </c>
      <c r="C25" s="373"/>
      <c r="D25" s="374"/>
      <c r="E25" s="374"/>
      <c r="F25" s="374"/>
      <c r="G25" s="374"/>
      <c r="H25" s="374"/>
    </row>
    <row r="26" s="349" customFormat="1" ht="31.5" customHeight="1" spans="1:8">
      <c r="A26" s="362">
        <v>1</v>
      </c>
      <c r="B26" s="375" t="s">
        <v>112</v>
      </c>
      <c r="C26" s="366"/>
      <c r="D26" s="369"/>
      <c r="E26" s="369"/>
      <c r="F26" s="369"/>
      <c r="G26" s="369"/>
      <c r="H26" s="369"/>
    </row>
    <row r="27" s="349" customFormat="1" ht="31.5" customHeight="1" spans="1:3">
      <c r="A27" s="362">
        <v>2</v>
      </c>
      <c r="B27" s="375" t="s">
        <v>113</v>
      </c>
      <c r="C27" s="376"/>
    </row>
    <row r="28" s="349" customFormat="1" ht="31.5" customHeight="1" spans="1:3">
      <c r="A28" s="362">
        <v>3</v>
      </c>
      <c r="B28" s="377"/>
      <c r="C28" s="376"/>
    </row>
    <row r="29" s="349" customFormat="1" ht="31.5" customHeight="1" spans="1:3">
      <c r="A29" s="362">
        <v>4</v>
      </c>
      <c r="B29" s="377"/>
      <c r="C29" s="376"/>
    </row>
    <row r="30" s="349" customFormat="1" ht="31.5" customHeight="1" spans="1:3">
      <c r="A30" s="362">
        <v>5</v>
      </c>
      <c r="B30" s="375"/>
      <c r="C30" s="378"/>
    </row>
    <row r="31" s="349" customFormat="1" ht="31.5" customHeight="1" spans="1:3">
      <c r="A31" s="362">
        <v>6</v>
      </c>
      <c r="B31" s="375"/>
      <c r="C31" s="376"/>
    </row>
    <row r="32" s="349" customFormat="1" ht="31.5" customHeight="1" spans="1:3">
      <c r="A32" s="362">
        <v>7</v>
      </c>
      <c r="B32" s="375"/>
      <c r="C32" s="376"/>
    </row>
    <row r="33" s="349" customFormat="1" ht="31.5" customHeight="1" spans="1:3">
      <c r="A33" s="362">
        <v>8</v>
      </c>
      <c r="B33" s="375"/>
      <c r="C33" s="376"/>
    </row>
    <row r="34" s="349" customFormat="1" ht="31.5" customHeight="1" spans="1:3">
      <c r="A34" s="362">
        <v>9</v>
      </c>
      <c r="B34" s="375"/>
      <c r="C34" s="376"/>
    </row>
    <row r="35" s="349" customFormat="1" ht="31.5" customHeight="1" spans="1:3">
      <c r="A35" s="362">
        <v>10</v>
      </c>
      <c r="B35" s="375"/>
      <c r="C35" s="376"/>
    </row>
    <row r="36" s="349" customFormat="1" ht="31.5" customHeight="1" spans="1:3">
      <c r="A36" s="362">
        <v>11</v>
      </c>
      <c r="B36" s="375"/>
      <c r="C36" s="376"/>
    </row>
    <row r="37" s="349" customFormat="1" ht="31.5" customHeight="1" spans="1:3">
      <c r="A37" s="362">
        <v>12</v>
      </c>
      <c r="B37" s="375"/>
      <c r="C37" s="376"/>
    </row>
    <row r="38" s="349" customFormat="1" ht="31.5" customHeight="1" spans="1:3">
      <c r="A38" s="362">
        <v>13</v>
      </c>
      <c r="B38" s="375"/>
      <c r="C38" s="376"/>
    </row>
    <row r="39" s="349" customFormat="1" ht="31.5" customHeight="1" spans="1:3">
      <c r="A39" s="362">
        <v>14</v>
      </c>
      <c r="B39" s="375"/>
      <c r="C39" s="376"/>
    </row>
    <row r="40" s="349" customFormat="1" ht="31.5" customHeight="1" spans="1:3">
      <c r="A40" s="362">
        <v>15</v>
      </c>
      <c r="B40" s="375"/>
      <c r="C40" s="376"/>
    </row>
    <row r="41" s="349" customFormat="1" ht="31.5" customHeight="1" spans="1:3">
      <c r="A41" s="362">
        <v>16</v>
      </c>
      <c r="B41" s="375"/>
      <c r="C41" s="376"/>
    </row>
    <row r="42" s="349" customFormat="1" ht="31.5" customHeight="1" spans="1:3">
      <c r="A42" s="362">
        <v>17</v>
      </c>
      <c r="B42" s="375"/>
      <c r="C42" s="376"/>
    </row>
    <row r="43" s="349" customFormat="1" ht="31.5" customHeight="1" spans="1:3">
      <c r="A43" s="362">
        <v>18</v>
      </c>
      <c r="B43" s="375"/>
      <c r="C43" s="376"/>
    </row>
    <row r="44" s="349" customFormat="1" ht="31.5" customHeight="1" spans="1:3">
      <c r="A44" s="362">
        <v>19</v>
      </c>
      <c r="B44" s="375"/>
      <c r="C44" s="376"/>
    </row>
    <row r="45" s="349" customFormat="1" ht="31.5" customHeight="1" spans="1:3">
      <c r="A45" s="362">
        <v>20</v>
      </c>
      <c r="B45" s="375"/>
      <c r="C45" s="376"/>
    </row>
    <row r="46" s="348" customFormat="1" ht="15.75" customHeight="1" spans="1:3">
      <c r="A46" s="379"/>
      <c r="B46" s="380"/>
      <c r="C46" s="355"/>
    </row>
    <row r="47" customHeight="1" spans="2:2">
      <c r="B47" s="381"/>
    </row>
    <row r="48" hidden="1" customHeight="1" spans="2:2">
      <c r="B48" s="381"/>
    </row>
    <row r="49" s="351" customFormat="1" hidden="1" customHeight="1" spans="3:9">
      <c r="C49" s="352"/>
      <c r="D49" s="353"/>
      <c r="E49" s="353"/>
      <c r="F49" s="353"/>
      <c r="G49" s="353"/>
      <c r="H49" s="353"/>
      <c r="I49" s="353"/>
    </row>
    <row r="50" s="351" customFormat="1" hidden="1" customHeight="1" spans="3:9">
      <c r="C50" s="352"/>
      <c r="D50" s="353"/>
      <c r="E50" s="353"/>
      <c r="F50" s="353"/>
      <c r="G50" s="353"/>
      <c r="H50" s="353"/>
      <c r="I50" s="353"/>
    </row>
    <row r="51" s="351" customFormat="1" hidden="1" customHeight="1" spans="3:9">
      <c r="C51" s="352"/>
      <c r="D51" s="353"/>
      <c r="E51" s="353"/>
      <c r="F51" s="353"/>
      <c r="G51" s="353"/>
      <c r="H51" s="353"/>
      <c r="I51" s="353"/>
    </row>
    <row r="52" s="351" customFormat="1" hidden="1" customHeight="1" spans="3:9">
      <c r="C52" s="352"/>
      <c r="D52" s="353"/>
      <c r="E52" s="353"/>
      <c r="F52" s="353"/>
      <c r="G52" s="353"/>
      <c r="H52" s="353"/>
      <c r="I52" s="353"/>
    </row>
    <row r="53" s="351" customFormat="1" hidden="1" customHeight="1" spans="3:9">
      <c r="C53" s="352"/>
      <c r="D53" s="353"/>
      <c r="E53" s="353"/>
      <c r="F53" s="353"/>
      <c r="G53" s="353"/>
      <c r="H53" s="353"/>
      <c r="I53" s="353"/>
    </row>
    <row r="54" s="351" customFormat="1" hidden="1" customHeight="1" spans="3:9">
      <c r="C54" s="352"/>
      <c r="D54" s="353"/>
      <c r="E54" s="353"/>
      <c r="F54" s="353"/>
      <c r="G54" s="353"/>
      <c r="H54" s="353"/>
      <c r="I54" s="353"/>
    </row>
    <row r="55" s="351" customFormat="1" hidden="1" customHeight="1" spans="3:9">
      <c r="C55" s="352"/>
      <c r="D55" s="353"/>
      <c r="E55" s="353"/>
      <c r="F55" s="353"/>
      <c r="G55" s="353"/>
      <c r="H55" s="353"/>
      <c r="I55" s="353"/>
    </row>
    <row r="56" s="351" customFormat="1" hidden="1" customHeight="1" spans="3:9">
      <c r="C56" s="352"/>
      <c r="D56" s="353"/>
      <c r="E56" s="353"/>
      <c r="F56" s="353"/>
      <c r="G56" s="353"/>
      <c r="H56" s="353"/>
      <c r="I56" s="353"/>
    </row>
    <row r="57" s="351" customFormat="1" hidden="1" customHeight="1" spans="3:9">
      <c r="C57" s="352"/>
      <c r="D57" s="353"/>
      <c r="E57" s="353"/>
      <c r="F57" s="353"/>
      <c r="G57" s="353"/>
      <c r="H57" s="353"/>
      <c r="I57" s="353"/>
    </row>
    <row r="58" s="351" customFormat="1" hidden="1" customHeight="1" spans="3:9">
      <c r="C58" s="352"/>
      <c r="D58" s="353"/>
      <c r="E58" s="353"/>
      <c r="F58" s="353"/>
      <c r="G58" s="353"/>
      <c r="H58" s="353"/>
      <c r="I58" s="353"/>
    </row>
    <row r="59" s="351" customFormat="1" hidden="1" customHeight="1" spans="3:9">
      <c r="C59" s="352"/>
      <c r="D59" s="353"/>
      <c r="E59" s="353"/>
      <c r="F59" s="353"/>
      <c r="G59" s="353"/>
      <c r="H59" s="353"/>
      <c r="I59" s="353"/>
    </row>
    <row r="60" s="351" customFormat="1" hidden="1" customHeight="1" spans="3:9">
      <c r="C60" s="352"/>
      <c r="D60" s="353"/>
      <c r="E60" s="353"/>
      <c r="F60" s="353"/>
      <c r="G60" s="353"/>
      <c r="H60" s="353"/>
      <c r="I60" s="353"/>
    </row>
    <row r="61" s="351" customFormat="1" hidden="1" customHeight="1" spans="3:9">
      <c r="C61" s="352"/>
      <c r="D61" s="353"/>
      <c r="E61" s="353"/>
      <c r="F61" s="353"/>
      <c r="G61" s="353"/>
      <c r="H61" s="353"/>
      <c r="I61" s="353"/>
    </row>
    <row r="62" s="351" customFormat="1" hidden="1" customHeight="1" spans="3:9">
      <c r="C62" s="352"/>
      <c r="D62" s="353"/>
      <c r="E62" s="353"/>
      <c r="F62" s="353"/>
      <c r="G62" s="353"/>
      <c r="H62" s="353"/>
      <c r="I62" s="353"/>
    </row>
    <row r="63" s="351" customFormat="1" hidden="1" customHeight="1" spans="3:9">
      <c r="C63" s="352"/>
      <c r="D63" s="353"/>
      <c r="E63" s="353"/>
      <c r="F63" s="353"/>
      <c r="G63" s="353"/>
      <c r="H63" s="353"/>
      <c r="I63" s="353"/>
    </row>
    <row r="64" s="351" customFormat="1" hidden="1" customHeight="1" spans="3:9">
      <c r="C64" s="352"/>
      <c r="D64" s="353"/>
      <c r="E64" s="353"/>
      <c r="F64" s="353"/>
      <c r="G64" s="353"/>
      <c r="H64" s="353"/>
      <c r="I64" s="353"/>
    </row>
    <row r="65" s="351" customFormat="1" hidden="1" spans="3:9">
      <c r="C65" s="352"/>
      <c r="D65" s="353"/>
      <c r="E65" s="353"/>
      <c r="F65" s="353"/>
      <c r="G65" s="353"/>
      <c r="H65" s="353"/>
      <c r="I65" s="353"/>
    </row>
    <row r="66" s="351" customFormat="1" hidden="1" spans="3:9">
      <c r="C66" s="352"/>
      <c r="D66" s="353"/>
      <c r="E66" s="353"/>
      <c r="F66" s="353"/>
      <c r="G66" s="353"/>
      <c r="H66" s="353"/>
      <c r="I66" s="353"/>
    </row>
    <row r="67" s="351" customFormat="1" hidden="1" spans="3:9">
      <c r="C67" s="352"/>
      <c r="D67" s="353"/>
      <c r="E67" s="353"/>
      <c r="F67" s="353"/>
      <c r="G67" s="353"/>
      <c r="H67" s="353"/>
      <c r="I67" s="353"/>
    </row>
    <row r="68" s="351" customFormat="1" hidden="1" spans="3:9">
      <c r="C68" s="352"/>
      <c r="D68" s="353"/>
      <c r="E68" s="353"/>
      <c r="F68" s="353"/>
      <c r="G68" s="353"/>
      <c r="H68" s="353"/>
      <c r="I68" s="353"/>
    </row>
    <row r="69" s="351" customFormat="1" hidden="1" spans="3:9">
      <c r="C69" s="352"/>
      <c r="D69" s="353"/>
      <c r="E69" s="353"/>
      <c r="F69" s="353"/>
      <c r="G69" s="353"/>
      <c r="H69" s="353"/>
      <c r="I69" s="353"/>
    </row>
    <row r="70" s="351" customFormat="1" hidden="1" spans="3:9">
      <c r="C70" s="352"/>
      <c r="D70" s="353"/>
      <c r="E70" s="353"/>
      <c r="F70" s="353"/>
      <c r="G70" s="353"/>
      <c r="H70" s="353"/>
      <c r="I70" s="353"/>
    </row>
  </sheetData>
  <sheetProtection password="F8E5" sheet="1" formatCells="0" formatColumns="0" formatRows="0" objects="1"/>
  <pageMargins left="0.7" right="0.7" top="0.75" bottom="0.75" header="0.3" footer="0.3"/>
  <pageSetup paperSize="9"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G11"/>
  <sheetViews>
    <sheetView showGridLines="0" showRowColHeaders="0" workbookViewId="0">
      <selection activeCell="C2" sqref="C2"/>
    </sheetView>
  </sheetViews>
  <sheetFormatPr defaultColWidth="9" defaultRowHeight="15.75" customHeight="1" outlineLevelCol="6"/>
  <cols>
    <col min="1" max="1" width="14.125" style="343" customWidth="1"/>
    <col min="2" max="3" width="9" style="343" customWidth="1"/>
    <col min="4" max="4" width="25" style="343" customWidth="1"/>
    <col min="5" max="7" width="9" style="343" customWidth="1"/>
    <col min="8" max="16384" width="9" style="343"/>
  </cols>
  <sheetData>
    <row r="1" customHeight="1" spans="1:7">
      <c r="A1" s="344" t="e">
        <f>#REF!</f>
        <v>#REF!</v>
      </c>
      <c r="B1" s="345"/>
      <c r="C1" s="345"/>
      <c r="D1" s="346"/>
      <c r="E1" s="345"/>
      <c r="F1" s="345"/>
      <c r="G1" s="345"/>
    </row>
    <row r="2" customHeight="1" spans="1:7">
      <c r="A2" s="345"/>
      <c r="B2" s="345"/>
      <c r="C2" s="345"/>
      <c r="D2" s="345"/>
      <c r="E2" s="345"/>
      <c r="F2" s="345"/>
      <c r="G2" s="345"/>
    </row>
    <row r="3" customHeight="1" spans="1:7">
      <c r="A3" s="347"/>
      <c r="B3" s="345"/>
      <c r="C3" s="345"/>
      <c r="D3" s="345"/>
      <c r="E3" s="345"/>
      <c r="F3" s="345"/>
      <c r="G3" s="345"/>
    </row>
    <row r="4" customHeight="1" spans="1:7">
      <c r="A4" s="345"/>
      <c r="B4" s="345"/>
      <c r="C4" s="345"/>
      <c r="D4" s="345"/>
      <c r="E4" s="345"/>
      <c r="F4" s="345"/>
      <c r="G4" s="345"/>
    </row>
    <row r="5" customHeight="1" spans="1:7">
      <c r="A5" s="345"/>
      <c r="B5" s="345"/>
      <c r="C5" s="345"/>
      <c r="D5" s="345"/>
      <c r="E5" s="345"/>
      <c r="F5" s="345"/>
      <c r="G5" s="345"/>
    </row>
    <row r="6" customHeight="1" spans="1:7">
      <c r="A6" s="345"/>
      <c r="B6" s="345"/>
      <c r="C6" s="345"/>
      <c r="D6" s="345"/>
      <c r="E6" s="345"/>
      <c r="F6" s="345"/>
      <c r="G6" s="345"/>
    </row>
    <row r="7" customHeight="1" spans="1:7">
      <c r="A7" s="345"/>
      <c r="B7" s="345"/>
      <c r="C7" s="345"/>
      <c r="D7" s="345"/>
      <c r="E7" s="345"/>
      <c r="F7" s="345"/>
      <c r="G7" s="345"/>
    </row>
    <row r="8" customHeight="1" spans="1:7">
      <c r="A8" s="345"/>
      <c r="B8" s="345"/>
      <c r="C8" s="345"/>
      <c r="D8" s="345"/>
      <c r="E8" s="345"/>
      <c r="F8" s="345"/>
      <c r="G8" s="345"/>
    </row>
    <row r="9" customHeight="1" spans="1:7">
      <c r="A9" s="345"/>
      <c r="B9" s="345"/>
      <c r="C9" s="345"/>
      <c r="D9" s="345"/>
      <c r="E9" s="345"/>
      <c r="F9" s="345"/>
      <c r="G9" s="345"/>
    </row>
    <row r="10" customHeight="1" spans="1:7">
      <c r="A10" s="345"/>
      <c r="B10" s="345"/>
      <c r="C10" s="345"/>
      <c r="D10" s="345"/>
      <c r="E10" s="345"/>
      <c r="F10" s="345"/>
      <c r="G10" s="345"/>
    </row>
    <row r="11" customHeight="1" spans="1:7">
      <c r="A11" s="345"/>
      <c r="B11" s="345"/>
      <c r="C11" s="345"/>
      <c r="D11" s="345"/>
      <c r="E11" s="345"/>
      <c r="F11" s="345"/>
      <c r="G11" s="345"/>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tabColor rgb="FF00B0F0"/>
  </sheetPr>
  <dimension ref="A1:QG617"/>
  <sheetViews>
    <sheetView showGridLines="0" showRowColHeaders="0" workbookViewId="0">
      <pane xSplit="4" ySplit="8" topLeftCell="E9" activePane="bottomRight" state="frozen"/>
      <selection/>
      <selection pane="topRight"/>
      <selection pane="bottomLeft"/>
      <selection pane="bottomRight" activeCell="O17" sqref="O17"/>
    </sheetView>
  </sheetViews>
  <sheetFormatPr defaultColWidth="0" defaultRowHeight="0" customHeight="1" zeroHeight="1"/>
  <cols>
    <col min="1" max="1" width="4.125" style="130" customWidth="1"/>
    <col min="2" max="2" width="3.5" style="130" customWidth="1"/>
    <col min="3" max="3" width="19.75" style="130" customWidth="1"/>
    <col min="4" max="4" width="9.375" style="130" customWidth="1"/>
    <col min="5" max="28" width="5.625" style="130" customWidth="1"/>
    <col min="29" max="164" width="5.625" style="130" hidden="1" customWidth="1"/>
    <col min="165" max="169" width="5.625" style="130" customWidth="1"/>
    <col min="170" max="170" width="10.125" style="130" customWidth="1"/>
    <col min="171" max="171" width="5.125" style="199" customWidth="1"/>
    <col min="172" max="172" width="10.5" style="240" hidden="1" customWidth="1"/>
    <col min="173" max="292" width="7.375" style="130" hidden="1" customWidth="1"/>
    <col min="293" max="293" width="6.5" style="130" hidden="1" customWidth="1"/>
    <col min="294" max="315" width="5.625" style="130" hidden="1" customWidth="1"/>
    <col min="316" max="316" width="8.625" style="133" hidden="1" customWidth="1"/>
    <col min="317" max="336" width="5.5" style="134" hidden="1" customWidth="1"/>
    <col min="337" max="356" width="6.125" style="134" hidden="1" customWidth="1"/>
    <col min="357" max="358" width="7.5" style="134" hidden="1" customWidth="1"/>
    <col min="359" max="359" width="15" style="134" hidden="1" customWidth="1"/>
    <col min="360" max="360" width="8.125" style="134" hidden="1" customWidth="1"/>
    <col min="361" max="361" width="7.5" style="134" hidden="1" customWidth="1"/>
    <col min="362" max="362" width="56.25" style="134" hidden="1" customWidth="1"/>
    <col min="363" max="382" width="6.125" style="135" hidden="1" customWidth="1"/>
    <col min="383" max="402" width="8.625" style="134" hidden="1" customWidth="1"/>
    <col min="403" max="403" width="58.875" style="134" hidden="1" customWidth="1"/>
    <col min="404" max="404" width="48.5" style="134" hidden="1" customWidth="1"/>
    <col min="405" max="405" width="8.625" style="134" hidden="1" customWidth="1"/>
    <col min="406" max="425" width="6.125" style="135" hidden="1" customWidth="1"/>
    <col min="426" max="445" width="8.625" style="134" hidden="1" customWidth="1"/>
    <col min="446" max="446" width="59.75" style="134" hidden="1" customWidth="1"/>
    <col min="447" max="447" width="16.375" style="134" hidden="1" customWidth="1"/>
    <col min="448" max="449" width="8.625" style="134" hidden="1" customWidth="1"/>
    <col min="450" max="450" width="16.375" style="134" hidden="1" customWidth="1"/>
    <col min="451" max="16384" width="8.625" style="134" hidden="1"/>
  </cols>
  <sheetData>
    <row r="1" ht="21" customHeight="1" spans="1:360">
      <c r="A1" s="136"/>
      <c r="B1" s="241" t="s">
        <v>114</v>
      </c>
      <c r="C1" s="242"/>
      <c r="D1" s="242"/>
      <c r="E1" s="242"/>
      <c r="F1" s="242"/>
      <c r="G1" s="242"/>
      <c r="H1" s="242"/>
      <c r="I1" s="242"/>
      <c r="J1" s="242"/>
      <c r="K1" s="242"/>
      <c r="L1" s="242"/>
      <c r="M1" s="242"/>
      <c r="N1" s="242"/>
      <c r="O1" s="242"/>
      <c r="P1" s="252" t="s">
        <v>115</v>
      </c>
      <c r="Q1" s="242"/>
      <c r="R1" s="242"/>
      <c r="S1" s="242"/>
      <c r="T1" s="242"/>
      <c r="U1" s="242"/>
      <c r="V1" s="242"/>
      <c r="W1" s="242"/>
      <c r="X1" s="242"/>
      <c r="Y1" s="242"/>
      <c r="Z1" s="242"/>
      <c r="AA1" s="242"/>
      <c r="AB1" s="242"/>
      <c r="AC1" s="242"/>
      <c r="AD1" s="242"/>
      <c r="AE1" s="242"/>
      <c r="AF1" s="242"/>
      <c r="AG1" s="242"/>
      <c r="AH1" s="242"/>
      <c r="AI1" s="242"/>
      <c r="AJ1" s="242"/>
      <c r="AK1" s="242"/>
      <c r="AL1" s="242"/>
      <c r="AM1" s="242"/>
      <c r="AN1" s="242"/>
      <c r="AO1" s="242"/>
      <c r="AP1" s="242"/>
      <c r="AQ1" s="242"/>
      <c r="AR1" s="242"/>
      <c r="AS1" s="242"/>
      <c r="AT1" s="242"/>
      <c r="AU1" s="242"/>
      <c r="AV1" s="242"/>
      <c r="AW1" s="242"/>
      <c r="AX1" s="242"/>
      <c r="AY1" s="242"/>
      <c r="AZ1" s="242"/>
      <c r="BA1" s="242"/>
      <c r="BB1" s="242"/>
      <c r="BC1" s="242"/>
      <c r="BD1" s="242"/>
      <c r="BE1" s="242"/>
      <c r="BF1" s="242"/>
      <c r="BG1" s="242"/>
      <c r="BH1" s="242"/>
      <c r="BI1" s="242"/>
      <c r="BJ1" s="242"/>
      <c r="BK1" s="242"/>
      <c r="BL1" s="242"/>
      <c r="BM1" s="242"/>
      <c r="BN1" s="242"/>
      <c r="BO1" s="242"/>
      <c r="BP1" s="242"/>
      <c r="BQ1" s="242"/>
      <c r="BR1" s="242"/>
      <c r="BS1" s="242"/>
      <c r="BT1" s="242"/>
      <c r="BU1" s="242"/>
      <c r="BV1" s="242"/>
      <c r="BW1" s="242"/>
      <c r="BX1" s="242"/>
      <c r="BY1" s="242"/>
      <c r="BZ1" s="242"/>
      <c r="CA1" s="242"/>
      <c r="CB1" s="242"/>
      <c r="CC1" s="242"/>
      <c r="CD1" s="242"/>
      <c r="CE1" s="242"/>
      <c r="CF1" s="242"/>
      <c r="CG1" s="242"/>
      <c r="CH1" s="242"/>
      <c r="CI1" s="242"/>
      <c r="CJ1" s="242"/>
      <c r="CK1" s="242"/>
      <c r="CL1" s="242"/>
      <c r="CM1" s="242"/>
      <c r="CN1" s="242"/>
      <c r="CO1" s="242"/>
      <c r="CP1" s="242"/>
      <c r="CQ1" s="242"/>
      <c r="CR1" s="242"/>
      <c r="CS1" s="242"/>
      <c r="CT1" s="242"/>
      <c r="CU1" s="242"/>
      <c r="CV1" s="242"/>
      <c r="CW1" s="242"/>
      <c r="CX1" s="242"/>
      <c r="CY1" s="242"/>
      <c r="CZ1" s="242"/>
      <c r="DA1" s="242"/>
      <c r="DB1" s="242"/>
      <c r="DC1" s="242"/>
      <c r="DD1" s="242"/>
      <c r="DE1" s="242"/>
      <c r="DF1" s="242"/>
      <c r="DG1" s="242"/>
      <c r="DH1" s="242"/>
      <c r="DI1" s="242"/>
      <c r="DJ1" s="242"/>
      <c r="DK1" s="242"/>
      <c r="DL1" s="242"/>
      <c r="DM1" s="242"/>
      <c r="DN1" s="242"/>
      <c r="DO1" s="242"/>
      <c r="DP1" s="242"/>
      <c r="DQ1" s="242"/>
      <c r="DR1" s="242"/>
      <c r="DS1" s="242"/>
      <c r="DT1" s="242"/>
      <c r="DU1" s="242"/>
      <c r="DV1" s="242"/>
      <c r="DW1" s="242"/>
      <c r="DX1" s="242"/>
      <c r="DY1" s="242"/>
      <c r="DZ1" s="242"/>
      <c r="EA1" s="242"/>
      <c r="EB1" s="242"/>
      <c r="EC1" s="242"/>
      <c r="ED1" s="242"/>
      <c r="EE1" s="242"/>
      <c r="EF1" s="242"/>
      <c r="EG1" s="242"/>
      <c r="EH1" s="242"/>
      <c r="EI1" s="242"/>
      <c r="EJ1" s="242"/>
      <c r="EK1" s="242"/>
      <c r="EL1" s="242"/>
      <c r="EM1" s="242"/>
      <c r="EN1" s="242"/>
      <c r="EO1" s="242"/>
      <c r="EP1" s="242"/>
      <c r="EQ1" s="242"/>
      <c r="ER1" s="242"/>
      <c r="ES1" s="242"/>
      <c r="ET1" s="242"/>
      <c r="EU1" s="242"/>
      <c r="EV1" s="242"/>
      <c r="EW1" s="242"/>
      <c r="EX1" s="242"/>
      <c r="EY1" s="242"/>
      <c r="EZ1" s="242"/>
      <c r="FA1" s="242"/>
      <c r="FB1" s="242"/>
      <c r="FC1" s="242"/>
      <c r="FD1" s="242"/>
      <c r="FE1" s="242"/>
      <c r="FF1" s="242"/>
      <c r="FG1" s="242"/>
      <c r="FH1" s="242"/>
      <c r="FI1" s="242" t="s">
        <v>116</v>
      </c>
      <c r="FJ1" s="242"/>
      <c r="FK1" s="242"/>
      <c r="FL1" s="242"/>
      <c r="FM1" s="242"/>
      <c r="FN1" s="242"/>
      <c r="FO1" s="292"/>
      <c r="FQ1" s="293"/>
      <c r="FR1" s="293"/>
      <c r="FS1" s="293"/>
      <c r="FT1" s="293"/>
      <c r="FU1" s="293"/>
      <c r="FV1" s="293"/>
      <c r="FW1" s="293"/>
      <c r="FX1" s="293"/>
      <c r="FY1" s="293"/>
      <c r="FZ1" s="293"/>
      <c r="GA1" s="293"/>
      <c r="GB1" s="293"/>
      <c r="GC1" s="293"/>
      <c r="GD1" s="293"/>
      <c r="GE1" s="293"/>
      <c r="GF1" s="293"/>
      <c r="GG1" s="293"/>
      <c r="GH1" s="293"/>
      <c r="GI1" s="293"/>
      <c r="GJ1" s="293"/>
      <c r="GK1" s="293"/>
      <c r="GL1" s="293"/>
      <c r="GM1" s="293"/>
      <c r="GN1" s="293"/>
      <c r="GO1" s="293"/>
      <c r="GP1" s="293"/>
      <c r="GQ1" s="293"/>
      <c r="GR1" s="293"/>
      <c r="GS1" s="293"/>
      <c r="GT1" s="293"/>
      <c r="GU1" s="293"/>
      <c r="GV1" s="293"/>
      <c r="GW1" s="293"/>
      <c r="GX1" s="293"/>
      <c r="GY1" s="293"/>
      <c r="GZ1" s="293"/>
      <c r="HA1" s="293"/>
      <c r="HB1" s="293"/>
      <c r="HC1" s="293"/>
      <c r="HD1" s="293"/>
      <c r="HE1" s="293"/>
      <c r="HF1" s="293"/>
      <c r="HG1" s="293"/>
      <c r="HH1" s="293"/>
      <c r="HI1" s="293"/>
      <c r="HJ1" s="293"/>
      <c r="HK1" s="293"/>
      <c r="HL1" s="293"/>
      <c r="HM1" s="293"/>
      <c r="HN1" s="293"/>
      <c r="HO1" s="293"/>
      <c r="HP1" s="293"/>
      <c r="HQ1" s="293"/>
      <c r="HR1" s="293"/>
      <c r="HS1" s="293"/>
      <c r="HT1" s="293"/>
      <c r="HU1" s="293"/>
      <c r="HV1" s="293"/>
      <c r="HW1" s="293"/>
      <c r="HX1" s="293"/>
      <c r="HY1" s="293"/>
      <c r="HZ1" s="293"/>
      <c r="IA1" s="293"/>
      <c r="IB1" s="293"/>
      <c r="IC1" s="293"/>
      <c r="ID1" s="293"/>
      <c r="IE1" s="293"/>
      <c r="IF1" s="293"/>
      <c r="IG1" s="293"/>
      <c r="IH1" s="293"/>
      <c r="II1" s="293"/>
      <c r="IJ1" s="293"/>
      <c r="IK1" s="293"/>
      <c r="IL1" s="293"/>
      <c r="IM1" s="293"/>
      <c r="IN1" s="293"/>
      <c r="IO1" s="293"/>
      <c r="IP1" s="293"/>
      <c r="IQ1" s="293"/>
      <c r="IR1" s="293"/>
      <c r="IS1" s="293"/>
      <c r="IT1" s="293"/>
      <c r="IU1" s="293"/>
      <c r="IV1" s="293"/>
      <c r="IW1" s="293"/>
      <c r="IX1" s="293"/>
      <c r="IY1" s="293"/>
      <c r="IZ1" s="293"/>
      <c r="JA1" s="293"/>
      <c r="JB1" s="293"/>
      <c r="JC1" s="293"/>
      <c r="JD1" s="293"/>
      <c r="JE1" s="293"/>
      <c r="JF1" s="293"/>
      <c r="JG1" s="293"/>
      <c r="JH1" s="293"/>
      <c r="JI1" s="293"/>
      <c r="JJ1" s="293"/>
      <c r="JK1" s="293"/>
      <c r="JL1" s="293"/>
      <c r="JM1" s="293"/>
      <c r="JN1" s="293"/>
      <c r="JO1" s="293"/>
      <c r="JP1" s="293"/>
      <c r="JQ1" s="293"/>
      <c r="JR1" s="293"/>
      <c r="JS1" s="293"/>
      <c r="JT1" s="293"/>
      <c r="JU1" s="293"/>
      <c r="JV1" s="293"/>
      <c r="JW1" s="293"/>
      <c r="JX1" s="293"/>
      <c r="JY1" s="293"/>
      <c r="JZ1" s="293"/>
      <c r="KA1" s="293"/>
      <c r="KB1" s="293"/>
      <c r="KC1" s="293"/>
      <c r="KD1" s="293"/>
      <c r="KE1" s="293"/>
      <c r="KF1" s="293"/>
      <c r="KG1" s="326"/>
      <c r="KH1" s="327"/>
      <c r="KI1" s="328"/>
      <c r="KJ1" s="328"/>
      <c r="KK1" s="328"/>
      <c r="KL1" s="328"/>
      <c r="KM1" s="328"/>
      <c r="KN1" s="328"/>
      <c r="KO1" s="328"/>
      <c r="KP1" s="328"/>
      <c r="KQ1" s="328"/>
      <c r="KR1" s="328"/>
      <c r="KS1" s="328"/>
      <c r="KT1" s="328"/>
      <c r="KU1" s="328"/>
      <c r="KV1" s="328"/>
      <c r="KW1" s="328"/>
      <c r="KX1" s="328"/>
      <c r="KY1" s="328"/>
      <c r="KZ1" s="328"/>
      <c r="LA1" s="328"/>
      <c r="LB1" s="328"/>
      <c r="LC1" s="328"/>
      <c r="LD1" s="133">
        <f>COUNTA(RefKI3KI4!$B$5:$B$24)</f>
        <v>2</v>
      </c>
      <c r="LE1" s="134">
        <v>1</v>
      </c>
      <c r="LF1" s="134" t="s">
        <v>117</v>
      </c>
      <c r="LY1" s="134">
        <v>1</v>
      </c>
      <c r="LZ1" s="134" t="s">
        <v>117</v>
      </c>
      <c r="MV1" s="341">
        <f>COUNTIF(LY9:MR9,0)</f>
        <v>0</v>
      </c>
    </row>
    <row r="2" ht="15.75" customHeight="1" spans="1:338">
      <c r="A2" s="136"/>
      <c r="B2" s="145" t="s">
        <v>30</v>
      </c>
      <c r="C2" s="146"/>
      <c r="D2" s="147"/>
      <c r="E2" s="142"/>
      <c r="G2" s="143" t="s">
        <v>118</v>
      </c>
      <c r="H2" s="144" t="str">
        <f>RefGuru!D11</f>
        <v>Prakarya</v>
      </c>
      <c r="I2" s="144"/>
      <c r="J2" s="144"/>
      <c r="K2" s="144"/>
      <c r="L2" s="253" t="s">
        <v>119</v>
      </c>
      <c r="M2" s="144" t="str">
        <f>RefGuru!D13</f>
        <v>8C</v>
      </c>
      <c r="N2" s="254"/>
      <c r="O2" s="254"/>
      <c r="P2" s="255" t="s">
        <v>120</v>
      </c>
      <c r="Q2" s="262" t="s">
        <v>121</v>
      </c>
      <c r="R2" s="263" t="s">
        <v>122</v>
      </c>
      <c r="S2" s="264" t="s">
        <v>123</v>
      </c>
      <c r="T2" s="265" t="s">
        <v>124</v>
      </c>
      <c r="U2" s="266"/>
      <c r="V2" s="267"/>
      <c r="W2" s="267"/>
      <c r="Z2" s="273"/>
      <c r="AA2" s="273"/>
      <c r="AE2" s="142"/>
      <c r="AF2" s="142"/>
      <c r="AG2" s="142"/>
      <c r="AH2" s="273"/>
      <c r="AI2" s="273"/>
      <c r="AJ2" s="142"/>
      <c r="AP2" s="273"/>
      <c r="AQ2" s="273"/>
      <c r="AR2" s="276"/>
      <c r="AS2" s="277"/>
      <c r="AT2" s="277"/>
      <c r="AU2" s="277"/>
      <c r="AV2" s="276"/>
      <c r="AW2" s="276"/>
      <c r="AX2" s="273"/>
      <c r="AY2" s="273"/>
      <c r="AZ2" s="276"/>
      <c r="BA2" s="277"/>
      <c r="BB2" s="277"/>
      <c r="BC2" s="277"/>
      <c r="BD2" s="276"/>
      <c r="BE2" s="276"/>
      <c r="BF2" s="273"/>
      <c r="BG2" s="273"/>
      <c r="BH2" s="276"/>
      <c r="BI2" s="277"/>
      <c r="BJ2" s="277"/>
      <c r="BK2" s="277"/>
      <c r="BL2" s="276"/>
      <c r="BM2" s="276"/>
      <c r="BN2" s="273"/>
      <c r="BO2" s="273"/>
      <c r="BP2" s="276"/>
      <c r="BQ2" s="277"/>
      <c r="BR2" s="277"/>
      <c r="BS2" s="277"/>
      <c r="BT2" s="276"/>
      <c r="BU2" s="276"/>
      <c r="BV2" s="273"/>
      <c r="BW2" s="273"/>
      <c r="BX2" s="276"/>
      <c r="BY2" s="277"/>
      <c r="BZ2" s="277"/>
      <c r="CA2" s="277"/>
      <c r="CB2" s="276"/>
      <c r="CC2" s="276"/>
      <c r="CD2" s="273"/>
      <c r="CE2" s="273"/>
      <c r="CF2" s="276"/>
      <c r="CG2" s="277"/>
      <c r="CH2" s="277"/>
      <c r="CI2" s="277"/>
      <c r="CJ2" s="276"/>
      <c r="CK2" s="276"/>
      <c r="CL2" s="273"/>
      <c r="CM2" s="273"/>
      <c r="CN2" s="276"/>
      <c r="CO2" s="277"/>
      <c r="CP2" s="277"/>
      <c r="CQ2" s="277"/>
      <c r="CR2" s="276"/>
      <c r="CS2" s="276"/>
      <c r="CT2" s="273"/>
      <c r="CU2" s="273"/>
      <c r="CV2" s="276"/>
      <c r="CW2" s="277"/>
      <c r="CX2" s="277"/>
      <c r="CY2" s="277"/>
      <c r="CZ2" s="276"/>
      <c r="DA2" s="276"/>
      <c r="DB2" s="273"/>
      <c r="DC2" s="273"/>
      <c r="DD2" s="276"/>
      <c r="DE2" s="277"/>
      <c r="DF2" s="277"/>
      <c r="DG2" s="277"/>
      <c r="DH2" s="276"/>
      <c r="DI2" s="276"/>
      <c r="DJ2" s="273"/>
      <c r="DK2" s="273"/>
      <c r="DL2" s="276"/>
      <c r="DM2" s="277"/>
      <c r="DN2" s="277"/>
      <c r="DO2" s="277"/>
      <c r="DP2" s="276"/>
      <c r="DQ2" s="276"/>
      <c r="DR2" s="273"/>
      <c r="DS2" s="273"/>
      <c r="DT2" s="276"/>
      <c r="DU2" s="277"/>
      <c r="DV2" s="277"/>
      <c r="DW2" s="277"/>
      <c r="DX2" s="276"/>
      <c r="DY2" s="276"/>
      <c r="DZ2" s="273"/>
      <c r="EA2" s="273"/>
      <c r="EB2" s="276"/>
      <c r="EC2" s="277"/>
      <c r="ED2" s="277"/>
      <c r="EE2" s="277"/>
      <c r="EF2" s="276"/>
      <c r="EG2" s="276"/>
      <c r="EH2" s="273"/>
      <c r="EI2" s="273"/>
      <c r="EJ2" s="276"/>
      <c r="EK2" s="277"/>
      <c r="EL2" s="277"/>
      <c r="EM2" s="277"/>
      <c r="EN2" s="276"/>
      <c r="EO2" s="276"/>
      <c r="EP2" s="273"/>
      <c r="EQ2" s="273"/>
      <c r="ER2" s="276"/>
      <c r="ES2" s="277"/>
      <c r="ET2" s="277"/>
      <c r="EU2" s="277"/>
      <c r="EV2" s="276"/>
      <c r="EW2" s="276"/>
      <c r="EX2" s="273"/>
      <c r="EY2" s="273"/>
      <c r="EZ2" s="276"/>
      <c r="FA2" s="277"/>
      <c r="FB2" s="277"/>
      <c r="FC2" s="277"/>
      <c r="FD2" s="276"/>
      <c r="FE2" s="276"/>
      <c r="FF2" s="273"/>
      <c r="FG2" s="273"/>
      <c r="FH2" s="276"/>
      <c r="FI2" s="283" t="s">
        <v>120</v>
      </c>
      <c r="FJ2" s="284" t="s">
        <v>125</v>
      </c>
      <c r="FK2" s="284" t="s">
        <v>126</v>
      </c>
      <c r="FL2" s="284" t="s">
        <v>127</v>
      </c>
      <c r="FM2" s="283"/>
      <c r="FN2" s="286"/>
      <c r="FQ2" s="294"/>
      <c r="FR2" s="294"/>
      <c r="FS2" s="294"/>
      <c r="FT2" s="276"/>
      <c r="FU2" s="276"/>
      <c r="FV2" s="276"/>
      <c r="FW2" s="316"/>
      <c r="FX2" s="316"/>
      <c r="FY2" s="316"/>
      <c r="FZ2" s="317"/>
      <c r="GA2" s="317"/>
      <c r="GC2" s="323"/>
      <c r="GD2" s="323"/>
      <c r="GE2" s="323"/>
      <c r="GO2" s="320"/>
      <c r="GP2" s="320"/>
      <c r="GQ2" s="320"/>
      <c r="GR2" s="324"/>
      <c r="GS2" s="324"/>
      <c r="GT2" s="276"/>
      <c r="GU2" s="277"/>
      <c r="GV2" s="277"/>
      <c r="GW2" s="277"/>
      <c r="GX2" s="276"/>
      <c r="GY2" s="276"/>
      <c r="GZ2" s="276"/>
      <c r="HA2" s="277"/>
      <c r="HB2" s="277"/>
      <c r="HC2" s="277"/>
      <c r="HD2" s="276"/>
      <c r="HE2" s="276"/>
      <c r="HF2" s="276"/>
      <c r="HG2" s="277"/>
      <c r="HH2" s="277"/>
      <c r="HI2" s="277"/>
      <c r="HJ2" s="276"/>
      <c r="HK2" s="276"/>
      <c r="HL2" s="276"/>
      <c r="HM2" s="277"/>
      <c r="HN2" s="277"/>
      <c r="HO2" s="277"/>
      <c r="HP2" s="276"/>
      <c r="HQ2" s="276"/>
      <c r="HR2" s="276"/>
      <c r="HS2" s="277"/>
      <c r="HT2" s="277"/>
      <c r="HU2" s="277"/>
      <c r="HV2" s="276"/>
      <c r="HW2" s="276"/>
      <c r="HX2" s="276"/>
      <c r="HY2" s="277"/>
      <c r="HZ2" s="277"/>
      <c r="IA2" s="277"/>
      <c r="IB2" s="276"/>
      <c r="IC2" s="276"/>
      <c r="ID2" s="276"/>
      <c r="IE2" s="277"/>
      <c r="IF2" s="277"/>
      <c r="IG2" s="277"/>
      <c r="IH2" s="276"/>
      <c r="II2" s="276"/>
      <c r="IJ2" s="276"/>
      <c r="IK2" s="277"/>
      <c r="IL2" s="277"/>
      <c r="IM2" s="277"/>
      <c r="IN2" s="276"/>
      <c r="IO2" s="276"/>
      <c r="IP2" s="276"/>
      <c r="IQ2" s="277"/>
      <c r="IR2" s="277"/>
      <c r="IS2" s="277"/>
      <c r="IT2" s="276"/>
      <c r="IU2" s="276"/>
      <c r="IV2" s="276"/>
      <c r="IW2" s="277"/>
      <c r="IX2" s="277"/>
      <c r="IY2" s="277"/>
      <c r="IZ2" s="276"/>
      <c r="JA2" s="276"/>
      <c r="JB2" s="276"/>
      <c r="JC2" s="277"/>
      <c r="JD2" s="277"/>
      <c r="JE2" s="277"/>
      <c r="JF2" s="276"/>
      <c r="JG2" s="276"/>
      <c r="JH2" s="276"/>
      <c r="JI2" s="277"/>
      <c r="JJ2" s="277"/>
      <c r="JK2" s="277"/>
      <c r="JL2" s="276"/>
      <c r="JM2" s="276"/>
      <c r="JN2" s="276"/>
      <c r="JO2" s="277"/>
      <c r="JP2" s="277"/>
      <c r="JQ2" s="277"/>
      <c r="JR2" s="276"/>
      <c r="JS2" s="276"/>
      <c r="JT2" s="276"/>
      <c r="JU2" s="277"/>
      <c r="JV2" s="277"/>
      <c r="JW2" s="277"/>
      <c r="JX2" s="276"/>
      <c r="JY2" s="276"/>
      <c r="JZ2" s="276"/>
      <c r="KA2" s="277"/>
      <c r="KB2" s="277"/>
      <c r="KC2" s="277"/>
      <c r="KD2" s="276"/>
      <c r="KE2" s="276"/>
      <c r="KF2" s="276"/>
      <c r="KG2" s="329"/>
      <c r="LE2" s="134">
        <v>2</v>
      </c>
      <c r="LF2" s="134" t="s">
        <v>128</v>
      </c>
      <c r="LY2" s="134">
        <v>2</v>
      </c>
      <c r="LZ2" s="134" t="s">
        <v>128</v>
      </c>
    </row>
    <row r="3" ht="15.75" customHeight="1" spans="1:338">
      <c r="A3" s="136"/>
      <c r="B3" s="145"/>
      <c r="C3" s="146"/>
      <c r="D3" s="147"/>
      <c r="E3" s="142"/>
      <c r="G3" s="143" t="s">
        <v>129</v>
      </c>
      <c r="H3" s="144" t="str">
        <f>RefGuru!D15</f>
        <v>VERI USDI, S.E</v>
      </c>
      <c r="I3" s="190"/>
      <c r="J3" s="190"/>
      <c r="K3" s="190"/>
      <c r="L3" s="253" t="s">
        <v>130</v>
      </c>
      <c r="M3" s="144" t="str">
        <f>RefGuru!D9</f>
        <v>Ganjil</v>
      </c>
      <c r="N3" s="256"/>
      <c r="O3" s="256"/>
      <c r="P3" s="255" t="s">
        <v>131</v>
      </c>
      <c r="Q3" s="268">
        <v>0.6</v>
      </c>
      <c r="R3" s="269">
        <v>0.4</v>
      </c>
      <c r="S3" s="270">
        <f>Q3+R3</f>
        <v>1</v>
      </c>
      <c r="T3" s="265">
        <f>SUM(Q3:S3)</f>
        <v>2</v>
      </c>
      <c r="U3" s="266"/>
      <c r="V3" s="267"/>
      <c r="W3" s="267"/>
      <c r="Z3" s="274"/>
      <c r="AA3" s="274"/>
      <c r="AE3" s="142"/>
      <c r="AF3" s="142"/>
      <c r="AG3" s="142"/>
      <c r="AH3" s="274"/>
      <c r="AI3" s="274"/>
      <c r="AJ3" s="142"/>
      <c r="AP3" s="274"/>
      <c r="AQ3" s="274"/>
      <c r="AR3" s="278"/>
      <c r="AS3" s="279"/>
      <c r="AT3" s="279"/>
      <c r="AU3" s="279"/>
      <c r="AV3" s="278"/>
      <c r="AW3" s="278"/>
      <c r="AX3" s="274"/>
      <c r="AY3" s="274"/>
      <c r="AZ3" s="278"/>
      <c r="BA3" s="279"/>
      <c r="BB3" s="279"/>
      <c r="BC3" s="279"/>
      <c r="BD3" s="278"/>
      <c r="BE3" s="278"/>
      <c r="BF3" s="274"/>
      <c r="BG3" s="274"/>
      <c r="BH3" s="278"/>
      <c r="BI3" s="279"/>
      <c r="BJ3" s="279"/>
      <c r="BK3" s="279"/>
      <c r="BL3" s="278"/>
      <c r="BM3" s="278"/>
      <c r="BN3" s="274"/>
      <c r="BO3" s="274"/>
      <c r="BP3" s="278"/>
      <c r="BQ3" s="279"/>
      <c r="BR3" s="279"/>
      <c r="BS3" s="279"/>
      <c r="BT3" s="278"/>
      <c r="BU3" s="278"/>
      <c r="BV3" s="274"/>
      <c r="BW3" s="274"/>
      <c r="BX3" s="278"/>
      <c r="BY3" s="279"/>
      <c r="BZ3" s="279"/>
      <c r="CA3" s="279"/>
      <c r="CB3" s="278"/>
      <c r="CC3" s="278"/>
      <c r="CD3" s="274"/>
      <c r="CE3" s="274"/>
      <c r="CF3" s="278"/>
      <c r="CG3" s="279"/>
      <c r="CH3" s="279"/>
      <c r="CI3" s="279"/>
      <c r="CJ3" s="278"/>
      <c r="CK3" s="278"/>
      <c r="CL3" s="274"/>
      <c r="CM3" s="274"/>
      <c r="CN3" s="278"/>
      <c r="CO3" s="279"/>
      <c r="CP3" s="279"/>
      <c r="CQ3" s="279"/>
      <c r="CR3" s="278"/>
      <c r="CS3" s="278"/>
      <c r="CT3" s="274"/>
      <c r="CU3" s="274"/>
      <c r="CV3" s="278"/>
      <c r="CW3" s="279"/>
      <c r="CX3" s="279"/>
      <c r="CY3" s="279"/>
      <c r="CZ3" s="278"/>
      <c r="DA3" s="278"/>
      <c r="DB3" s="274"/>
      <c r="DC3" s="274"/>
      <c r="DD3" s="278"/>
      <c r="DE3" s="279"/>
      <c r="DF3" s="279"/>
      <c r="DG3" s="279"/>
      <c r="DH3" s="278"/>
      <c r="DI3" s="278"/>
      <c r="DJ3" s="274"/>
      <c r="DK3" s="274"/>
      <c r="DL3" s="278"/>
      <c r="DM3" s="279"/>
      <c r="DN3" s="279"/>
      <c r="DO3" s="279"/>
      <c r="DP3" s="278"/>
      <c r="DQ3" s="278"/>
      <c r="DR3" s="274"/>
      <c r="DS3" s="274"/>
      <c r="DT3" s="278"/>
      <c r="DU3" s="279"/>
      <c r="DV3" s="279"/>
      <c r="DW3" s="279"/>
      <c r="DX3" s="278"/>
      <c r="DY3" s="278"/>
      <c r="DZ3" s="274"/>
      <c r="EA3" s="274"/>
      <c r="EB3" s="278"/>
      <c r="EC3" s="279"/>
      <c r="ED3" s="279"/>
      <c r="EE3" s="279"/>
      <c r="EF3" s="278"/>
      <c r="EG3" s="278"/>
      <c r="EH3" s="274"/>
      <c r="EI3" s="274"/>
      <c r="EJ3" s="278"/>
      <c r="EK3" s="279"/>
      <c r="EL3" s="279"/>
      <c r="EM3" s="279"/>
      <c r="EN3" s="278"/>
      <c r="EO3" s="278"/>
      <c r="EP3" s="274"/>
      <c r="EQ3" s="274"/>
      <c r="ER3" s="278"/>
      <c r="ES3" s="279"/>
      <c r="ET3" s="279"/>
      <c r="EU3" s="279"/>
      <c r="EV3" s="278"/>
      <c r="EW3" s="278"/>
      <c r="EX3" s="274"/>
      <c r="EY3" s="274"/>
      <c r="EZ3" s="278"/>
      <c r="FA3" s="279"/>
      <c r="FB3" s="279"/>
      <c r="FC3" s="279"/>
      <c r="FD3" s="278"/>
      <c r="FE3" s="278"/>
      <c r="FF3" s="274"/>
      <c r="FG3" s="274"/>
      <c r="FH3" s="278"/>
      <c r="FI3" s="283" t="s">
        <v>132</v>
      </c>
      <c r="FJ3" s="285">
        <v>2</v>
      </c>
      <c r="FK3" s="285">
        <v>1</v>
      </c>
      <c r="FL3" s="285"/>
      <c r="FM3" s="295">
        <f>SUM(FJ3:FL3)</f>
        <v>3</v>
      </c>
      <c r="FN3" s="296"/>
      <c r="FQ3" s="297"/>
      <c r="FR3" s="297"/>
      <c r="FS3" s="297"/>
      <c r="FT3" s="278"/>
      <c r="FU3" s="278"/>
      <c r="FV3" s="278"/>
      <c r="FW3" s="316"/>
      <c r="FX3" s="316"/>
      <c r="FY3" s="316"/>
      <c r="FZ3" s="318"/>
      <c r="GA3" s="318"/>
      <c r="GC3" s="323"/>
      <c r="GD3" s="323"/>
      <c r="GE3" s="323"/>
      <c r="GO3" s="320"/>
      <c r="GP3" s="320"/>
      <c r="GQ3" s="320"/>
      <c r="GR3" s="324"/>
      <c r="GS3" s="324"/>
      <c r="GT3" s="278"/>
      <c r="GU3" s="279"/>
      <c r="GV3" s="279"/>
      <c r="GW3" s="279"/>
      <c r="GX3" s="278"/>
      <c r="GY3" s="278"/>
      <c r="GZ3" s="278"/>
      <c r="HA3" s="279"/>
      <c r="HB3" s="279"/>
      <c r="HC3" s="279"/>
      <c r="HD3" s="278"/>
      <c r="HE3" s="278"/>
      <c r="HF3" s="278"/>
      <c r="HG3" s="279"/>
      <c r="HH3" s="279"/>
      <c r="HI3" s="279"/>
      <c r="HJ3" s="278"/>
      <c r="HK3" s="278"/>
      <c r="HL3" s="278"/>
      <c r="HM3" s="279"/>
      <c r="HN3" s="279"/>
      <c r="HO3" s="279"/>
      <c r="HP3" s="278"/>
      <c r="HQ3" s="278"/>
      <c r="HR3" s="278"/>
      <c r="HS3" s="279"/>
      <c r="HT3" s="279"/>
      <c r="HU3" s="279"/>
      <c r="HV3" s="278"/>
      <c r="HW3" s="278"/>
      <c r="HX3" s="278"/>
      <c r="HY3" s="279"/>
      <c r="HZ3" s="279"/>
      <c r="IA3" s="279"/>
      <c r="IB3" s="278"/>
      <c r="IC3" s="278"/>
      <c r="ID3" s="278"/>
      <c r="IE3" s="279"/>
      <c r="IF3" s="279"/>
      <c r="IG3" s="279"/>
      <c r="IH3" s="278"/>
      <c r="II3" s="278"/>
      <c r="IJ3" s="278"/>
      <c r="IK3" s="279"/>
      <c r="IL3" s="279"/>
      <c r="IM3" s="279"/>
      <c r="IN3" s="278"/>
      <c r="IO3" s="278"/>
      <c r="IP3" s="278"/>
      <c r="IQ3" s="279"/>
      <c r="IR3" s="279"/>
      <c r="IS3" s="279"/>
      <c r="IT3" s="278"/>
      <c r="IU3" s="278"/>
      <c r="IV3" s="278"/>
      <c r="IW3" s="279"/>
      <c r="IX3" s="279"/>
      <c r="IY3" s="279"/>
      <c r="IZ3" s="278"/>
      <c r="JA3" s="278"/>
      <c r="JB3" s="278"/>
      <c r="JC3" s="279"/>
      <c r="JD3" s="279"/>
      <c r="JE3" s="279"/>
      <c r="JF3" s="278"/>
      <c r="JG3" s="278"/>
      <c r="JH3" s="278"/>
      <c r="JI3" s="279"/>
      <c r="JJ3" s="279"/>
      <c r="JK3" s="279"/>
      <c r="JL3" s="278"/>
      <c r="JM3" s="278"/>
      <c r="JN3" s="278"/>
      <c r="JO3" s="279"/>
      <c r="JP3" s="279"/>
      <c r="JQ3" s="279"/>
      <c r="JR3" s="278"/>
      <c r="JS3" s="278"/>
      <c r="JT3" s="278"/>
      <c r="JU3" s="279"/>
      <c r="JV3" s="279"/>
      <c r="JW3" s="279"/>
      <c r="JX3" s="278"/>
      <c r="JY3" s="278"/>
      <c r="JZ3" s="278"/>
      <c r="KA3" s="279"/>
      <c r="KB3" s="279"/>
      <c r="KC3" s="279"/>
      <c r="KD3" s="278"/>
      <c r="KE3" s="278"/>
      <c r="KF3" s="278"/>
      <c r="KG3" s="330"/>
      <c r="LE3" s="134">
        <v>3</v>
      </c>
      <c r="LF3" s="134" t="s">
        <v>133</v>
      </c>
      <c r="LY3" s="134">
        <v>3</v>
      </c>
      <c r="LZ3" s="134" t="s">
        <v>133</v>
      </c>
    </row>
    <row r="4" ht="15.75" customHeight="1" spans="1:338">
      <c r="A4" s="148">
        <f>siswa!B2</f>
        <v>28</v>
      </c>
      <c r="B4" s="149"/>
      <c r="C4" s="150"/>
      <c r="D4" s="151"/>
      <c r="E4" s="142"/>
      <c r="G4" s="152" t="s">
        <v>134</v>
      </c>
      <c r="H4" s="144" t="str">
        <f>RefGuru!D17</f>
        <v>-</v>
      </c>
      <c r="I4" s="191"/>
      <c r="J4" s="191"/>
      <c r="K4" s="191"/>
      <c r="L4" s="253" t="s">
        <v>135</v>
      </c>
      <c r="M4" s="144" t="str">
        <f>RefGuru!D7</f>
        <v>2021/2022</v>
      </c>
      <c r="N4" s="257"/>
      <c r="O4" s="257"/>
      <c r="P4" s="258" t="s">
        <v>136</v>
      </c>
      <c r="S4" s="142"/>
      <c r="T4" s="142"/>
      <c r="U4" s="271"/>
      <c r="V4" s="272"/>
      <c r="W4" s="272"/>
      <c r="AA4" s="275" t="s">
        <v>137</v>
      </c>
      <c r="AE4" s="142"/>
      <c r="AF4" s="142"/>
      <c r="AG4" s="142"/>
      <c r="AI4" s="142"/>
      <c r="AJ4" s="272"/>
      <c r="AQ4" s="142"/>
      <c r="AR4" s="280"/>
      <c r="AS4" s="281"/>
      <c r="AT4" s="281"/>
      <c r="AU4" s="281"/>
      <c r="AV4" s="282"/>
      <c r="AW4" s="282"/>
      <c r="AY4" s="142"/>
      <c r="AZ4" s="282"/>
      <c r="BA4" s="281"/>
      <c r="BB4" s="281"/>
      <c r="BC4" s="281"/>
      <c r="BD4" s="282"/>
      <c r="BE4" s="282"/>
      <c r="BG4" s="142"/>
      <c r="BH4" s="282"/>
      <c r="BI4" s="281"/>
      <c r="BJ4" s="281"/>
      <c r="BK4" s="281"/>
      <c r="BL4" s="282"/>
      <c r="BM4" s="282"/>
      <c r="BO4" s="142"/>
      <c r="BP4" s="282"/>
      <c r="BQ4" s="281"/>
      <c r="BR4" s="281"/>
      <c r="BS4" s="281"/>
      <c r="BT4" s="282"/>
      <c r="BU4" s="282"/>
      <c r="BW4" s="142"/>
      <c r="BX4" s="282"/>
      <c r="BY4" s="281"/>
      <c r="BZ4" s="281"/>
      <c r="CA4" s="281"/>
      <c r="CB4" s="282"/>
      <c r="CC4" s="282"/>
      <c r="CE4" s="142"/>
      <c r="CF4" s="282"/>
      <c r="CG4" s="281"/>
      <c r="CH4" s="281"/>
      <c r="CI4" s="281"/>
      <c r="CJ4" s="282"/>
      <c r="CK4" s="282"/>
      <c r="CM4" s="142"/>
      <c r="CN4" s="282"/>
      <c r="CO4" s="281"/>
      <c r="CP4" s="281"/>
      <c r="CQ4" s="281"/>
      <c r="CR4" s="282"/>
      <c r="CS4" s="282"/>
      <c r="CU4" s="142"/>
      <c r="CV4" s="282"/>
      <c r="CW4" s="281"/>
      <c r="CX4" s="281"/>
      <c r="CY4" s="281"/>
      <c r="CZ4" s="282"/>
      <c r="DA4" s="282"/>
      <c r="DC4" s="142"/>
      <c r="DD4" s="282"/>
      <c r="DE4" s="281"/>
      <c r="DF4" s="281"/>
      <c r="DG4" s="281"/>
      <c r="DH4" s="282"/>
      <c r="DI4" s="282"/>
      <c r="DK4" s="142"/>
      <c r="DL4" s="282"/>
      <c r="DM4" s="281"/>
      <c r="DN4" s="281"/>
      <c r="DO4" s="281"/>
      <c r="DP4" s="282"/>
      <c r="DQ4" s="282"/>
      <c r="DS4" s="142"/>
      <c r="DT4" s="282"/>
      <c r="DU4" s="281"/>
      <c r="DV4" s="281"/>
      <c r="DW4" s="281"/>
      <c r="DX4" s="282"/>
      <c r="DY4" s="282"/>
      <c r="EA4" s="142"/>
      <c r="EB4" s="282"/>
      <c r="EC4" s="281"/>
      <c r="ED4" s="281"/>
      <c r="EE4" s="281"/>
      <c r="EF4" s="282"/>
      <c r="EG4" s="282"/>
      <c r="EI4" s="142"/>
      <c r="EJ4" s="282"/>
      <c r="EK4" s="281"/>
      <c r="EL4" s="281"/>
      <c r="EM4" s="281"/>
      <c r="EN4" s="282"/>
      <c r="EO4" s="282"/>
      <c r="EQ4" s="142"/>
      <c r="ER4" s="282"/>
      <c r="ES4" s="281"/>
      <c r="ET4" s="281"/>
      <c r="EU4" s="281"/>
      <c r="EV4" s="282"/>
      <c r="EW4" s="282"/>
      <c r="EY4" s="142"/>
      <c r="EZ4" s="282"/>
      <c r="FA4" s="281"/>
      <c r="FB4" s="281"/>
      <c r="FC4" s="281"/>
      <c r="FD4" s="282"/>
      <c r="FE4" s="282"/>
      <c r="FG4" s="142"/>
      <c r="FH4" s="282"/>
      <c r="FJ4" s="286"/>
      <c r="FK4" s="286"/>
      <c r="FL4" s="286"/>
      <c r="FM4" s="286" t="s">
        <v>138</v>
      </c>
      <c r="FN4" s="298">
        <v>73</v>
      </c>
      <c r="FQ4" s="299"/>
      <c r="FR4" s="299"/>
      <c r="FS4" s="299"/>
      <c r="FT4" s="300"/>
      <c r="FU4" s="300"/>
      <c r="FV4" s="319"/>
      <c r="FW4" s="320"/>
      <c r="FX4" s="320"/>
      <c r="FY4" s="320"/>
      <c r="FZ4" s="321"/>
      <c r="GA4" s="321"/>
      <c r="GC4" s="323"/>
      <c r="GD4" s="323"/>
      <c r="GE4" s="323"/>
      <c r="GF4" s="323"/>
      <c r="GG4" s="323"/>
      <c r="GN4" s="323"/>
      <c r="GO4" s="320"/>
      <c r="GP4" s="320"/>
      <c r="GQ4" s="320"/>
      <c r="GR4" s="324"/>
      <c r="GS4" s="324"/>
      <c r="GT4" s="280"/>
      <c r="GU4" s="281"/>
      <c r="GV4" s="281"/>
      <c r="GW4" s="281"/>
      <c r="GX4" s="282"/>
      <c r="GY4" s="282"/>
      <c r="GZ4" s="282"/>
      <c r="HA4" s="281"/>
      <c r="HB4" s="281"/>
      <c r="HC4" s="281"/>
      <c r="HD4" s="282"/>
      <c r="HE4" s="282"/>
      <c r="HF4" s="282"/>
      <c r="HG4" s="281"/>
      <c r="HH4" s="281"/>
      <c r="HI4" s="281"/>
      <c r="HJ4" s="282"/>
      <c r="HK4" s="282"/>
      <c r="HL4" s="282"/>
      <c r="HM4" s="281"/>
      <c r="HN4" s="281"/>
      <c r="HO4" s="281"/>
      <c r="HP4" s="282"/>
      <c r="HQ4" s="282"/>
      <c r="HR4" s="282"/>
      <c r="HS4" s="281"/>
      <c r="HT4" s="281"/>
      <c r="HU4" s="281"/>
      <c r="HV4" s="282"/>
      <c r="HW4" s="282"/>
      <c r="HX4" s="282"/>
      <c r="HY4" s="281"/>
      <c r="HZ4" s="281"/>
      <c r="IA4" s="281"/>
      <c r="IB4" s="282"/>
      <c r="IC4" s="282"/>
      <c r="ID4" s="282"/>
      <c r="IE4" s="281"/>
      <c r="IF4" s="281"/>
      <c r="IG4" s="281"/>
      <c r="IH4" s="282"/>
      <c r="II4" s="282"/>
      <c r="IJ4" s="282"/>
      <c r="IK4" s="281"/>
      <c r="IL4" s="281"/>
      <c r="IM4" s="281"/>
      <c r="IN4" s="282"/>
      <c r="IO4" s="282"/>
      <c r="IP4" s="282"/>
      <c r="IQ4" s="281"/>
      <c r="IR4" s="281"/>
      <c r="IS4" s="281"/>
      <c r="IT4" s="282"/>
      <c r="IU4" s="282"/>
      <c r="IV4" s="282"/>
      <c r="IW4" s="281"/>
      <c r="IX4" s="281"/>
      <c r="IY4" s="281"/>
      <c r="IZ4" s="282"/>
      <c r="JA4" s="282"/>
      <c r="JB4" s="282"/>
      <c r="JC4" s="281"/>
      <c r="JD4" s="281"/>
      <c r="JE4" s="281"/>
      <c r="JF4" s="282"/>
      <c r="JG4" s="282"/>
      <c r="JH4" s="282"/>
      <c r="JI4" s="281"/>
      <c r="JJ4" s="281"/>
      <c r="JK4" s="281"/>
      <c r="JL4" s="282"/>
      <c r="JM4" s="282"/>
      <c r="JN4" s="282"/>
      <c r="JO4" s="281"/>
      <c r="JP4" s="281"/>
      <c r="JQ4" s="281"/>
      <c r="JR4" s="282"/>
      <c r="JS4" s="282"/>
      <c r="JT4" s="282"/>
      <c r="JU4" s="281"/>
      <c r="JV4" s="281"/>
      <c r="JW4" s="281"/>
      <c r="JX4" s="282"/>
      <c r="JY4" s="282"/>
      <c r="JZ4" s="282"/>
      <c r="KA4" s="281"/>
      <c r="KB4" s="281"/>
      <c r="KC4" s="281"/>
      <c r="KD4" s="282"/>
      <c r="KE4" s="282"/>
      <c r="KF4" s="282"/>
      <c r="KG4" s="323"/>
      <c r="LE4" s="134">
        <v>4</v>
      </c>
      <c r="LF4" s="134" t="s">
        <v>139</v>
      </c>
      <c r="LY4" s="134">
        <v>4</v>
      </c>
      <c r="LZ4" s="134" t="s">
        <v>139</v>
      </c>
    </row>
    <row r="5" ht="15.75" customHeight="1" spans="1:317">
      <c r="A5" s="136"/>
      <c r="B5" s="153" t="s">
        <v>13</v>
      </c>
      <c r="C5" s="154" t="s">
        <v>140</v>
      </c>
      <c r="D5" s="155" t="s">
        <v>15</v>
      </c>
      <c r="E5" s="156">
        <v>1</v>
      </c>
      <c r="F5" s="157"/>
      <c r="G5" s="157"/>
      <c r="H5" s="157"/>
      <c r="I5" s="157"/>
      <c r="J5" s="157"/>
      <c r="K5" s="157"/>
      <c r="L5" s="157"/>
      <c r="M5" s="259">
        <f>E5+1</f>
        <v>2</v>
      </c>
      <c r="N5" s="157"/>
      <c r="O5" s="157"/>
      <c r="P5" s="157"/>
      <c r="Q5" s="157"/>
      <c r="R5" s="157"/>
      <c r="S5" s="157"/>
      <c r="T5" s="157"/>
      <c r="U5" s="259">
        <f t="shared" ref="U5" si="0">M5+1</f>
        <v>3</v>
      </c>
      <c r="V5" s="157"/>
      <c r="W5" s="157"/>
      <c r="X5" s="157"/>
      <c r="Y5" s="157"/>
      <c r="Z5" s="157"/>
      <c r="AA5" s="157"/>
      <c r="AB5" s="157"/>
      <c r="AC5" s="259">
        <f t="shared" ref="AC5" si="1">U5+1</f>
        <v>4</v>
      </c>
      <c r="AD5" s="157"/>
      <c r="AE5" s="157"/>
      <c r="AF5" s="157"/>
      <c r="AG5" s="157"/>
      <c r="AH5" s="157"/>
      <c r="AI5" s="157"/>
      <c r="AJ5" s="157"/>
      <c r="AK5" s="259">
        <f t="shared" ref="AK5" si="2">AC5+1</f>
        <v>5</v>
      </c>
      <c r="AL5" s="157"/>
      <c r="AM5" s="157"/>
      <c r="AN5" s="157"/>
      <c r="AO5" s="157"/>
      <c r="AP5" s="157"/>
      <c r="AQ5" s="157"/>
      <c r="AR5" s="157"/>
      <c r="AS5" s="259">
        <f t="shared" ref="AS5" si="3">AK5+1</f>
        <v>6</v>
      </c>
      <c r="AT5" s="157"/>
      <c r="AU5" s="157"/>
      <c r="AV5" s="157"/>
      <c r="AW5" s="157"/>
      <c r="AX5" s="157"/>
      <c r="AY5" s="157"/>
      <c r="AZ5" s="157"/>
      <c r="BA5" s="259">
        <f t="shared" ref="BA5" si="4">AS5+1</f>
        <v>7</v>
      </c>
      <c r="BB5" s="157"/>
      <c r="BC5" s="157"/>
      <c r="BD5" s="157"/>
      <c r="BE5" s="157"/>
      <c r="BF5" s="157"/>
      <c r="BG5" s="157"/>
      <c r="BH5" s="157"/>
      <c r="BI5" s="259">
        <f t="shared" ref="BI5" si="5">BA5+1</f>
        <v>8</v>
      </c>
      <c r="BJ5" s="157"/>
      <c r="BK5" s="157"/>
      <c r="BL5" s="157"/>
      <c r="BM5" s="157"/>
      <c r="BN5" s="157"/>
      <c r="BO5" s="157"/>
      <c r="BP5" s="157"/>
      <c r="BQ5" s="259">
        <f t="shared" ref="BQ5" si="6">BI5+1</f>
        <v>9</v>
      </c>
      <c r="BR5" s="157"/>
      <c r="BS5" s="157"/>
      <c r="BT5" s="157"/>
      <c r="BU5" s="157"/>
      <c r="BV5" s="157"/>
      <c r="BW5" s="157"/>
      <c r="BX5" s="157"/>
      <c r="BY5" s="259">
        <f t="shared" ref="BY5" si="7">BQ5+1</f>
        <v>10</v>
      </c>
      <c r="BZ5" s="157"/>
      <c r="CA5" s="157"/>
      <c r="CB5" s="157"/>
      <c r="CC5" s="157"/>
      <c r="CD5" s="157"/>
      <c r="CE5" s="157"/>
      <c r="CF5" s="157"/>
      <c r="CG5" s="259">
        <f t="shared" ref="CG5" si="8">BY5+1</f>
        <v>11</v>
      </c>
      <c r="CH5" s="157"/>
      <c r="CI5" s="157"/>
      <c r="CJ5" s="157"/>
      <c r="CK5" s="157"/>
      <c r="CL5" s="157"/>
      <c r="CM5" s="157"/>
      <c r="CN5" s="157"/>
      <c r="CO5" s="259">
        <f t="shared" ref="CO5" si="9">CG5+1</f>
        <v>12</v>
      </c>
      <c r="CP5" s="157"/>
      <c r="CQ5" s="157"/>
      <c r="CR5" s="157"/>
      <c r="CS5" s="157"/>
      <c r="CT5" s="157"/>
      <c r="CU5" s="157"/>
      <c r="CV5" s="157"/>
      <c r="CW5" s="259">
        <f t="shared" ref="CW5" si="10">CO5+1</f>
        <v>13</v>
      </c>
      <c r="CX5" s="157"/>
      <c r="CY5" s="157"/>
      <c r="CZ5" s="157"/>
      <c r="DA5" s="157"/>
      <c r="DB5" s="157"/>
      <c r="DC5" s="157"/>
      <c r="DD5" s="157"/>
      <c r="DE5" s="259">
        <f t="shared" ref="DE5" si="11">CW5+1</f>
        <v>14</v>
      </c>
      <c r="DF5" s="157"/>
      <c r="DG5" s="157"/>
      <c r="DH5" s="157"/>
      <c r="DI5" s="157"/>
      <c r="DJ5" s="157"/>
      <c r="DK5" s="157"/>
      <c r="DL5" s="157"/>
      <c r="DM5" s="259">
        <f t="shared" ref="DM5" si="12">DE5+1</f>
        <v>15</v>
      </c>
      <c r="DN5" s="157"/>
      <c r="DO5" s="157"/>
      <c r="DP5" s="157"/>
      <c r="DQ5" s="157"/>
      <c r="DR5" s="157"/>
      <c r="DS5" s="157"/>
      <c r="DT5" s="157"/>
      <c r="DU5" s="259">
        <f t="shared" ref="DU5" si="13">DM5+1</f>
        <v>16</v>
      </c>
      <c r="DV5" s="157"/>
      <c r="DW5" s="157"/>
      <c r="DX5" s="157"/>
      <c r="DY5" s="157"/>
      <c r="DZ5" s="157"/>
      <c r="EA5" s="157"/>
      <c r="EB5" s="157"/>
      <c r="EC5" s="259">
        <f t="shared" ref="EC5" si="14">DU5+1</f>
        <v>17</v>
      </c>
      <c r="ED5" s="157"/>
      <c r="EE5" s="157"/>
      <c r="EF5" s="157"/>
      <c r="EG5" s="157"/>
      <c r="EH5" s="157"/>
      <c r="EI5" s="157"/>
      <c r="EJ5" s="157"/>
      <c r="EK5" s="259">
        <f t="shared" ref="EK5" si="15">EC5+1</f>
        <v>18</v>
      </c>
      <c r="EL5" s="157"/>
      <c r="EM5" s="157"/>
      <c r="EN5" s="157"/>
      <c r="EO5" s="157"/>
      <c r="EP5" s="157"/>
      <c r="EQ5" s="157"/>
      <c r="ER5" s="157"/>
      <c r="ES5" s="259">
        <f t="shared" ref="ES5" si="16">EK5+1</f>
        <v>19</v>
      </c>
      <c r="ET5" s="157"/>
      <c r="EU5" s="157"/>
      <c r="EV5" s="157"/>
      <c r="EW5" s="157"/>
      <c r="EX5" s="157"/>
      <c r="EY5" s="157"/>
      <c r="EZ5" s="157"/>
      <c r="FA5" s="259">
        <f t="shared" ref="FA5" si="17">ES5+1</f>
        <v>20</v>
      </c>
      <c r="FB5" s="157"/>
      <c r="FC5" s="157"/>
      <c r="FD5" s="157"/>
      <c r="FE5" s="157"/>
      <c r="FF5" s="157"/>
      <c r="FG5" s="157"/>
      <c r="FH5" s="157"/>
      <c r="FI5" s="287" t="s">
        <v>141</v>
      </c>
      <c r="FJ5" s="287"/>
      <c r="FK5" s="287"/>
      <c r="FL5" s="287"/>
      <c r="FM5" s="287"/>
      <c r="FN5" s="301"/>
      <c r="FO5" s="302"/>
      <c r="FQ5" s="156">
        <v>1</v>
      </c>
      <c r="FR5" s="157"/>
      <c r="FS5" s="157"/>
      <c r="FT5" s="157"/>
      <c r="FU5" s="157"/>
      <c r="FV5" s="157"/>
      <c r="FW5" s="259">
        <f>FQ5+1</f>
        <v>2</v>
      </c>
      <c r="FX5" s="157"/>
      <c r="FY5" s="157"/>
      <c r="FZ5" s="157"/>
      <c r="GA5" s="157"/>
      <c r="GB5" s="157"/>
      <c r="GC5" s="259">
        <f>FW5+1</f>
        <v>3</v>
      </c>
      <c r="GD5" s="157"/>
      <c r="GE5" s="157"/>
      <c r="GF5" s="157"/>
      <c r="GG5" s="157"/>
      <c r="GH5" s="157"/>
      <c r="GI5" s="259">
        <f>GC5+1</f>
        <v>4</v>
      </c>
      <c r="GJ5" s="157"/>
      <c r="GK5" s="157"/>
      <c r="GL5" s="157"/>
      <c r="GM5" s="157"/>
      <c r="GN5" s="157"/>
      <c r="GO5" s="259">
        <f>GI5+1</f>
        <v>5</v>
      </c>
      <c r="GP5" s="157"/>
      <c r="GQ5" s="157"/>
      <c r="GR5" s="157"/>
      <c r="GS5" s="157"/>
      <c r="GT5" s="325"/>
      <c r="GU5" s="156">
        <f>GO5+1</f>
        <v>6</v>
      </c>
      <c r="GV5" s="157"/>
      <c r="GW5" s="157"/>
      <c r="GX5" s="157"/>
      <c r="GY5" s="157"/>
      <c r="GZ5" s="157"/>
      <c r="HA5" s="259">
        <f t="shared" ref="HA5" si="18">GU5+1</f>
        <v>7</v>
      </c>
      <c r="HB5" s="157"/>
      <c r="HC5" s="157"/>
      <c r="HD5" s="157"/>
      <c r="HE5" s="157"/>
      <c r="HF5" s="157"/>
      <c r="HG5" s="259">
        <f t="shared" ref="HG5" si="19">HA5+1</f>
        <v>8</v>
      </c>
      <c r="HH5" s="157"/>
      <c r="HI5" s="157"/>
      <c r="HJ5" s="157"/>
      <c r="HK5" s="157"/>
      <c r="HL5" s="157"/>
      <c r="HM5" s="259">
        <f t="shared" ref="HM5" si="20">HG5+1</f>
        <v>9</v>
      </c>
      <c r="HN5" s="157"/>
      <c r="HO5" s="157"/>
      <c r="HP5" s="157"/>
      <c r="HQ5" s="157"/>
      <c r="HR5" s="157"/>
      <c r="HS5" s="259">
        <f t="shared" ref="HS5" si="21">HM5+1</f>
        <v>10</v>
      </c>
      <c r="HT5" s="157"/>
      <c r="HU5" s="157"/>
      <c r="HV5" s="157"/>
      <c r="HW5" s="157"/>
      <c r="HX5" s="157"/>
      <c r="HY5" s="259">
        <f t="shared" ref="HY5" si="22">HS5+1</f>
        <v>11</v>
      </c>
      <c r="HZ5" s="157"/>
      <c r="IA5" s="157"/>
      <c r="IB5" s="157"/>
      <c r="IC5" s="157"/>
      <c r="ID5" s="157"/>
      <c r="IE5" s="259">
        <f t="shared" ref="IE5" si="23">HY5+1</f>
        <v>12</v>
      </c>
      <c r="IF5" s="157"/>
      <c r="IG5" s="157"/>
      <c r="IH5" s="157"/>
      <c r="II5" s="157"/>
      <c r="IJ5" s="157"/>
      <c r="IK5" s="259">
        <f t="shared" ref="IK5" si="24">IE5+1</f>
        <v>13</v>
      </c>
      <c r="IL5" s="157"/>
      <c r="IM5" s="157"/>
      <c r="IN5" s="157"/>
      <c r="IO5" s="157"/>
      <c r="IP5" s="157"/>
      <c r="IQ5" s="259">
        <f t="shared" ref="IQ5" si="25">IK5+1</f>
        <v>14</v>
      </c>
      <c r="IR5" s="157"/>
      <c r="IS5" s="157"/>
      <c r="IT5" s="157"/>
      <c r="IU5" s="157"/>
      <c r="IV5" s="157"/>
      <c r="IW5" s="259">
        <f t="shared" ref="IW5" si="26">IQ5+1</f>
        <v>15</v>
      </c>
      <c r="IX5" s="157"/>
      <c r="IY5" s="157"/>
      <c r="IZ5" s="157"/>
      <c r="JA5" s="157"/>
      <c r="JB5" s="157"/>
      <c r="JC5" s="259">
        <f t="shared" ref="JC5" si="27">IW5+1</f>
        <v>16</v>
      </c>
      <c r="JD5" s="157"/>
      <c r="JE5" s="157"/>
      <c r="JF5" s="157"/>
      <c r="JG5" s="157"/>
      <c r="JH5" s="157"/>
      <c r="JI5" s="259">
        <f t="shared" ref="JI5" si="28">JC5+1</f>
        <v>17</v>
      </c>
      <c r="JJ5" s="157"/>
      <c r="JK5" s="157"/>
      <c r="JL5" s="157"/>
      <c r="JM5" s="157"/>
      <c r="JN5" s="157"/>
      <c r="JO5" s="259">
        <f t="shared" ref="JO5" si="29">JI5+1</f>
        <v>18</v>
      </c>
      <c r="JP5" s="157"/>
      <c r="JQ5" s="157"/>
      <c r="JR5" s="157"/>
      <c r="JS5" s="157"/>
      <c r="JT5" s="157"/>
      <c r="JU5" s="259">
        <v>19</v>
      </c>
      <c r="JV5" s="157"/>
      <c r="JW5" s="157"/>
      <c r="JX5" s="157"/>
      <c r="JY5" s="157"/>
      <c r="JZ5" s="157"/>
      <c r="KA5" s="259">
        <f t="shared" ref="KA5" si="30">JU5+1</f>
        <v>20</v>
      </c>
      <c r="KB5" s="157"/>
      <c r="KC5" s="157"/>
      <c r="KD5" s="157"/>
      <c r="KE5" s="157"/>
      <c r="KF5" s="157"/>
      <c r="KG5" s="331" t="s">
        <v>142</v>
      </c>
      <c r="KH5" s="301"/>
      <c r="KI5" s="332"/>
      <c r="KJ5" s="332"/>
      <c r="KK5" s="332"/>
      <c r="KL5" s="332"/>
      <c r="KM5" s="332"/>
      <c r="KN5" s="332"/>
      <c r="KO5" s="332"/>
      <c r="KP5" s="332"/>
      <c r="KQ5" s="332"/>
      <c r="KR5" s="332"/>
      <c r="KS5" s="332"/>
      <c r="KT5" s="332"/>
      <c r="KU5" s="332"/>
      <c r="KV5" s="332"/>
      <c r="KW5" s="332"/>
      <c r="KX5" s="332"/>
      <c r="KY5" s="332"/>
      <c r="KZ5" s="332"/>
      <c r="LA5" s="332"/>
      <c r="LB5" s="332"/>
      <c r="LC5" s="332"/>
      <c r="LE5" s="134">
        <f>COUNT(KA6)</f>
        <v>0</v>
      </c>
    </row>
    <row r="6" ht="42.75" customHeight="1" spans="1:426">
      <c r="A6" s="136"/>
      <c r="B6" s="158"/>
      <c r="C6" s="159"/>
      <c r="D6" s="159"/>
      <c r="E6" s="243" t="str">
        <f>IF(RefKI3KI4!B5="","",RefKI3KI4!B5)</f>
        <v>jenis, sifat, karakter dan teknik pengolahan kerang, kaca, keramik dan botol plastik</v>
      </c>
      <c r="F6" s="244"/>
      <c r="G6" s="244"/>
      <c r="H6" s="244"/>
      <c r="I6" s="244"/>
      <c r="J6" s="244"/>
      <c r="K6" s="244"/>
      <c r="L6" s="260"/>
      <c r="M6" s="243" t="str">
        <f>IF(RefKI3KI4!B6="","",RefKI3KI4!B6)</f>
        <v>prinsip perancangan, pembuatan dan penyajian produk kerajinan kerang, kaca, keramik dan botol plastik yang kreatif dan inovatif</v>
      </c>
      <c r="N6" s="244"/>
      <c r="O6" s="244"/>
      <c r="P6" s="244"/>
      <c r="Q6" s="244"/>
      <c r="R6" s="244"/>
      <c r="S6" s="244"/>
      <c r="T6" s="260"/>
      <c r="U6" s="243" t="str">
        <f>IF(RefKI3KI4!B7="","",RefKI3KI4!B7)</f>
        <v/>
      </c>
      <c r="V6" s="244"/>
      <c r="W6" s="244"/>
      <c r="X6" s="244"/>
      <c r="Y6" s="244"/>
      <c r="Z6" s="244"/>
      <c r="AA6" s="244"/>
      <c r="AB6" s="260"/>
      <c r="AC6" s="243" t="str">
        <f>IF(RefKI3KI4!B8="","",RefKI3KI4!B8)</f>
        <v/>
      </c>
      <c r="AD6" s="244"/>
      <c r="AE6" s="244"/>
      <c r="AF6" s="244"/>
      <c r="AG6" s="244"/>
      <c r="AH6" s="244"/>
      <c r="AI6" s="244"/>
      <c r="AJ6" s="260"/>
      <c r="AK6" s="243" t="str">
        <f>IF(RefKI3KI4!B9="","",RefKI3KI4!B9)</f>
        <v/>
      </c>
      <c r="AL6" s="244"/>
      <c r="AM6" s="244"/>
      <c r="AN6" s="244"/>
      <c r="AO6" s="244"/>
      <c r="AP6" s="244"/>
      <c r="AQ6" s="244"/>
      <c r="AR6" s="260"/>
      <c r="AS6" s="243" t="str">
        <f>IF(RefKI3KI4!B10="","",RefKI3KI4!B10)</f>
        <v/>
      </c>
      <c r="AT6" s="244"/>
      <c r="AU6" s="244"/>
      <c r="AV6" s="244"/>
      <c r="AW6" s="244"/>
      <c r="AX6" s="244"/>
      <c r="AY6" s="244"/>
      <c r="AZ6" s="260"/>
      <c r="BA6" s="243" t="str">
        <f>IF(RefKI3KI4!B11="","",RefKI3KI4!B11)</f>
        <v/>
      </c>
      <c r="BB6" s="244"/>
      <c r="BC6" s="244"/>
      <c r="BD6" s="244"/>
      <c r="BE6" s="244"/>
      <c r="BF6" s="244"/>
      <c r="BG6" s="244"/>
      <c r="BH6" s="260"/>
      <c r="BI6" s="243" t="str">
        <f>IF(RefKI3KI4!B12="","",RefKI3KI4!B12)</f>
        <v/>
      </c>
      <c r="BJ6" s="244"/>
      <c r="BK6" s="244"/>
      <c r="BL6" s="244"/>
      <c r="BM6" s="244"/>
      <c r="BN6" s="244"/>
      <c r="BO6" s="244"/>
      <c r="BP6" s="260"/>
      <c r="BQ6" s="243" t="str">
        <f>IF(RefKI3KI4!B13="","",RefKI3KI4!B13)</f>
        <v/>
      </c>
      <c r="BR6" s="244"/>
      <c r="BS6" s="244"/>
      <c r="BT6" s="244"/>
      <c r="BU6" s="244"/>
      <c r="BV6" s="244"/>
      <c r="BW6" s="244"/>
      <c r="BX6" s="260"/>
      <c r="BY6" s="243" t="str">
        <f>IF(RefKI3KI4!B14="","",RefKI3KI4!B14)</f>
        <v/>
      </c>
      <c r="BZ6" s="244"/>
      <c r="CA6" s="244"/>
      <c r="CB6" s="244"/>
      <c r="CC6" s="244"/>
      <c r="CD6" s="244"/>
      <c r="CE6" s="244"/>
      <c r="CF6" s="260"/>
      <c r="CG6" s="243" t="str">
        <f>IF(RefKI3KI4!B15="","",RefKI3KI4!B15)</f>
        <v/>
      </c>
      <c r="CH6" s="244"/>
      <c r="CI6" s="244"/>
      <c r="CJ6" s="244"/>
      <c r="CK6" s="244"/>
      <c r="CL6" s="244"/>
      <c r="CM6" s="244"/>
      <c r="CN6" s="260"/>
      <c r="CO6" s="243" t="str">
        <f>IF(RefKI3KI4!B16="","",RefKI3KI4!B16)</f>
        <v/>
      </c>
      <c r="CP6" s="244"/>
      <c r="CQ6" s="244"/>
      <c r="CR6" s="244"/>
      <c r="CS6" s="244"/>
      <c r="CT6" s="244"/>
      <c r="CU6" s="244"/>
      <c r="CV6" s="260"/>
      <c r="CW6" s="243" t="str">
        <f>IF(RefKI3KI4!B17="","",RefKI3KI4!B17)</f>
        <v/>
      </c>
      <c r="CX6" s="244"/>
      <c r="CY6" s="244"/>
      <c r="CZ6" s="244"/>
      <c r="DA6" s="244"/>
      <c r="DB6" s="244"/>
      <c r="DC6" s="244"/>
      <c r="DD6" s="260"/>
      <c r="DE6" s="243" t="str">
        <f>IF(RefKI3KI4!B18="","",RefKI3KI4!B18)</f>
        <v/>
      </c>
      <c r="DF6" s="244"/>
      <c r="DG6" s="244"/>
      <c r="DH6" s="244"/>
      <c r="DI6" s="244"/>
      <c r="DJ6" s="244"/>
      <c r="DK6" s="244"/>
      <c r="DL6" s="260"/>
      <c r="DM6" s="243" t="str">
        <f>IF(RefKI3KI4!B19="","",RefKI3KI4!B19)</f>
        <v/>
      </c>
      <c r="DN6" s="244"/>
      <c r="DO6" s="244"/>
      <c r="DP6" s="244"/>
      <c r="DQ6" s="244"/>
      <c r="DR6" s="244"/>
      <c r="DS6" s="244"/>
      <c r="DT6" s="260"/>
      <c r="DU6" s="243" t="str">
        <f>IF(RefKI3KI4!$B$20="","",RefKI3KI4!$B$20)</f>
        <v/>
      </c>
      <c r="DV6" s="244"/>
      <c r="DW6" s="244"/>
      <c r="DX6" s="244"/>
      <c r="DY6" s="244"/>
      <c r="DZ6" s="244"/>
      <c r="EA6" s="244"/>
      <c r="EB6" s="260"/>
      <c r="EC6" s="243" t="str">
        <f>IF(RefKI3KI4!$B$21="","",RefKI3KI4!$B$21)</f>
        <v/>
      </c>
      <c r="ED6" s="244"/>
      <c r="EE6" s="244"/>
      <c r="EF6" s="244"/>
      <c r="EG6" s="244"/>
      <c r="EH6" s="244"/>
      <c r="EI6" s="244"/>
      <c r="EJ6" s="260"/>
      <c r="EK6" s="243" t="str">
        <f>IF(RefKI3KI4!$B$22="","",RefKI3KI4!$B$22)</f>
        <v/>
      </c>
      <c r="EL6" s="244"/>
      <c r="EM6" s="244"/>
      <c r="EN6" s="244"/>
      <c r="EO6" s="244"/>
      <c r="EP6" s="244"/>
      <c r="EQ6" s="244"/>
      <c r="ER6" s="260"/>
      <c r="ES6" s="243" t="str">
        <f>IF(RefKI3KI4!$B$23="","",RefKI3KI4!$B$23)</f>
        <v/>
      </c>
      <c r="ET6" s="244"/>
      <c r="EU6" s="244"/>
      <c r="EV6" s="244"/>
      <c r="EW6" s="244"/>
      <c r="EX6" s="244"/>
      <c r="EY6" s="244"/>
      <c r="EZ6" s="260"/>
      <c r="FA6" s="243" t="str">
        <f>IF(RefKI3KI4!$B$24="","",RefKI3KI4!$B$24)</f>
        <v/>
      </c>
      <c r="FB6" s="244"/>
      <c r="FC6" s="244"/>
      <c r="FD6" s="244"/>
      <c r="FE6" s="244"/>
      <c r="FF6" s="244"/>
      <c r="FG6" s="244"/>
      <c r="FH6" s="260"/>
      <c r="FI6" s="288" t="s">
        <v>125</v>
      </c>
      <c r="FJ6" s="288" t="s">
        <v>126</v>
      </c>
      <c r="FK6" s="288" t="s">
        <v>127</v>
      </c>
      <c r="FL6" s="288" t="s">
        <v>143</v>
      </c>
      <c r="FM6" s="288" t="s">
        <v>144</v>
      </c>
      <c r="FN6" s="303" t="s">
        <v>145</v>
      </c>
      <c r="FO6" s="304"/>
      <c r="FP6" s="240" t="s">
        <v>146</v>
      </c>
      <c r="FQ6" s="305" t="str">
        <f>E6</f>
        <v>jenis, sifat, karakter dan teknik pengolahan kerang, kaca, keramik dan botol plastik</v>
      </c>
      <c r="FR6" s="306"/>
      <c r="FS6" s="306"/>
      <c r="FT6" s="306"/>
      <c r="FU6" s="306"/>
      <c r="FV6" s="322"/>
      <c r="FW6" s="305" t="str">
        <f>M6</f>
        <v>prinsip perancangan, pembuatan dan penyajian produk kerajinan kerang, kaca, keramik dan botol plastik yang kreatif dan inovatif</v>
      </c>
      <c r="FX6" s="306"/>
      <c r="FY6" s="306"/>
      <c r="FZ6" s="306"/>
      <c r="GA6" s="306"/>
      <c r="GB6" s="322"/>
      <c r="GC6" s="305" t="str">
        <f>U6</f>
        <v/>
      </c>
      <c r="GD6" s="306"/>
      <c r="GE6" s="306"/>
      <c r="GF6" s="306"/>
      <c r="GG6" s="306"/>
      <c r="GH6" s="322"/>
      <c r="GI6" s="305" t="str">
        <f>AC6</f>
        <v/>
      </c>
      <c r="GJ6" s="306"/>
      <c r="GK6" s="306"/>
      <c r="GL6" s="306"/>
      <c r="GM6" s="306"/>
      <c r="GN6" s="322"/>
      <c r="GO6" s="305" t="str">
        <f>AK6</f>
        <v/>
      </c>
      <c r="GP6" s="306"/>
      <c r="GQ6" s="306"/>
      <c r="GR6" s="306"/>
      <c r="GS6" s="306"/>
      <c r="GT6" s="322"/>
      <c r="GU6" s="305" t="str">
        <f>AS6</f>
        <v/>
      </c>
      <c r="GV6" s="306"/>
      <c r="GW6" s="306"/>
      <c r="GX6" s="306"/>
      <c r="GY6" s="306"/>
      <c r="GZ6" s="322"/>
      <c r="HA6" s="305" t="str">
        <f>BA6</f>
        <v/>
      </c>
      <c r="HB6" s="306"/>
      <c r="HC6" s="306"/>
      <c r="HD6" s="306"/>
      <c r="HE6" s="306"/>
      <c r="HF6" s="322"/>
      <c r="HG6" s="305" t="str">
        <f>BI6</f>
        <v/>
      </c>
      <c r="HH6" s="306"/>
      <c r="HI6" s="306"/>
      <c r="HJ6" s="306"/>
      <c r="HK6" s="306"/>
      <c r="HL6" s="322"/>
      <c r="HM6" s="305" t="str">
        <f>BQ6</f>
        <v/>
      </c>
      <c r="HN6" s="306"/>
      <c r="HO6" s="306"/>
      <c r="HP6" s="306"/>
      <c r="HQ6" s="306"/>
      <c r="HR6" s="322"/>
      <c r="HS6" s="305" t="str">
        <f>BY6</f>
        <v/>
      </c>
      <c r="HT6" s="306"/>
      <c r="HU6" s="306"/>
      <c r="HV6" s="306"/>
      <c r="HW6" s="306"/>
      <c r="HX6" s="322"/>
      <c r="HY6" s="305" t="str">
        <f>CG6</f>
        <v/>
      </c>
      <c r="HZ6" s="306"/>
      <c r="IA6" s="306"/>
      <c r="IB6" s="306"/>
      <c r="IC6" s="306"/>
      <c r="ID6" s="322"/>
      <c r="IE6" s="305" t="str">
        <f>CO6</f>
        <v/>
      </c>
      <c r="IF6" s="306"/>
      <c r="IG6" s="306"/>
      <c r="IH6" s="306"/>
      <c r="II6" s="306"/>
      <c r="IJ6" s="322"/>
      <c r="IK6" s="305" t="str">
        <f>CW6</f>
        <v/>
      </c>
      <c r="IL6" s="306"/>
      <c r="IM6" s="306"/>
      <c r="IN6" s="306"/>
      <c r="IO6" s="306"/>
      <c r="IP6" s="322"/>
      <c r="IQ6" s="305" t="str">
        <f>DE6</f>
        <v/>
      </c>
      <c r="IR6" s="306"/>
      <c r="IS6" s="306"/>
      <c r="IT6" s="306"/>
      <c r="IU6" s="306"/>
      <c r="IV6" s="322"/>
      <c r="IW6" s="305" t="str">
        <f>DM6</f>
        <v/>
      </c>
      <c r="IX6" s="306"/>
      <c r="IY6" s="306"/>
      <c r="IZ6" s="306"/>
      <c r="JA6" s="306"/>
      <c r="JB6" s="322"/>
      <c r="JC6" s="305" t="str">
        <f>DU6</f>
        <v/>
      </c>
      <c r="JD6" s="306"/>
      <c r="JE6" s="306"/>
      <c r="JF6" s="306"/>
      <c r="JG6" s="306"/>
      <c r="JH6" s="322"/>
      <c r="JI6" s="305" t="str">
        <f>EC6</f>
        <v/>
      </c>
      <c r="JJ6" s="306"/>
      <c r="JK6" s="306"/>
      <c r="JL6" s="306"/>
      <c r="JM6" s="306"/>
      <c r="JN6" s="322"/>
      <c r="JO6" s="305" t="str">
        <f>EK6</f>
        <v/>
      </c>
      <c r="JP6" s="306"/>
      <c r="JQ6" s="306"/>
      <c r="JR6" s="306"/>
      <c r="JS6" s="306"/>
      <c r="JT6" s="322"/>
      <c r="JU6" s="305" t="str">
        <f>ES6</f>
        <v/>
      </c>
      <c r="JV6" s="306"/>
      <c r="JW6" s="306"/>
      <c r="JX6" s="306"/>
      <c r="JY6" s="306"/>
      <c r="JZ6" s="322"/>
      <c r="KA6" s="305" t="str">
        <f>FA6</f>
        <v/>
      </c>
      <c r="KB6" s="306"/>
      <c r="KC6" s="306"/>
      <c r="KD6" s="306"/>
      <c r="KE6" s="306"/>
      <c r="KF6" s="322"/>
      <c r="KG6" s="333" t="s">
        <v>147</v>
      </c>
      <c r="KH6" s="334" t="s">
        <v>148</v>
      </c>
      <c r="KI6" s="335"/>
      <c r="KJ6" s="335"/>
      <c r="KK6" s="335"/>
      <c r="KL6" s="335"/>
      <c r="KM6" s="335"/>
      <c r="KN6" s="335"/>
      <c r="KO6" s="335"/>
      <c r="KP6" s="335"/>
      <c r="KQ6" s="335"/>
      <c r="KR6" s="335"/>
      <c r="KS6" s="335"/>
      <c r="KT6" s="335"/>
      <c r="KU6" s="335"/>
      <c r="KV6" s="335"/>
      <c r="KW6" s="335"/>
      <c r="KX6" s="335"/>
      <c r="KY6" s="335"/>
      <c r="KZ6" s="335"/>
      <c r="LA6" s="335"/>
      <c r="LB6" s="335"/>
      <c r="LC6" s="335" t="s">
        <v>149</v>
      </c>
      <c r="LE6" s="227">
        <v>1</v>
      </c>
      <c r="LF6" s="227">
        <v>2</v>
      </c>
      <c r="LG6" s="227">
        <v>3</v>
      </c>
      <c r="LH6" s="227">
        <v>4</v>
      </c>
      <c r="LI6" s="227">
        <v>5</v>
      </c>
      <c r="LJ6" s="227">
        <v>6</v>
      </c>
      <c r="LK6" s="227">
        <v>7</v>
      </c>
      <c r="LL6" s="227">
        <v>8</v>
      </c>
      <c r="LM6" s="227">
        <v>9</v>
      </c>
      <c r="LN6" s="227">
        <v>10</v>
      </c>
      <c r="LO6" s="227">
        <v>11</v>
      </c>
      <c r="LP6" s="227">
        <v>12</v>
      </c>
      <c r="LQ6" s="227">
        <v>13</v>
      </c>
      <c r="LR6" s="227">
        <v>14</v>
      </c>
      <c r="LS6" s="227">
        <v>15</v>
      </c>
      <c r="LT6" s="227">
        <v>16</v>
      </c>
      <c r="LU6" s="227">
        <v>17</v>
      </c>
      <c r="LV6" s="227">
        <v>18</v>
      </c>
      <c r="LW6" s="227">
        <v>19</v>
      </c>
      <c r="LX6" s="227">
        <v>20</v>
      </c>
      <c r="LY6" s="227">
        <v>1</v>
      </c>
      <c r="LZ6" s="227">
        <v>2</v>
      </c>
      <c r="MA6" s="227">
        <v>3</v>
      </c>
      <c r="MB6" s="227">
        <v>4</v>
      </c>
      <c r="MC6" s="227">
        <v>5</v>
      </c>
      <c r="MD6" s="227">
        <v>6</v>
      </c>
      <c r="ME6" s="227">
        <v>7</v>
      </c>
      <c r="MF6" s="227">
        <v>8</v>
      </c>
      <c r="MG6" s="227">
        <v>9</v>
      </c>
      <c r="MH6" s="227">
        <v>10</v>
      </c>
      <c r="MI6" s="227">
        <v>11</v>
      </c>
      <c r="MJ6" s="227">
        <v>12</v>
      </c>
      <c r="MK6" s="227">
        <v>13</v>
      </c>
      <c r="ML6" s="227">
        <v>14</v>
      </c>
      <c r="MM6" s="227">
        <v>15</v>
      </c>
      <c r="MN6" s="227">
        <v>16</v>
      </c>
      <c r="MO6" s="227">
        <v>17</v>
      </c>
      <c r="MP6" s="227">
        <v>18</v>
      </c>
      <c r="MQ6" s="227">
        <v>19</v>
      </c>
      <c r="MR6" s="227">
        <v>20</v>
      </c>
      <c r="MS6" s="227" t="s">
        <v>150</v>
      </c>
      <c r="MT6" s="227" t="s">
        <v>120</v>
      </c>
      <c r="MU6" s="227" t="s">
        <v>151</v>
      </c>
      <c r="MV6" s="134" t="s">
        <v>152</v>
      </c>
      <c r="MW6" s="227" t="s">
        <v>153</v>
      </c>
      <c r="MX6" s="134" t="s">
        <v>154</v>
      </c>
      <c r="MY6" s="135" t="s">
        <v>155</v>
      </c>
      <c r="NS6" s="134" t="s">
        <v>156</v>
      </c>
      <c r="OP6" s="135" t="s">
        <v>157</v>
      </c>
      <c r="PJ6" s="134" t="s">
        <v>156</v>
      </c>
    </row>
    <row r="7" ht="15.75" customHeight="1" spans="1:449">
      <c r="A7" s="136"/>
      <c r="B7" s="162"/>
      <c r="C7" s="163"/>
      <c r="D7" s="163"/>
      <c r="E7" s="245" t="s">
        <v>158</v>
      </c>
      <c r="F7" s="245"/>
      <c r="G7" s="245"/>
      <c r="H7" s="245"/>
      <c r="I7" s="245"/>
      <c r="J7" s="245"/>
      <c r="K7" s="245"/>
      <c r="L7" s="245"/>
      <c r="M7" s="245" t="s">
        <v>158</v>
      </c>
      <c r="N7" s="245"/>
      <c r="O7" s="245"/>
      <c r="P7" s="245"/>
      <c r="Q7" s="245"/>
      <c r="R7" s="245"/>
      <c r="S7" s="245"/>
      <c r="T7" s="245"/>
      <c r="U7" s="245" t="s">
        <v>158</v>
      </c>
      <c r="V7" s="245"/>
      <c r="W7" s="245"/>
      <c r="X7" s="245"/>
      <c r="Y7" s="245"/>
      <c r="Z7" s="245"/>
      <c r="AA7" s="245"/>
      <c r="AB7" s="245"/>
      <c r="AC7" s="245" t="s">
        <v>158</v>
      </c>
      <c r="AD7" s="245"/>
      <c r="AE7" s="245"/>
      <c r="AF7" s="245"/>
      <c r="AG7" s="245"/>
      <c r="AH7" s="245"/>
      <c r="AI7" s="245"/>
      <c r="AJ7" s="245"/>
      <c r="AK7" s="245" t="s">
        <v>158</v>
      </c>
      <c r="AL7" s="245"/>
      <c r="AM7" s="245"/>
      <c r="AN7" s="245"/>
      <c r="AO7" s="245"/>
      <c r="AP7" s="245"/>
      <c r="AQ7" s="245"/>
      <c r="AR7" s="245"/>
      <c r="AS7" s="245" t="s">
        <v>158</v>
      </c>
      <c r="AT7" s="245"/>
      <c r="AU7" s="245"/>
      <c r="AV7" s="245"/>
      <c r="AW7" s="245"/>
      <c r="AX7" s="245"/>
      <c r="AY7" s="245"/>
      <c r="AZ7" s="245"/>
      <c r="BA7" s="245" t="s">
        <v>158</v>
      </c>
      <c r="BB7" s="245"/>
      <c r="BC7" s="245"/>
      <c r="BD7" s="245"/>
      <c r="BE7" s="245"/>
      <c r="BF7" s="245"/>
      <c r="BG7" s="245"/>
      <c r="BH7" s="245"/>
      <c r="BI7" s="245" t="s">
        <v>158</v>
      </c>
      <c r="BJ7" s="245"/>
      <c r="BK7" s="245"/>
      <c r="BL7" s="245"/>
      <c r="BM7" s="245"/>
      <c r="BN7" s="245"/>
      <c r="BO7" s="245"/>
      <c r="BP7" s="245"/>
      <c r="BQ7" s="245" t="s">
        <v>158</v>
      </c>
      <c r="BR7" s="245"/>
      <c r="BS7" s="245"/>
      <c r="BT7" s="245"/>
      <c r="BU7" s="245"/>
      <c r="BV7" s="245"/>
      <c r="BW7" s="245"/>
      <c r="BX7" s="245"/>
      <c r="BY7" s="245" t="s">
        <v>158</v>
      </c>
      <c r="BZ7" s="245"/>
      <c r="CA7" s="245"/>
      <c r="CB7" s="245"/>
      <c r="CC7" s="245"/>
      <c r="CD7" s="245"/>
      <c r="CE7" s="245"/>
      <c r="CF7" s="245"/>
      <c r="CG7" s="245" t="s">
        <v>158</v>
      </c>
      <c r="CH7" s="245"/>
      <c r="CI7" s="245"/>
      <c r="CJ7" s="245"/>
      <c r="CK7" s="245"/>
      <c r="CL7" s="245"/>
      <c r="CM7" s="245"/>
      <c r="CN7" s="245"/>
      <c r="CO7" s="245" t="s">
        <v>158</v>
      </c>
      <c r="CP7" s="245"/>
      <c r="CQ7" s="245"/>
      <c r="CR7" s="245"/>
      <c r="CS7" s="245"/>
      <c r="CT7" s="245"/>
      <c r="CU7" s="245"/>
      <c r="CV7" s="245"/>
      <c r="CW7" s="245" t="s">
        <v>158</v>
      </c>
      <c r="CX7" s="245"/>
      <c r="CY7" s="245"/>
      <c r="CZ7" s="245"/>
      <c r="DA7" s="245"/>
      <c r="DB7" s="245"/>
      <c r="DC7" s="245"/>
      <c r="DD7" s="245"/>
      <c r="DE7" s="245" t="s">
        <v>158</v>
      </c>
      <c r="DF7" s="245"/>
      <c r="DG7" s="245"/>
      <c r="DH7" s="245"/>
      <c r="DI7" s="245"/>
      <c r="DJ7" s="245"/>
      <c r="DK7" s="245"/>
      <c r="DL7" s="245"/>
      <c r="DM7" s="245" t="s">
        <v>158</v>
      </c>
      <c r="DN7" s="245"/>
      <c r="DO7" s="245"/>
      <c r="DP7" s="245"/>
      <c r="DQ7" s="245"/>
      <c r="DR7" s="245"/>
      <c r="DS7" s="245"/>
      <c r="DT7" s="245"/>
      <c r="DU7" s="245" t="s">
        <v>158</v>
      </c>
      <c r="DV7" s="245"/>
      <c r="DW7" s="245"/>
      <c r="DX7" s="245"/>
      <c r="DY7" s="245"/>
      <c r="DZ7" s="245"/>
      <c r="EA7" s="245"/>
      <c r="EB7" s="245"/>
      <c r="EC7" s="245" t="s">
        <v>158</v>
      </c>
      <c r="ED7" s="245"/>
      <c r="EE7" s="245"/>
      <c r="EF7" s="245"/>
      <c r="EG7" s="245"/>
      <c r="EH7" s="245"/>
      <c r="EI7" s="245"/>
      <c r="EJ7" s="245"/>
      <c r="EK7" s="245" t="s">
        <v>158</v>
      </c>
      <c r="EL7" s="245"/>
      <c r="EM7" s="245"/>
      <c r="EN7" s="245"/>
      <c r="EO7" s="245"/>
      <c r="EP7" s="245"/>
      <c r="EQ7" s="245"/>
      <c r="ER7" s="245"/>
      <c r="ES7" s="245" t="s">
        <v>158</v>
      </c>
      <c r="ET7" s="245"/>
      <c r="EU7" s="245"/>
      <c r="EV7" s="245"/>
      <c r="EW7" s="245"/>
      <c r="EX7" s="245"/>
      <c r="EY7" s="245"/>
      <c r="EZ7" s="245"/>
      <c r="FA7" s="245" t="s">
        <v>158</v>
      </c>
      <c r="FB7" s="245"/>
      <c r="FC7" s="245"/>
      <c r="FD7" s="245"/>
      <c r="FE7" s="245"/>
      <c r="FF7" s="245"/>
      <c r="FG7" s="245"/>
      <c r="FH7" s="245"/>
      <c r="FI7" s="289"/>
      <c r="FJ7" s="289"/>
      <c r="FK7" s="289"/>
      <c r="FL7" s="289"/>
      <c r="FM7" s="289"/>
      <c r="FN7" s="307"/>
      <c r="FO7" s="304"/>
      <c r="FQ7" s="305"/>
      <c r="FR7" s="306"/>
      <c r="FS7" s="306"/>
      <c r="FT7" s="308"/>
      <c r="FU7" s="308"/>
      <c r="FV7" s="308"/>
      <c r="FW7" s="308"/>
      <c r="FX7" s="308"/>
      <c r="FY7" s="308"/>
      <c r="FZ7" s="308"/>
      <c r="GA7" s="308"/>
      <c r="GB7" s="308"/>
      <c r="GC7" s="308"/>
      <c r="GD7" s="308"/>
      <c r="GE7" s="308"/>
      <c r="GF7" s="308"/>
      <c r="GG7" s="308"/>
      <c r="GH7" s="308"/>
      <c r="GI7" s="308"/>
      <c r="GJ7" s="308"/>
      <c r="GK7" s="308"/>
      <c r="GL7" s="308"/>
      <c r="GM7" s="308"/>
      <c r="GN7" s="308"/>
      <c r="GO7" s="308"/>
      <c r="GP7" s="308"/>
      <c r="GQ7" s="308"/>
      <c r="GR7" s="308"/>
      <c r="GS7" s="308"/>
      <c r="GT7" s="308"/>
      <c r="GU7" s="308"/>
      <c r="GV7" s="308"/>
      <c r="GW7" s="308"/>
      <c r="GX7" s="308"/>
      <c r="GY7" s="308"/>
      <c r="GZ7" s="308"/>
      <c r="HA7" s="308"/>
      <c r="HB7" s="308"/>
      <c r="HC7" s="308"/>
      <c r="HD7" s="308"/>
      <c r="HE7" s="308"/>
      <c r="HF7" s="308"/>
      <c r="HG7" s="308"/>
      <c r="HH7" s="308"/>
      <c r="HI7" s="308"/>
      <c r="HJ7" s="308"/>
      <c r="HK7" s="308"/>
      <c r="HL7" s="308"/>
      <c r="HM7" s="308"/>
      <c r="HN7" s="308"/>
      <c r="HO7" s="308"/>
      <c r="HP7" s="308"/>
      <c r="HQ7" s="308"/>
      <c r="HR7" s="308"/>
      <c r="HS7" s="308"/>
      <c r="HT7" s="308"/>
      <c r="HU7" s="308"/>
      <c r="HV7" s="308"/>
      <c r="HW7" s="308"/>
      <c r="HX7" s="308"/>
      <c r="HY7" s="308"/>
      <c r="HZ7" s="308"/>
      <c r="IA7" s="308"/>
      <c r="IB7" s="308"/>
      <c r="IC7" s="308"/>
      <c r="ID7" s="308"/>
      <c r="IE7" s="308"/>
      <c r="IF7" s="308"/>
      <c r="IG7" s="308"/>
      <c r="IH7" s="308"/>
      <c r="II7" s="308"/>
      <c r="IJ7" s="308"/>
      <c r="IK7" s="308"/>
      <c r="IL7" s="308"/>
      <c r="IM7" s="308"/>
      <c r="IN7" s="308"/>
      <c r="IO7" s="308"/>
      <c r="IP7" s="308"/>
      <c r="IQ7" s="308"/>
      <c r="IR7" s="308"/>
      <c r="IS7" s="308"/>
      <c r="IT7" s="308"/>
      <c r="IU7" s="308"/>
      <c r="IV7" s="308"/>
      <c r="IW7" s="308"/>
      <c r="IX7" s="308"/>
      <c r="IY7" s="308"/>
      <c r="IZ7" s="308"/>
      <c r="JA7" s="308"/>
      <c r="JB7" s="308"/>
      <c r="JC7" s="308"/>
      <c r="JD7" s="308"/>
      <c r="JE7" s="308"/>
      <c r="JF7" s="308"/>
      <c r="JG7" s="308"/>
      <c r="JH7" s="308"/>
      <c r="JI7" s="308"/>
      <c r="JJ7" s="308"/>
      <c r="JK7" s="308"/>
      <c r="JL7" s="308"/>
      <c r="JM7" s="308"/>
      <c r="JN7" s="308"/>
      <c r="JO7" s="308"/>
      <c r="JP7" s="308"/>
      <c r="JQ7" s="308"/>
      <c r="JR7" s="308"/>
      <c r="JS7" s="308"/>
      <c r="JT7" s="308"/>
      <c r="JU7" s="308"/>
      <c r="JV7" s="308"/>
      <c r="JW7" s="308"/>
      <c r="JX7" s="308"/>
      <c r="JY7" s="308"/>
      <c r="JZ7" s="308"/>
      <c r="KA7" s="308"/>
      <c r="KB7" s="308"/>
      <c r="KC7" s="308"/>
      <c r="KD7" s="308"/>
      <c r="KE7" s="308"/>
      <c r="KF7" s="308"/>
      <c r="KG7" s="336"/>
      <c r="KH7" s="337"/>
      <c r="KI7" s="335"/>
      <c r="KJ7" s="335"/>
      <c r="KK7" s="335"/>
      <c r="KL7" s="335"/>
      <c r="KM7" s="335"/>
      <c r="KN7" s="335"/>
      <c r="KO7" s="335"/>
      <c r="KP7" s="335"/>
      <c r="KQ7" s="335"/>
      <c r="KR7" s="335"/>
      <c r="KS7" s="335"/>
      <c r="KT7" s="335"/>
      <c r="KU7" s="335"/>
      <c r="KV7" s="335"/>
      <c r="KW7" s="335"/>
      <c r="KX7" s="335"/>
      <c r="KY7" s="335"/>
      <c r="KZ7" s="335"/>
      <c r="LA7" s="335"/>
      <c r="LB7" s="335"/>
      <c r="LC7" s="335"/>
      <c r="LE7" s="227"/>
      <c r="LF7" s="227"/>
      <c r="LG7" s="227"/>
      <c r="LH7" s="227"/>
      <c r="LI7" s="227"/>
      <c r="LJ7" s="227"/>
      <c r="LK7" s="227"/>
      <c r="LL7" s="227"/>
      <c r="LM7" s="227"/>
      <c r="LN7" s="227"/>
      <c r="LO7" s="227"/>
      <c r="LP7" s="227"/>
      <c r="LQ7" s="227"/>
      <c r="LR7" s="227"/>
      <c r="LS7" s="227"/>
      <c r="LT7" s="227"/>
      <c r="LU7" s="227"/>
      <c r="LV7" s="227"/>
      <c r="LW7" s="227"/>
      <c r="LX7" s="227"/>
      <c r="LY7" s="227"/>
      <c r="LZ7" s="227"/>
      <c r="MA7" s="227"/>
      <c r="MB7" s="227"/>
      <c r="MC7" s="227"/>
      <c r="MD7" s="227"/>
      <c r="ME7" s="227"/>
      <c r="MF7" s="227"/>
      <c r="MG7" s="227"/>
      <c r="MH7" s="227"/>
      <c r="MI7" s="227"/>
      <c r="MJ7" s="227"/>
      <c r="MK7" s="227"/>
      <c r="ML7" s="227"/>
      <c r="MM7" s="227"/>
      <c r="MN7" s="227"/>
      <c r="MO7" s="227"/>
      <c r="MP7" s="227"/>
      <c r="MQ7" s="227"/>
      <c r="MR7" s="227"/>
      <c r="MS7" s="227"/>
      <c r="MT7" s="227"/>
      <c r="MU7" s="227"/>
      <c r="MW7" s="227"/>
      <c r="MY7" s="230">
        <v>1</v>
      </c>
      <c r="MZ7" s="230">
        <v>2</v>
      </c>
      <c r="NA7" s="230">
        <v>3</v>
      </c>
      <c r="NB7" s="230">
        <v>4</v>
      </c>
      <c r="NC7" s="230">
        <v>5</v>
      </c>
      <c r="ND7" s="230">
        <v>6</v>
      </c>
      <c r="NE7" s="230">
        <v>7</v>
      </c>
      <c r="NF7" s="230">
        <v>8</v>
      </c>
      <c r="NG7" s="230">
        <v>9</v>
      </c>
      <c r="NH7" s="230">
        <v>10</v>
      </c>
      <c r="NI7" s="230">
        <v>11</v>
      </c>
      <c r="NJ7" s="230">
        <v>12</v>
      </c>
      <c r="NK7" s="230">
        <v>13</v>
      </c>
      <c r="NL7" s="230">
        <v>14</v>
      </c>
      <c r="NM7" s="230">
        <v>15</v>
      </c>
      <c r="NN7" s="230">
        <v>16</v>
      </c>
      <c r="NO7" s="230">
        <v>17</v>
      </c>
      <c r="NP7" s="230">
        <v>18</v>
      </c>
      <c r="NQ7" s="230">
        <v>19</v>
      </c>
      <c r="NR7" s="230">
        <v>20</v>
      </c>
      <c r="NS7" s="230">
        <v>1</v>
      </c>
      <c r="NT7" s="230">
        <v>2</v>
      </c>
      <c r="NU7" s="230">
        <v>3</v>
      </c>
      <c r="NV7" s="230">
        <v>4</v>
      </c>
      <c r="NW7" s="230">
        <v>5</v>
      </c>
      <c r="NX7" s="230">
        <v>6</v>
      </c>
      <c r="NY7" s="230">
        <v>7</v>
      </c>
      <c r="NZ7" s="230">
        <v>8</v>
      </c>
      <c r="OA7" s="230">
        <v>9</v>
      </c>
      <c r="OB7" s="230">
        <v>10</v>
      </c>
      <c r="OC7" s="230">
        <v>11</v>
      </c>
      <c r="OD7" s="230">
        <v>12</v>
      </c>
      <c r="OE7" s="230">
        <v>13</v>
      </c>
      <c r="OF7" s="230">
        <v>14</v>
      </c>
      <c r="OG7" s="230">
        <v>15</v>
      </c>
      <c r="OH7" s="230">
        <v>16</v>
      </c>
      <c r="OI7" s="230">
        <v>17</v>
      </c>
      <c r="OJ7" s="230">
        <v>18</v>
      </c>
      <c r="OK7" s="230">
        <v>19</v>
      </c>
      <c r="OL7" s="230">
        <v>20</v>
      </c>
      <c r="OM7" s="236" t="s">
        <v>159</v>
      </c>
      <c r="ON7" s="236"/>
      <c r="OO7" s="134" t="s">
        <v>160</v>
      </c>
      <c r="OP7" s="230">
        <v>1</v>
      </c>
      <c r="OQ7" s="230">
        <v>2</v>
      </c>
      <c r="OR7" s="230">
        <v>3</v>
      </c>
      <c r="OS7" s="230">
        <v>4</v>
      </c>
      <c r="OT7" s="230">
        <v>5</v>
      </c>
      <c r="OU7" s="230">
        <v>6</v>
      </c>
      <c r="OV7" s="230">
        <v>7</v>
      </c>
      <c r="OW7" s="230">
        <v>8</v>
      </c>
      <c r="OX7" s="230">
        <v>9</v>
      </c>
      <c r="OY7" s="230">
        <v>10</v>
      </c>
      <c r="OZ7" s="230">
        <v>11</v>
      </c>
      <c r="PA7" s="230">
        <v>12</v>
      </c>
      <c r="PB7" s="230">
        <v>13</v>
      </c>
      <c r="PC7" s="230">
        <v>14</v>
      </c>
      <c r="PD7" s="230">
        <v>15</v>
      </c>
      <c r="PE7" s="230">
        <v>16</v>
      </c>
      <c r="PF7" s="230">
        <v>17</v>
      </c>
      <c r="PG7" s="230">
        <v>18</v>
      </c>
      <c r="PH7" s="230">
        <v>19</v>
      </c>
      <c r="PI7" s="230">
        <v>20</v>
      </c>
      <c r="PJ7" s="230">
        <v>1</v>
      </c>
      <c r="PK7" s="230">
        <v>2</v>
      </c>
      <c r="PL7" s="230">
        <v>3</v>
      </c>
      <c r="PM7" s="230">
        <v>4</v>
      </c>
      <c r="PN7" s="230">
        <v>5</v>
      </c>
      <c r="PO7" s="230">
        <v>6</v>
      </c>
      <c r="PP7" s="230">
        <v>7</v>
      </c>
      <c r="PQ7" s="230">
        <v>8</v>
      </c>
      <c r="PR7" s="230">
        <v>9</v>
      </c>
      <c r="PS7" s="230">
        <v>10</v>
      </c>
      <c r="PT7" s="230">
        <v>11</v>
      </c>
      <c r="PU7" s="230">
        <v>12</v>
      </c>
      <c r="PV7" s="230">
        <v>13</v>
      </c>
      <c r="PW7" s="230">
        <v>14</v>
      </c>
      <c r="PX7" s="230">
        <v>15</v>
      </c>
      <c r="PY7" s="230">
        <v>16</v>
      </c>
      <c r="PZ7" s="230">
        <v>17</v>
      </c>
      <c r="QA7" s="230">
        <v>18</v>
      </c>
      <c r="QB7" s="230">
        <v>19</v>
      </c>
      <c r="QC7" s="230">
        <v>20</v>
      </c>
      <c r="QD7" s="236" t="s">
        <v>161</v>
      </c>
      <c r="QE7" s="236"/>
      <c r="QF7" s="134" t="s">
        <v>160</v>
      </c>
      <c r="QG7" s="134" t="s">
        <v>162</v>
      </c>
    </row>
    <row r="8" ht="16.5" spans="1:447">
      <c r="A8" s="136"/>
      <c r="B8" s="168"/>
      <c r="C8" s="169"/>
      <c r="D8" s="169"/>
      <c r="E8" s="246" t="s">
        <v>163</v>
      </c>
      <c r="F8" s="246" t="s">
        <v>164</v>
      </c>
      <c r="G8" s="247" t="s">
        <v>165</v>
      </c>
      <c r="H8" s="247" t="s">
        <v>166</v>
      </c>
      <c r="I8" s="247" t="s">
        <v>167</v>
      </c>
      <c r="J8" s="246" t="s">
        <v>168</v>
      </c>
      <c r="K8" s="247" t="s">
        <v>169</v>
      </c>
      <c r="L8" s="261" t="s">
        <v>123</v>
      </c>
      <c r="M8" s="247" t="s">
        <v>163</v>
      </c>
      <c r="N8" s="247" t="s">
        <v>164</v>
      </c>
      <c r="O8" s="247" t="s">
        <v>165</v>
      </c>
      <c r="P8" s="247" t="s">
        <v>166</v>
      </c>
      <c r="Q8" s="247" t="s">
        <v>167</v>
      </c>
      <c r="R8" s="247" t="s">
        <v>168</v>
      </c>
      <c r="S8" s="247" t="s">
        <v>169</v>
      </c>
      <c r="T8" s="261" t="s">
        <v>123</v>
      </c>
      <c r="U8" s="247" t="s">
        <v>163</v>
      </c>
      <c r="V8" s="247" t="s">
        <v>164</v>
      </c>
      <c r="W8" s="247" t="s">
        <v>165</v>
      </c>
      <c r="X8" s="247" t="s">
        <v>166</v>
      </c>
      <c r="Y8" s="247" t="s">
        <v>167</v>
      </c>
      <c r="Z8" s="247" t="s">
        <v>168</v>
      </c>
      <c r="AA8" s="247" t="s">
        <v>169</v>
      </c>
      <c r="AB8" s="261" t="s">
        <v>123</v>
      </c>
      <c r="AC8" s="247" t="s">
        <v>163</v>
      </c>
      <c r="AD8" s="247" t="s">
        <v>164</v>
      </c>
      <c r="AE8" s="247" t="s">
        <v>165</v>
      </c>
      <c r="AF8" s="247" t="s">
        <v>166</v>
      </c>
      <c r="AG8" s="247" t="s">
        <v>167</v>
      </c>
      <c r="AH8" s="247" t="s">
        <v>168</v>
      </c>
      <c r="AI8" s="247" t="s">
        <v>169</v>
      </c>
      <c r="AJ8" s="261" t="s">
        <v>123</v>
      </c>
      <c r="AK8" s="247" t="s">
        <v>163</v>
      </c>
      <c r="AL8" s="247" t="s">
        <v>164</v>
      </c>
      <c r="AM8" s="247" t="s">
        <v>165</v>
      </c>
      <c r="AN8" s="247" t="s">
        <v>166</v>
      </c>
      <c r="AO8" s="247" t="s">
        <v>167</v>
      </c>
      <c r="AP8" s="247" t="s">
        <v>168</v>
      </c>
      <c r="AQ8" s="247" t="s">
        <v>169</v>
      </c>
      <c r="AR8" s="261" t="s">
        <v>123</v>
      </c>
      <c r="AS8" s="247" t="s">
        <v>163</v>
      </c>
      <c r="AT8" s="247" t="s">
        <v>164</v>
      </c>
      <c r="AU8" s="247" t="s">
        <v>165</v>
      </c>
      <c r="AV8" s="247" t="s">
        <v>166</v>
      </c>
      <c r="AW8" s="247" t="s">
        <v>167</v>
      </c>
      <c r="AX8" s="247" t="s">
        <v>168</v>
      </c>
      <c r="AY8" s="247" t="s">
        <v>169</v>
      </c>
      <c r="AZ8" s="261" t="s">
        <v>123</v>
      </c>
      <c r="BA8" s="247" t="s">
        <v>163</v>
      </c>
      <c r="BB8" s="247" t="s">
        <v>164</v>
      </c>
      <c r="BC8" s="247" t="s">
        <v>165</v>
      </c>
      <c r="BD8" s="247" t="s">
        <v>166</v>
      </c>
      <c r="BE8" s="247" t="s">
        <v>167</v>
      </c>
      <c r="BF8" s="247" t="s">
        <v>168</v>
      </c>
      <c r="BG8" s="247" t="s">
        <v>169</v>
      </c>
      <c r="BH8" s="261" t="s">
        <v>123</v>
      </c>
      <c r="BI8" s="247" t="s">
        <v>163</v>
      </c>
      <c r="BJ8" s="247" t="s">
        <v>164</v>
      </c>
      <c r="BK8" s="247" t="s">
        <v>165</v>
      </c>
      <c r="BL8" s="247" t="s">
        <v>166</v>
      </c>
      <c r="BM8" s="247" t="s">
        <v>167</v>
      </c>
      <c r="BN8" s="247" t="s">
        <v>168</v>
      </c>
      <c r="BO8" s="247" t="s">
        <v>169</v>
      </c>
      <c r="BP8" s="261" t="s">
        <v>123</v>
      </c>
      <c r="BQ8" s="247" t="s">
        <v>163</v>
      </c>
      <c r="BR8" s="247" t="s">
        <v>164</v>
      </c>
      <c r="BS8" s="247" t="s">
        <v>165</v>
      </c>
      <c r="BT8" s="247" t="s">
        <v>166</v>
      </c>
      <c r="BU8" s="247" t="s">
        <v>167</v>
      </c>
      <c r="BV8" s="247" t="s">
        <v>168</v>
      </c>
      <c r="BW8" s="247" t="s">
        <v>169</v>
      </c>
      <c r="BX8" s="261" t="s">
        <v>123</v>
      </c>
      <c r="BY8" s="247" t="s">
        <v>163</v>
      </c>
      <c r="BZ8" s="247" t="s">
        <v>164</v>
      </c>
      <c r="CA8" s="247" t="s">
        <v>165</v>
      </c>
      <c r="CB8" s="247" t="s">
        <v>166</v>
      </c>
      <c r="CC8" s="247" t="s">
        <v>167</v>
      </c>
      <c r="CD8" s="247" t="s">
        <v>168</v>
      </c>
      <c r="CE8" s="247" t="s">
        <v>169</v>
      </c>
      <c r="CF8" s="261" t="s">
        <v>123</v>
      </c>
      <c r="CG8" s="247" t="s">
        <v>163</v>
      </c>
      <c r="CH8" s="247" t="s">
        <v>164</v>
      </c>
      <c r="CI8" s="247" t="s">
        <v>165</v>
      </c>
      <c r="CJ8" s="247" t="s">
        <v>166</v>
      </c>
      <c r="CK8" s="247" t="s">
        <v>167</v>
      </c>
      <c r="CL8" s="247" t="s">
        <v>168</v>
      </c>
      <c r="CM8" s="247" t="s">
        <v>169</v>
      </c>
      <c r="CN8" s="261" t="s">
        <v>123</v>
      </c>
      <c r="CO8" s="247" t="s">
        <v>163</v>
      </c>
      <c r="CP8" s="247" t="s">
        <v>164</v>
      </c>
      <c r="CQ8" s="247" t="s">
        <v>165</v>
      </c>
      <c r="CR8" s="247" t="s">
        <v>166</v>
      </c>
      <c r="CS8" s="247" t="s">
        <v>167</v>
      </c>
      <c r="CT8" s="247" t="s">
        <v>168</v>
      </c>
      <c r="CU8" s="247" t="s">
        <v>169</v>
      </c>
      <c r="CV8" s="261" t="s">
        <v>123</v>
      </c>
      <c r="CW8" s="247" t="s">
        <v>163</v>
      </c>
      <c r="CX8" s="247" t="s">
        <v>164</v>
      </c>
      <c r="CY8" s="247" t="s">
        <v>165</v>
      </c>
      <c r="CZ8" s="247" t="s">
        <v>166</v>
      </c>
      <c r="DA8" s="247" t="s">
        <v>167</v>
      </c>
      <c r="DB8" s="247" t="s">
        <v>168</v>
      </c>
      <c r="DC8" s="247" t="s">
        <v>169</v>
      </c>
      <c r="DD8" s="261" t="s">
        <v>123</v>
      </c>
      <c r="DE8" s="247" t="s">
        <v>163</v>
      </c>
      <c r="DF8" s="247" t="s">
        <v>164</v>
      </c>
      <c r="DG8" s="247" t="s">
        <v>165</v>
      </c>
      <c r="DH8" s="247" t="s">
        <v>166</v>
      </c>
      <c r="DI8" s="247" t="s">
        <v>167</v>
      </c>
      <c r="DJ8" s="247" t="s">
        <v>168</v>
      </c>
      <c r="DK8" s="247" t="s">
        <v>169</v>
      </c>
      <c r="DL8" s="261" t="s">
        <v>123</v>
      </c>
      <c r="DM8" s="247" t="s">
        <v>163</v>
      </c>
      <c r="DN8" s="247" t="s">
        <v>164</v>
      </c>
      <c r="DO8" s="247" t="s">
        <v>165</v>
      </c>
      <c r="DP8" s="247" t="s">
        <v>166</v>
      </c>
      <c r="DQ8" s="247" t="s">
        <v>167</v>
      </c>
      <c r="DR8" s="247" t="s">
        <v>168</v>
      </c>
      <c r="DS8" s="247" t="s">
        <v>169</v>
      </c>
      <c r="DT8" s="261" t="s">
        <v>123</v>
      </c>
      <c r="DU8" s="247" t="s">
        <v>163</v>
      </c>
      <c r="DV8" s="247" t="s">
        <v>164</v>
      </c>
      <c r="DW8" s="247" t="s">
        <v>165</v>
      </c>
      <c r="DX8" s="247" t="s">
        <v>166</v>
      </c>
      <c r="DY8" s="247" t="s">
        <v>167</v>
      </c>
      <c r="DZ8" s="247" t="s">
        <v>168</v>
      </c>
      <c r="EA8" s="247" t="s">
        <v>169</v>
      </c>
      <c r="EB8" s="261" t="s">
        <v>123</v>
      </c>
      <c r="EC8" s="247" t="s">
        <v>163</v>
      </c>
      <c r="ED8" s="247" t="s">
        <v>164</v>
      </c>
      <c r="EE8" s="247" t="s">
        <v>165</v>
      </c>
      <c r="EF8" s="247" t="s">
        <v>166</v>
      </c>
      <c r="EG8" s="247" t="s">
        <v>167</v>
      </c>
      <c r="EH8" s="247" t="s">
        <v>168</v>
      </c>
      <c r="EI8" s="247" t="s">
        <v>169</v>
      </c>
      <c r="EJ8" s="261" t="s">
        <v>123</v>
      </c>
      <c r="EK8" s="247" t="s">
        <v>163</v>
      </c>
      <c r="EL8" s="247" t="s">
        <v>164</v>
      </c>
      <c r="EM8" s="247" t="s">
        <v>165</v>
      </c>
      <c r="EN8" s="247" t="s">
        <v>166</v>
      </c>
      <c r="EO8" s="247" t="s">
        <v>167</v>
      </c>
      <c r="EP8" s="247" t="s">
        <v>168</v>
      </c>
      <c r="EQ8" s="247" t="s">
        <v>169</v>
      </c>
      <c r="ER8" s="261" t="s">
        <v>123</v>
      </c>
      <c r="ES8" s="247" t="s">
        <v>163</v>
      </c>
      <c r="ET8" s="247" t="s">
        <v>164</v>
      </c>
      <c r="EU8" s="247" t="s">
        <v>165</v>
      </c>
      <c r="EV8" s="247" t="s">
        <v>166</v>
      </c>
      <c r="EW8" s="247" t="s">
        <v>167</v>
      </c>
      <c r="EX8" s="247" t="s">
        <v>168</v>
      </c>
      <c r="EY8" s="247" t="s">
        <v>169</v>
      </c>
      <c r="EZ8" s="261" t="s">
        <v>123</v>
      </c>
      <c r="FA8" s="247" t="s">
        <v>163</v>
      </c>
      <c r="FB8" s="247" t="s">
        <v>164</v>
      </c>
      <c r="FC8" s="247" t="s">
        <v>165</v>
      </c>
      <c r="FD8" s="247" t="s">
        <v>166</v>
      </c>
      <c r="FE8" s="247" t="s">
        <v>167</v>
      </c>
      <c r="FF8" s="247" t="s">
        <v>168</v>
      </c>
      <c r="FG8" s="247" t="s">
        <v>169</v>
      </c>
      <c r="FH8" s="261" t="s">
        <v>123</v>
      </c>
      <c r="FI8" s="290"/>
      <c r="FJ8" s="290"/>
      <c r="FK8" s="290"/>
      <c r="FL8" s="290"/>
      <c r="FM8" s="290"/>
      <c r="FN8" s="309"/>
      <c r="FO8" s="304"/>
      <c r="FQ8" s="310" t="s">
        <v>170</v>
      </c>
      <c r="FR8" s="310" t="s">
        <v>170</v>
      </c>
      <c r="FS8" s="310" t="s">
        <v>170</v>
      </c>
      <c r="FT8" s="311" t="s">
        <v>171</v>
      </c>
      <c r="FU8" s="311"/>
      <c r="FV8" s="311" t="s">
        <v>172</v>
      </c>
      <c r="FW8" s="171" t="s">
        <v>170</v>
      </c>
      <c r="FX8" s="171" t="s">
        <v>170</v>
      </c>
      <c r="FY8" s="171" t="s">
        <v>170</v>
      </c>
      <c r="FZ8" s="311" t="s">
        <v>171</v>
      </c>
      <c r="GA8" s="311"/>
      <c r="GB8" s="311" t="s">
        <v>173</v>
      </c>
      <c r="GC8" s="171" t="s">
        <v>170</v>
      </c>
      <c r="GD8" s="171" t="s">
        <v>170</v>
      </c>
      <c r="GE8" s="171" t="s">
        <v>170</v>
      </c>
      <c r="GF8" s="311" t="s">
        <v>171</v>
      </c>
      <c r="GG8" s="311"/>
      <c r="GH8" s="311" t="s">
        <v>174</v>
      </c>
      <c r="GI8" s="171" t="s">
        <v>170</v>
      </c>
      <c r="GJ8" s="171" t="s">
        <v>170</v>
      </c>
      <c r="GK8" s="171" t="s">
        <v>170</v>
      </c>
      <c r="GL8" s="311" t="s">
        <v>171</v>
      </c>
      <c r="GM8" s="311"/>
      <c r="GN8" s="311" t="s">
        <v>175</v>
      </c>
      <c r="GO8" s="171" t="s">
        <v>170</v>
      </c>
      <c r="GP8" s="171" t="s">
        <v>170</v>
      </c>
      <c r="GQ8" s="171" t="s">
        <v>170</v>
      </c>
      <c r="GR8" s="311" t="s">
        <v>171</v>
      </c>
      <c r="GS8" s="311"/>
      <c r="GT8" s="311" t="s">
        <v>176</v>
      </c>
      <c r="GU8" s="171" t="s">
        <v>170</v>
      </c>
      <c r="GV8" s="171" t="s">
        <v>170</v>
      </c>
      <c r="GW8" s="171" t="s">
        <v>170</v>
      </c>
      <c r="GX8" s="311" t="s">
        <v>171</v>
      </c>
      <c r="GY8" s="311"/>
      <c r="GZ8" s="311" t="s">
        <v>177</v>
      </c>
      <c r="HA8" s="171" t="s">
        <v>170</v>
      </c>
      <c r="HB8" s="171" t="s">
        <v>170</v>
      </c>
      <c r="HC8" s="171" t="s">
        <v>170</v>
      </c>
      <c r="HD8" s="311" t="s">
        <v>171</v>
      </c>
      <c r="HE8" s="311"/>
      <c r="HF8" s="311" t="s">
        <v>178</v>
      </c>
      <c r="HG8" s="171" t="s">
        <v>170</v>
      </c>
      <c r="HH8" s="171" t="s">
        <v>170</v>
      </c>
      <c r="HI8" s="171" t="s">
        <v>170</v>
      </c>
      <c r="HJ8" s="311" t="s">
        <v>171</v>
      </c>
      <c r="HK8" s="311"/>
      <c r="HL8" s="311" t="s">
        <v>179</v>
      </c>
      <c r="HM8" s="171" t="s">
        <v>170</v>
      </c>
      <c r="HN8" s="171" t="s">
        <v>170</v>
      </c>
      <c r="HO8" s="171" t="s">
        <v>170</v>
      </c>
      <c r="HP8" s="311" t="s">
        <v>171</v>
      </c>
      <c r="HQ8" s="311"/>
      <c r="HR8" s="311" t="s">
        <v>180</v>
      </c>
      <c r="HS8" s="171" t="s">
        <v>170</v>
      </c>
      <c r="HT8" s="171" t="s">
        <v>170</v>
      </c>
      <c r="HU8" s="171" t="s">
        <v>170</v>
      </c>
      <c r="HV8" s="311" t="s">
        <v>171</v>
      </c>
      <c r="HW8" s="311"/>
      <c r="HX8" s="311" t="s">
        <v>181</v>
      </c>
      <c r="HY8" s="171" t="s">
        <v>170</v>
      </c>
      <c r="HZ8" s="171" t="s">
        <v>170</v>
      </c>
      <c r="IA8" s="171" t="s">
        <v>170</v>
      </c>
      <c r="IB8" s="311" t="s">
        <v>171</v>
      </c>
      <c r="IC8" s="311"/>
      <c r="ID8" s="311" t="s">
        <v>182</v>
      </c>
      <c r="IE8" s="171" t="s">
        <v>170</v>
      </c>
      <c r="IF8" s="171" t="s">
        <v>170</v>
      </c>
      <c r="IG8" s="171" t="s">
        <v>170</v>
      </c>
      <c r="IH8" s="311" t="s">
        <v>171</v>
      </c>
      <c r="II8" s="311"/>
      <c r="IJ8" s="311" t="s">
        <v>183</v>
      </c>
      <c r="IK8" s="171" t="s">
        <v>170</v>
      </c>
      <c r="IL8" s="171" t="s">
        <v>170</v>
      </c>
      <c r="IM8" s="171" t="s">
        <v>170</v>
      </c>
      <c r="IN8" s="311" t="s">
        <v>171</v>
      </c>
      <c r="IO8" s="311"/>
      <c r="IP8" s="311" t="s">
        <v>184</v>
      </c>
      <c r="IQ8" s="171" t="s">
        <v>170</v>
      </c>
      <c r="IR8" s="171" t="s">
        <v>170</v>
      </c>
      <c r="IS8" s="171" t="s">
        <v>170</v>
      </c>
      <c r="IT8" s="311" t="s">
        <v>171</v>
      </c>
      <c r="IU8" s="311"/>
      <c r="IV8" s="311" t="s">
        <v>185</v>
      </c>
      <c r="IW8" s="171" t="s">
        <v>170</v>
      </c>
      <c r="IX8" s="171" t="s">
        <v>170</v>
      </c>
      <c r="IY8" s="171" t="s">
        <v>170</v>
      </c>
      <c r="IZ8" s="311" t="s">
        <v>171</v>
      </c>
      <c r="JA8" s="311"/>
      <c r="JB8" s="311" t="s">
        <v>186</v>
      </c>
      <c r="JC8" s="171" t="s">
        <v>170</v>
      </c>
      <c r="JD8" s="171" t="s">
        <v>170</v>
      </c>
      <c r="JE8" s="171" t="s">
        <v>170</v>
      </c>
      <c r="JF8" s="311" t="s">
        <v>171</v>
      </c>
      <c r="JG8" s="311"/>
      <c r="JH8" s="311" t="s">
        <v>186</v>
      </c>
      <c r="JI8" s="171" t="s">
        <v>170</v>
      </c>
      <c r="JJ8" s="171" t="s">
        <v>170</v>
      </c>
      <c r="JK8" s="171" t="s">
        <v>170</v>
      </c>
      <c r="JL8" s="311" t="s">
        <v>171</v>
      </c>
      <c r="JM8" s="311"/>
      <c r="JN8" s="311" t="s">
        <v>186</v>
      </c>
      <c r="JO8" s="171" t="s">
        <v>170</v>
      </c>
      <c r="JP8" s="171" t="s">
        <v>170</v>
      </c>
      <c r="JQ8" s="171" t="s">
        <v>170</v>
      </c>
      <c r="JR8" s="311" t="s">
        <v>171</v>
      </c>
      <c r="JS8" s="311"/>
      <c r="JT8" s="311" t="s">
        <v>186</v>
      </c>
      <c r="JU8" s="171" t="s">
        <v>170</v>
      </c>
      <c r="JV8" s="171" t="s">
        <v>170</v>
      </c>
      <c r="JW8" s="171" t="s">
        <v>170</v>
      </c>
      <c r="JX8" s="311" t="s">
        <v>171</v>
      </c>
      <c r="JY8" s="311"/>
      <c r="JZ8" s="311" t="s">
        <v>186</v>
      </c>
      <c r="KA8" s="171" t="s">
        <v>170</v>
      </c>
      <c r="KB8" s="171" t="s">
        <v>170</v>
      </c>
      <c r="KC8" s="171" t="s">
        <v>170</v>
      </c>
      <c r="KD8" s="311" t="s">
        <v>171</v>
      </c>
      <c r="KE8" s="311"/>
      <c r="KF8" s="311" t="s">
        <v>186</v>
      </c>
      <c r="KG8" s="338"/>
      <c r="KH8" s="339"/>
      <c r="KI8" s="335"/>
      <c r="KJ8" s="335"/>
      <c r="KK8" s="335"/>
      <c r="KL8" s="335"/>
      <c r="KM8" s="335"/>
      <c r="KN8" s="335"/>
      <c r="KO8" s="335"/>
      <c r="KP8" s="335"/>
      <c r="KQ8" s="335"/>
      <c r="KR8" s="335"/>
      <c r="KS8" s="335"/>
      <c r="KT8" s="335"/>
      <c r="KU8" s="335"/>
      <c r="KV8" s="335"/>
      <c r="KW8" s="335"/>
      <c r="KX8" s="335"/>
      <c r="KY8" s="335"/>
      <c r="KZ8" s="335"/>
      <c r="LA8" s="335"/>
      <c r="LB8" s="335"/>
      <c r="LC8" s="335"/>
      <c r="LY8" s="134" t="str">
        <f>E6</f>
        <v>jenis, sifat, karakter dan teknik pengolahan kerang, kaca, keramik dan botol plastik</v>
      </c>
      <c r="LZ8" s="134" t="str">
        <f>M6</f>
        <v>prinsip perancangan, pembuatan dan penyajian produk kerajinan kerang, kaca, keramik dan botol plastik yang kreatif dan inovatif</v>
      </c>
      <c r="MA8" s="134" t="str">
        <f>U6</f>
        <v/>
      </c>
      <c r="MB8" s="134" t="str">
        <f>AC6</f>
        <v/>
      </c>
      <c r="MC8" s="134" t="str">
        <f>AK6</f>
        <v/>
      </c>
      <c r="MD8" s="134" t="str">
        <f>AS6</f>
        <v/>
      </c>
      <c r="ME8" s="134" t="str">
        <f>BA6</f>
        <v/>
      </c>
      <c r="MF8" s="134" t="str">
        <f>BI6</f>
        <v/>
      </c>
      <c r="MG8" s="134" t="str">
        <f>BQ6</f>
        <v/>
      </c>
      <c r="MH8" s="134" t="str">
        <f>BY6</f>
        <v/>
      </c>
      <c r="MI8" s="134" t="str">
        <f>CG6</f>
        <v/>
      </c>
      <c r="MJ8" s="134" t="str">
        <f>CO6</f>
        <v/>
      </c>
      <c r="MK8" s="134" t="str">
        <f>CW6</f>
        <v/>
      </c>
      <c r="ML8" s="134" t="str">
        <f>DE6</f>
        <v/>
      </c>
      <c r="MM8" s="134" t="str">
        <f>DM6</f>
        <v/>
      </c>
      <c r="MN8" s="134" t="str">
        <f>JC6</f>
        <v/>
      </c>
      <c r="MO8" s="134" t="str">
        <f>JI6</f>
        <v/>
      </c>
      <c r="MP8" s="134" t="str">
        <f>JO6</f>
        <v/>
      </c>
      <c r="MQ8" s="134" t="str">
        <f>JU6</f>
        <v/>
      </c>
      <c r="MR8" s="134" t="str">
        <f>KA6</f>
        <v/>
      </c>
      <c r="MY8" s="135" t="str">
        <f>LY8</f>
        <v>jenis, sifat, karakter dan teknik pengolahan kerang, kaca, keramik dan botol plastik</v>
      </c>
      <c r="MZ8" s="135" t="str">
        <f t="shared" ref="MZ8:NR8" si="31">LZ8</f>
        <v>prinsip perancangan, pembuatan dan penyajian produk kerajinan kerang, kaca, keramik dan botol plastik yang kreatif dan inovatif</v>
      </c>
      <c r="NA8" s="135" t="str">
        <f t="shared" si="31"/>
        <v/>
      </c>
      <c r="NB8" s="135" t="str">
        <f t="shared" si="31"/>
        <v/>
      </c>
      <c r="NC8" s="135" t="str">
        <f t="shared" si="31"/>
        <v/>
      </c>
      <c r="ND8" s="135" t="str">
        <f t="shared" si="31"/>
        <v/>
      </c>
      <c r="NE8" s="135" t="str">
        <f t="shared" si="31"/>
        <v/>
      </c>
      <c r="NF8" s="135" t="str">
        <f t="shared" si="31"/>
        <v/>
      </c>
      <c r="NG8" s="135" t="str">
        <f t="shared" si="31"/>
        <v/>
      </c>
      <c r="NH8" s="135" t="str">
        <f t="shared" si="31"/>
        <v/>
      </c>
      <c r="NI8" s="135" t="str">
        <f t="shared" si="31"/>
        <v/>
      </c>
      <c r="NJ8" s="135" t="str">
        <f t="shared" si="31"/>
        <v/>
      </c>
      <c r="NK8" s="135" t="str">
        <f t="shared" si="31"/>
        <v/>
      </c>
      <c r="NL8" s="135" t="str">
        <f t="shared" si="31"/>
        <v/>
      </c>
      <c r="NM8" s="135" t="str">
        <f t="shared" si="31"/>
        <v/>
      </c>
      <c r="NN8" s="135" t="str">
        <f t="shared" si="31"/>
        <v/>
      </c>
      <c r="NO8" s="135" t="str">
        <f t="shared" si="31"/>
        <v/>
      </c>
      <c r="NP8" s="135" t="str">
        <f t="shared" si="31"/>
        <v/>
      </c>
      <c r="NQ8" s="135" t="str">
        <f t="shared" si="31"/>
        <v/>
      </c>
      <c r="NR8" s="135" t="str">
        <f t="shared" si="31"/>
        <v/>
      </c>
      <c r="OM8" s="236" t="s">
        <v>187</v>
      </c>
      <c r="ON8" s="236" t="s">
        <v>188</v>
      </c>
      <c r="OP8" s="135" t="str">
        <f>MY8</f>
        <v>jenis, sifat, karakter dan teknik pengolahan kerang, kaca, keramik dan botol plastik</v>
      </c>
      <c r="OQ8" s="135" t="str">
        <f t="shared" ref="OQ8:PI8" si="32">MZ8</f>
        <v>prinsip perancangan, pembuatan dan penyajian produk kerajinan kerang, kaca, keramik dan botol plastik yang kreatif dan inovatif</v>
      </c>
      <c r="OR8" s="135" t="str">
        <f t="shared" si="32"/>
        <v/>
      </c>
      <c r="OS8" s="135" t="str">
        <f t="shared" si="32"/>
        <v/>
      </c>
      <c r="OT8" s="135" t="str">
        <f t="shared" si="32"/>
        <v/>
      </c>
      <c r="OU8" s="135" t="str">
        <f t="shared" si="32"/>
        <v/>
      </c>
      <c r="OV8" s="135" t="str">
        <f t="shared" si="32"/>
        <v/>
      </c>
      <c r="OW8" s="135" t="str">
        <f t="shared" si="32"/>
        <v/>
      </c>
      <c r="OX8" s="135" t="str">
        <f t="shared" si="32"/>
        <v/>
      </c>
      <c r="OY8" s="135" t="str">
        <f t="shared" si="32"/>
        <v/>
      </c>
      <c r="OZ8" s="135" t="str">
        <f t="shared" si="32"/>
        <v/>
      </c>
      <c r="PA8" s="135" t="str">
        <f t="shared" si="32"/>
        <v/>
      </c>
      <c r="PB8" s="135" t="str">
        <f t="shared" si="32"/>
        <v/>
      </c>
      <c r="PC8" s="135" t="str">
        <f t="shared" si="32"/>
        <v/>
      </c>
      <c r="PD8" s="135" t="str">
        <f t="shared" si="32"/>
        <v/>
      </c>
      <c r="PE8" s="135" t="str">
        <f t="shared" si="32"/>
        <v/>
      </c>
      <c r="PF8" s="135" t="str">
        <f t="shared" si="32"/>
        <v/>
      </c>
      <c r="PG8" s="135" t="str">
        <f t="shared" si="32"/>
        <v/>
      </c>
      <c r="PH8" s="135" t="str">
        <f t="shared" si="32"/>
        <v/>
      </c>
      <c r="PI8" s="135" t="str">
        <f t="shared" si="32"/>
        <v/>
      </c>
      <c r="QD8" s="236" t="s">
        <v>187</v>
      </c>
      <c r="QE8" s="236" t="s">
        <v>188</v>
      </c>
    </row>
    <row r="9" ht="27.6" customHeight="1" spans="1:449">
      <c r="A9" s="136"/>
      <c r="B9" s="172">
        <v>1</v>
      </c>
      <c r="C9" s="173" t="str">
        <f>siswa!C5</f>
        <v>ADELIA SELVIA</v>
      </c>
      <c r="D9" s="174">
        <f>siswa!D5</f>
        <v>2708</v>
      </c>
      <c r="E9" s="175">
        <v>86</v>
      </c>
      <c r="F9" s="175">
        <v>86</v>
      </c>
      <c r="G9" s="248"/>
      <c r="H9" s="176"/>
      <c r="I9" s="176"/>
      <c r="J9" s="175">
        <v>100</v>
      </c>
      <c r="K9" s="176"/>
      <c r="L9" s="223">
        <f>IFERROR(IF($E$6="",0,IF(AND(J9="",K9=""),AVERAGE(E9:I9),(AVERAGE(E9:I9)*$Q$3)+(AVERAGE(J9:K9)*$R$3))),"")</f>
        <v>91.6</v>
      </c>
      <c r="M9" s="250">
        <v>88</v>
      </c>
      <c r="N9" s="250">
        <v>88</v>
      </c>
      <c r="O9" s="248"/>
      <c r="P9" s="176"/>
      <c r="Q9" s="176"/>
      <c r="R9" s="250">
        <v>88</v>
      </c>
      <c r="S9" s="176"/>
      <c r="T9" s="223">
        <f>IFERROR(IF($M$6="",0,IF(AND(R9="",S9=""),AVERAGE(M9:Q9),(AVERAGE(M9:Q9)*$Q$3)+(AVERAGE(R9:S9)*$R$3))),"")</f>
        <v>88</v>
      </c>
      <c r="U9" s="248"/>
      <c r="V9" s="248"/>
      <c r="W9" s="248"/>
      <c r="X9" s="176"/>
      <c r="Y9" s="176"/>
      <c r="Z9" s="250"/>
      <c r="AA9" s="176"/>
      <c r="AB9" s="223">
        <f>IFERROR(IF($U$6="",0,IF(AND(Z9="",AA9=""),AVERAGE(U9:Y9),(AVERAGE(U9:Y9)*$Q$3)+(AVERAGE(Z9:AA9)*$R$3))),"")</f>
        <v>0</v>
      </c>
      <c r="AC9" s="248"/>
      <c r="AD9" s="248"/>
      <c r="AE9" s="248"/>
      <c r="AF9" s="248"/>
      <c r="AG9" s="176"/>
      <c r="AH9" s="250"/>
      <c r="AI9" s="176"/>
      <c r="AJ9" s="223">
        <f>IFERROR(IF($AC$6="",0,IF(AND(AH9="",AI9=""),AVERAGE(AC9:AG9),(AVERAGE(AC9:AG9)*$Q$3)+(AVERAGE(AH9:AI9)*$R$3))),"")</f>
        <v>0</v>
      </c>
      <c r="AK9" s="248"/>
      <c r="AL9" s="176"/>
      <c r="AM9" s="176"/>
      <c r="AN9" s="176"/>
      <c r="AO9" s="176"/>
      <c r="AP9" s="176"/>
      <c r="AQ9" s="176"/>
      <c r="AR9" s="223">
        <f>IFERROR(IF($AK$6="",0,IF(AND(AP9="",AQ9=""),AVERAGE(AK9:AO9),(AVERAGE(AK9:AO9)*$Q$3)+(AVERAGE(AP9:AQ9)*$R$3))),"")</f>
        <v>0</v>
      </c>
      <c r="AS9" s="248"/>
      <c r="AT9" s="176"/>
      <c r="AU9" s="176"/>
      <c r="AV9" s="176"/>
      <c r="AW9" s="176"/>
      <c r="AX9" s="176"/>
      <c r="AY9" s="176"/>
      <c r="AZ9" s="223">
        <f>IFERROR(IF($AS$6="",0,IF(AND(AX9="",AY9=""),AVERAGE(AS9:AW9),(AVERAGE(AS9:AW9)*$Q$3)+(AVERAGE(AX9:AY9)*$R$3))),"")</f>
        <v>0</v>
      </c>
      <c r="BA9" s="248"/>
      <c r="BB9" s="176"/>
      <c r="BC9" s="176"/>
      <c r="BD9" s="176"/>
      <c r="BE9" s="176"/>
      <c r="BF9" s="176"/>
      <c r="BG9" s="176"/>
      <c r="BH9" s="223">
        <f>IFERROR(IF($BA$6="",0,IF(AND(BF9="",BG9=""),AVERAGE(BA9:BE9),(AVERAGE(BA9:BE9)*$Q$3)+(AVERAGE(BF9:BG9)*$R$3))),"")</f>
        <v>0</v>
      </c>
      <c r="BI9" s="248"/>
      <c r="BJ9" s="176"/>
      <c r="BK9" s="176"/>
      <c r="BL9" s="176"/>
      <c r="BM9" s="176"/>
      <c r="BN9" s="176"/>
      <c r="BO9" s="176"/>
      <c r="BP9" s="223">
        <f>IFERROR(IF($BI$6="",0,IF(AND(BN9="",BO9=""),AVERAGE(BI9:BM9),(AVERAGE(BI9:BM9)*$Q$3)+(AVERAGE(BN9:BO9)*$R$3))),"")</f>
        <v>0</v>
      </c>
      <c r="BQ9" s="248"/>
      <c r="BR9" s="176"/>
      <c r="BS9" s="176"/>
      <c r="BT9" s="176"/>
      <c r="BU9" s="176"/>
      <c r="BV9" s="176"/>
      <c r="BW9" s="176"/>
      <c r="BX9" s="223">
        <f>IFERROR(IF($BQ$6="",0,IF(AND(BV9="",BW9=""),AVERAGE(BQ9:BU9),(AVERAGE(BQ9:BU9)*$Q$3)+(AVERAGE(BV9:BW9)*$R$3))),"")</f>
        <v>0</v>
      </c>
      <c r="BY9" s="248"/>
      <c r="BZ9" s="176"/>
      <c r="CA9" s="176"/>
      <c r="CB9" s="176"/>
      <c r="CC9" s="176"/>
      <c r="CD9" s="176"/>
      <c r="CE9" s="176"/>
      <c r="CF9" s="223">
        <f>IFERROR(IF($BY$6="",0,IF(AND(CD9="",CE9=""),AVERAGE(BY9:CC9),(AVERAGE(BY9:CC9)*$Q$3)+(AVERAGE(CD9:CE9)*$R$3))),"")</f>
        <v>0</v>
      </c>
      <c r="CG9" s="248"/>
      <c r="CH9" s="176"/>
      <c r="CI9" s="176"/>
      <c r="CJ9" s="176"/>
      <c r="CK9" s="176"/>
      <c r="CL9" s="176"/>
      <c r="CM9" s="176"/>
      <c r="CN9" s="223">
        <f>IFERROR(IF($CG$6="",0,IF(AND(CL9="",CM9=""),AVERAGE(CG9:CK9),(AVERAGE(CG9:CK9)*$Q$3)+(AVERAGE(CL9:CM9)*$R$3))),"")</f>
        <v>0</v>
      </c>
      <c r="CO9" s="248"/>
      <c r="CP9" s="176"/>
      <c r="CQ9" s="176"/>
      <c r="CR9" s="176"/>
      <c r="CS9" s="176"/>
      <c r="CT9" s="176"/>
      <c r="CU9" s="176"/>
      <c r="CV9" s="223">
        <f>IFERROR(IF($CO$6="",0,IF(AND(CT9="",CU9=""),AVERAGE(CO9:CS9),(AVERAGE(CO9:CS9)*$Q$3)+(AVERAGE(CT9:CU9)*$R$3))),"")</f>
        <v>0</v>
      </c>
      <c r="CW9" s="248"/>
      <c r="CX9" s="176"/>
      <c r="CY9" s="176"/>
      <c r="CZ9" s="176"/>
      <c r="DA9" s="176"/>
      <c r="DB9" s="176"/>
      <c r="DC9" s="176"/>
      <c r="DD9" s="223">
        <f>IFERROR(IF($CW$6="",0,IF(AND(DB9="",DC9=""),AVERAGE(CW9:DA9),(AVERAGE(CW9:DA9)*$Q$3)+(AVERAGE(DB9:DC9)*$R$3))),"")</f>
        <v>0</v>
      </c>
      <c r="DE9" s="248"/>
      <c r="DF9" s="176"/>
      <c r="DG9" s="176"/>
      <c r="DH9" s="176"/>
      <c r="DI9" s="176"/>
      <c r="DJ9" s="176"/>
      <c r="DK9" s="176"/>
      <c r="DL9" s="223">
        <f>IFERROR(IF($DE$6="",0,IF(AND(DJ9="",DK9=""),AVERAGE(DE9:DI9),(AVERAGE(DE9:DI9)*$Q$3)+(AVERAGE(DJ9:DK9)*$R$3))),"")</f>
        <v>0</v>
      </c>
      <c r="DM9" s="248"/>
      <c r="DN9" s="176"/>
      <c r="DO9" s="176"/>
      <c r="DP9" s="176"/>
      <c r="DQ9" s="176"/>
      <c r="DR9" s="176"/>
      <c r="DS9" s="176"/>
      <c r="DT9" s="223">
        <f>IFERROR(IF($DM$6="",0,IF(AND(DR9="",DS9=""),AVERAGE(DM9:DQ9),(AVERAGE(DM9:DQ9)*$Q$3)+(AVERAGE(DR9:DS9)*$R$3))),"")</f>
        <v>0</v>
      </c>
      <c r="DU9" s="248"/>
      <c r="DV9" s="176"/>
      <c r="DW9" s="176"/>
      <c r="DX9" s="176"/>
      <c r="DY9" s="176"/>
      <c r="DZ9" s="176"/>
      <c r="EA9" s="176"/>
      <c r="EB9" s="223">
        <f>IFERROR(IF($DU$6="",0,IF(AND(DZ9="",EA9=""),AVERAGE(DU9:DY9),(AVERAGE(DU9:DY9)*$Q$3)+(AVERAGE(DZ9:EA9)*$R$3))),"")</f>
        <v>0</v>
      </c>
      <c r="EC9" s="248"/>
      <c r="ED9" s="176"/>
      <c r="EE9" s="176"/>
      <c r="EF9" s="176"/>
      <c r="EG9" s="176"/>
      <c r="EH9" s="176"/>
      <c r="EI9" s="176"/>
      <c r="EJ9" s="223">
        <f>IFERROR(IF($EC$6="",0,IF(AND(EH9="",EI9=""),AVERAGE(EC9:EG9),(AVERAGE(EC9:EG9)*$Q$3)+(AVERAGE(EH9:EI9)*$R$3))),"")</f>
        <v>0</v>
      </c>
      <c r="EK9" s="176"/>
      <c r="EL9" s="176"/>
      <c r="EM9" s="176"/>
      <c r="EN9" s="176"/>
      <c r="EO9" s="176"/>
      <c r="EP9" s="176"/>
      <c r="EQ9" s="176"/>
      <c r="ER9" s="223">
        <f>IFERROR(IF($EK$6="",0,IF(AND(EP9="",EQ9=""),AVERAGE(EK9:EO9),(AVERAGE(EK9:EO9)*$Q$3)+(AVERAGE(EP9:EQ9)*$R$3))),"")</f>
        <v>0</v>
      </c>
      <c r="ES9" s="176"/>
      <c r="ET9" s="176"/>
      <c r="EU9" s="176"/>
      <c r="EV9" s="176"/>
      <c r="EW9" s="176"/>
      <c r="EX9" s="176"/>
      <c r="EY9" s="176"/>
      <c r="EZ9" s="223">
        <f>IFERROR(IF($ES$6="",0,IF(AND(EX9="",EY9=""),AVERAGE(ES9:EW9),(AVERAGE(ES9:EW9)*$Q$3)+(AVERAGE(EX9:EY9)*$R$3))),"")</f>
        <v>0</v>
      </c>
      <c r="FA9" s="176"/>
      <c r="FB9" s="176"/>
      <c r="FC9" s="176"/>
      <c r="FD9" s="176"/>
      <c r="FE9" s="176"/>
      <c r="FF9" s="176"/>
      <c r="FG9" s="176"/>
      <c r="FH9" s="223">
        <f>IFERROR(IF($FA$6="",0,IF(AND(FF9="",FG9=""),AVERAGE(FA9:FE9),(AVERAGE(FA9:FE9)*$Q$3)+(AVERAGE(FF9:FG9)*$R$3))),"")</f>
        <v>0</v>
      </c>
      <c r="FI9" s="291">
        <f>IFERROR(IF(KG9=0,"",ROUND(KG9,0)),"")</f>
        <v>90</v>
      </c>
      <c r="FJ9" s="250">
        <v>74</v>
      </c>
      <c r="FK9" s="250"/>
      <c r="FL9" s="291">
        <f>IFERROR(IF(FJ9="",ROUND((((FI9*$FJ$3)+(FK9*$FL$3))/($FJ$3+$FL$3)),0),ROUND((((FI9*$FJ$3)+(FJ9*$FK$3)+(FK9*$FL$3))/$FM$3),0)),"")</f>
        <v>85</v>
      </c>
      <c r="FM9" s="312" t="str">
        <f>IFERROR(IF(FL9="","",IF(FL9&gt;=KONVERSI!$A$5,KONVERSI!$D$5,IF(FL9&gt;=KONVERSI!$A$6,KONVERSI!$D$6,IF(FL9&gt;=KONVERSI!$A$7,KONVERSI!$D$7,KONVERSI!$D$8)))),"")</f>
        <v>B</v>
      </c>
      <c r="FN9" s="232" t="str">
        <f>IFERROR(IF(FL9="","",IF(FL9&gt;=$FN$4,"Tuntas","BelumTuntas")),"")</f>
        <v>Tuntas</v>
      </c>
      <c r="FO9" s="313"/>
      <c r="FP9" s="314">
        <f>IFERROR(ROUND(AVERAGE(FQ9:FT9,FW9:FZ9,GC9:GF9,GI9:GL9,GO9:GR9,GU9:GX9,HA9:HD9,HG9:HJ9,HM9:HP9,HS9:HV9,HY9:IB9,IE9:IH9,IK9:IN9,IQ9:IT9,IW9:IZ9),2),0)</f>
        <v>87</v>
      </c>
      <c r="FQ9" s="194">
        <f t="shared" ref="FQ9:FQ56" si="33">IF($FQ$6="","",IF(E9="","",E9))</f>
        <v>86</v>
      </c>
      <c r="FR9" s="194">
        <f t="shared" ref="FR9:FR56" si="34">IF($FQ$6="","",IF(F9="","",F9))</f>
        <v>86</v>
      </c>
      <c r="FS9" s="194" t="str">
        <f t="shared" ref="FS9:FS56" si="35">IF($FQ$6="","",IF(G9="","",G9))</f>
        <v/>
      </c>
      <c r="FT9" s="194" t="str">
        <f t="shared" ref="FT9:FT56" si="36">IF($FQ$6="","",IF(H9="","",H9))</f>
        <v/>
      </c>
      <c r="FU9" s="194" t="str">
        <f t="shared" ref="FU9:FU56" si="37">IF($FQ$6="","",IF(I9="","",I9))</f>
        <v/>
      </c>
      <c r="FV9" s="194">
        <f t="shared" ref="FV9:FV40" si="38">IF($FQ$6="","",IF(L9="","",L9))</f>
        <v>91.6</v>
      </c>
      <c r="FW9" s="194">
        <f t="shared" ref="FW9:FW56" si="39">IF($FW$6="","",IF(M9="","",M9))</f>
        <v>88</v>
      </c>
      <c r="FX9" s="194">
        <f>IF($FW$6="","",IF(N9="","",N9))</f>
        <v>88</v>
      </c>
      <c r="FY9" s="194" t="str">
        <f t="shared" ref="FY9:FY56" si="40">IF($FW$6="","",IF(O9="","",O9))</f>
        <v/>
      </c>
      <c r="FZ9" s="194" t="str">
        <f t="shared" ref="FZ9:FZ56" si="41">IF($FW$6="","",IF(P9="","",P9))</f>
        <v/>
      </c>
      <c r="GA9" s="194" t="str">
        <f t="shared" ref="GA9:GA56" si="42">IF($FW$6="","",IF(Q9="","",Q9))</f>
        <v/>
      </c>
      <c r="GB9" s="194">
        <f t="shared" ref="GB9:GB40" si="43">IF($FW$6="","",IF(T9="","",T9))</f>
        <v>88</v>
      </c>
      <c r="GC9" s="194" t="str">
        <f t="shared" ref="GC9:GC56" si="44">IF($GC$6="","",IF(U9="","",U9))</f>
        <v/>
      </c>
      <c r="GD9" s="194" t="str">
        <f t="shared" ref="GD9:GD56" si="45">IF($GC$6="","",IF(V9="","",V9))</f>
        <v/>
      </c>
      <c r="GE9" s="194" t="str">
        <f t="shared" ref="GE9:GE56" si="46">IF($GC$6="","",IF(W9="","",W9))</f>
        <v/>
      </c>
      <c r="GF9" s="194" t="str">
        <f t="shared" ref="GF9:GF56" si="47">IF($GC$6="","",IF(X9="","",X9))</f>
        <v/>
      </c>
      <c r="GG9" s="194" t="str">
        <f t="shared" ref="GG9:GG56" si="48">IF($GC$6="","",IF(Y9="","",Y9))</f>
        <v/>
      </c>
      <c r="GH9" s="194" t="str">
        <f t="shared" ref="GH9:GH40" si="49">IF($GC$6="","",IF(AB9="","",AB9))</f>
        <v/>
      </c>
      <c r="GI9" s="194" t="str">
        <f t="shared" ref="GI9:GI56" si="50">IF($GI$6="","",IF(AC9="","",AC9))</f>
        <v/>
      </c>
      <c r="GJ9" s="194" t="str">
        <f t="shared" ref="GJ9:GJ56" si="51">IF($GI$6="","",IF(AD9="","",AD9))</f>
        <v/>
      </c>
      <c r="GK9" s="194" t="str">
        <f t="shared" ref="GK9:GK56" si="52">IF($GI$6="","",IF(AE9="","",AE9))</f>
        <v/>
      </c>
      <c r="GL9" s="194" t="str">
        <f t="shared" ref="GL9:GL56" si="53">IF($GI$6="","",IF(AF9="","",AF9))</f>
        <v/>
      </c>
      <c r="GM9" s="194" t="str">
        <f t="shared" ref="GM9:GM56" si="54">IF($GI$6="","",IF(AG9="","",AG9))</f>
        <v/>
      </c>
      <c r="GN9" s="194" t="str">
        <f t="shared" ref="GN9:GN40" si="55">IF($GI$6="","",IF(AJ9="","",AJ9))</f>
        <v/>
      </c>
      <c r="GO9" s="194" t="str">
        <f t="shared" ref="GO9:GO56" si="56">IF($GO$6="","",IF(AK9="","",AK9))</f>
        <v/>
      </c>
      <c r="GP9" s="194" t="str">
        <f t="shared" ref="GP9:GP56" si="57">IF($GO$6="","",IF(AL9="","",AL9))</f>
        <v/>
      </c>
      <c r="GQ9" s="194" t="str">
        <f t="shared" ref="GQ9:GQ56" si="58">IF($GO$6="","",IF(AM9="","",AM9))</f>
        <v/>
      </c>
      <c r="GR9" s="194" t="str">
        <f t="shared" ref="GR9:GR56" si="59">IF($GO$6="","",IF(AN9="","",AN9))</f>
        <v/>
      </c>
      <c r="GS9" s="194" t="str">
        <f t="shared" ref="GS9:GS56" si="60">IF($GO$6="","",IF(AO9="","",AO9))</f>
        <v/>
      </c>
      <c r="GT9" s="194" t="str">
        <f t="shared" ref="GT9:GT40" si="61">IF($GO$6="","",IF(AR9="","",AR9))</f>
        <v/>
      </c>
      <c r="GU9" s="194" t="str">
        <f t="shared" ref="GU9:GU56" si="62">IF($GU$6="","",IF(AS9="","",AS9))</f>
        <v/>
      </c>
      <c r="GV9" s="194" t="str">
        <f t="shared" ref="GV9:GV56" si="63">IF($GU$6="","",IF(AT9="","",AT9))</f>
        <v/>
      </c>
      <c r="GW9" s="194" t="str">
        <f t="shared" ref="GW9:GW56" si="64">IF($GU$6="","",IF(AU9="","",AU9))</f>
        <v/>
      </c>
      <c r="GX9" s="194" t="str">
        <f t="shared" ref="GX9:GX56" si="65">IF($GU$6="","",IF(AV9="","",AV9))</f>
        <v/>
      </c>
      <c r="GY9" s="194" t="str">
        <f t="shared" ref="GY9:GY56" si="66">IF($GU$6="","",IF(AW9="","",AW9))</f>
        <v/>
      </c>
      <c r="GZ9" s="194" t="str">
        <f t="shared" ref="GZ9:GZ40" si="67">IF($GU$6="","",IF(AZ9="","",AZ9))</f>
        <v/>
      </c>
      <c r="HA9" s="194" t="str">
        <f t="shared" ref="HA9:HA56" si="68">IF($HA$6="","",IF(BA9="","",BA9))</f>
        <v/>
      </c>
      <c r="HB9" s="194" t="str">
        <f t="shared" ref="HB9:HB56" si="69">IF($HA$6="","",IF(BB9="","",BB9))</f>
        <v/>
      </c>
      <c r="HC9" s="194" t="str">
        <f t="shared" ref="HC9:HC56" si="70">IF($HA$6="","",IF(BC9="","",BC9))</f>
        <v/>
      </c>
      <c r="HD9" s="194" t="str">
        <f t="shared" ref="HD9:HD56" si="71">IF($HA$6="","",IF(BD9="","",BD9))</f>
        <v/>
      </c>
      <c r="HE9" s="194" t="str">
        <f t="shared" ref="HE9:HE56" si="72">IF($HA$6="","",IF(BE9="","",BE9))</f>
        <v/>
      </c>
      <c r="HF9" s="194" t="str">
        <f t="shared" ref="HF9:HF40" si="73">IF($HA$6="","",IF(BH9="","",BH9))</f>
        <v/>
      </c>
      <c r="HG9" s="194" t="str">
        <f t="shared" ref="HG9:HG56" si="74">IF($HG$6="","",IF(BI9="","",BI9))</f>
        <v/>
      </c>
      <c r="HH9" s="194" t="str">
        <f t="shared" ref="HH9:HH56" si="75">IF($HG$6="","",IF(BJ9="","",BJ9))</f>
        <v/>
      </c>
      <c r="HI9" s="194" t="str">
        <f t="shared" ref="HI9:HI56" si="76">IF($HG$6="","",IF(BK9="","",BK9))</f>
        <v/>
      </c>
      <c r="HJ9" s="194" t="str">
        <f t="shared" ref="HJ9:HJ56" si="77">IF($HG$6="","",IF(BL9="","",BL9))</f>
        <v/>
      </c>
      <c r="HK9" s="194" t="str">
        <f t="shared" ref="HK9:HK56" si="78">IF($HG$6="","",IF(BM9="","",BM9))</f>
        <v/>
      </c>
      <c r="HL9" s="194" t="str">
        <f t="shared" ref="HL9:HL40" si="79">IF($HG$6="","",IF(BP9="","",BP9))</f>
        <v/>
      </c>
      <c r="HM9" s="194" t="str">
        <f t="shared" ref="HM9:HM56" si="80">IF($HM$6="","",IF(BQ9="","",BQ9))</f>
        <v/>
      </c>
      <c r="HN9" s="194" t="str">
        <f t="shared" ref="HN9:HN56" si="81">IF($HM$6="","",IF(BR9="","",BR9))</f>
        <v/>
      </c>
      <c r="HO9" s="194" t="str">
        <f t="shared" ref="HO9:HO56" si="82">IF($HM$6="","",IF(BS9="","",BS9))</f>
        <v/>
      </c>
      <c r="HP9" s="194" t="str">
        <f t="shared" ref="HP9:HP56" si="83">IF($HM$6="","",IF(BT9="","",BT9))</f>
        <v/>
      </c>
      <c r="HQ9" s="194" t="str">
        <f t="shared" ref="HQ9:HQ56" si="84">IF($HM$6="","",IF(BU9="","",BU9))</f>
        <v/>
      </c>
      <c r="HR9" s="194" t="str">
        <f t="shared" ref="HR9:HR40" si="85">IF($HM$6="","",IF(BX9="","",BX9))</f>
        <v/>
      </c>
      <c r="HS9" s="194" t="str">
        <f t="shared" ref="HS9:HS56" si="86">IF($HS$6="","",IF(BY9="","",BY9))</f>
        <v/>
      </c>
      <c r="HT9" s="194" t="str">
        <f t="shared" ref="HT9:HT56" si="87">IF($HS$6="","",IF(BZ9="","",BZ9))</f>
        <v/>
      </c>
      <c r="HU9" s="194" t="str">
        <f t="shared" ref="HU9:HU56" si="88">IF($HS$6="","",IF(CA9="","",CA9))</f>
        <v/>
      </c>
      <c r="HV9" s="194" t="str">
        <f t="shared" ref="HV9:HV56" si="89">IF($HS$6="","",IF(CB9="","",CB9))</f>
        <v/>
      </c>
      <c r="HW9" s="194" t="str">
        <f t="shared" ref="HW9:HW56" si="90">IF($HS$6="","",IF(CC9="","",CC9))</f>
        <v/>
      </c>
      <c r="HX9" s="194" t="str">
        <f t="shared" ref="HX9:HX40" si="91">IF($HS$6="","",IF(CF9="","",CF9))</f>
        <v/>
      </c>
      <c r="HY9" s="194" t="str">
        <f t="shared" ref="HY9:HY56" si="92">IF($HY$6="","",IF(CG9="","",CG9))</f>
        <v/>
      </c>
      <c r="HZ9" s="194" t="str">
        <f t="shared" ref="HZ9:HZ56" si="93">IF($HY$6="","",IF(CH9="","",CH9))</f>
        <v/>
      </c>
      <c r="IA9" s="194" t="str">
        <f t="shared" ref="IA9:IA56" si="94">IF($HY$6="","",IF(CI9="","",CI9))</f>
        <v/>
      </c>
      <c r="IB9" s="194" t="str">
        <f t="shared" ref="IB9:IB56" si="95">IF($HY$6="","",IF(CJ9="","",CJ9))</f>
        <v/>
      </c>
      <c r="IC9" s="194" t="str">
        <f t="shared" ref="IC9:IC56" si="96">IF($HY$6="","",IF(CK9="","",CK9))</f>
        <v/>
      </c>
      <c r="ID9" s="194" t="str">
        <f t="shared" ref="ID9:ID40" si="97">IF($HY$6="","",IF(CN9="","",CN9))</f>
        <v/>
      </c>
      <c r="IE9" s="194" t="str">
        <f t="shared" ref="IE9:IE56" si="98">IF($IE$6="","",IF(CO9="","",CO9))</f>
        <v/>
      </c>
      <c r="IF9" s="194" t="str">
        <f t="shared" ref="IF9:IF56" si="99">IF($IE$6="","",IF(CP9="","",CP9))</f>
        <v/>
      </c>
      <c r="IG9" s="194" t="str">
        <f t="shared" ref="IG9:IG56" si="100">IF($IE$6="","",IF(CQ9="","",CQ9))</f>
        <v/>
      </c>
      <c r="IH9" s="194" t="str">
        <f t="shared" ref="IH9:IH56" si="101">IF($IE$6="","",IF(CR9="","",CR9))</f>
        <v/>
      </c>
      <c r="II9" s="194" t="str">
        <f t="shared" ref="II9:II56" si="102">IF($IE$6="","",IF(CS9="","",CS9))</f>
        <v/>
      </c>
      <c r="IJ9" s="194" t="str">
        <f t="shared" ref="IJ9:IJ40" si="103">IF($IE$6="","",IF(CV9="","",CV9))</f>
        <v/>
      </c>
      <c r="IK9" s="194" t="str">
        <f t="shared" ref="IK9:IK56" si="104">IF($IK$6="","",IF(CW9="","",CW9))</f>
        <v/>
      </c>
      <c r="IL9" s="194" t="str">
        <f t="shared" ref="IL9:IL56" si="105">IF($IK$6="","",IF(CX9="","",CX9))</f>
        <v/>
      </c>
      <c r="IM9" s="194" t="str">
        <f t="shared" ref="IM9:IM56" si="106">IF($IK$6="","",IF(CY9="","",CY9))</f>
        <v/>
      </c>
      <c r="IN9" s="194" t="str">
        <f t="shared" ref="IN9:IN56" si="107">IF($IK$6="","",IF(CZ9="","",CZ9))</f>
        <v/>
      </c>
      <c r="IO9" s="194" t="str">
        <f t="shared" ref="IO9:IO56" si="108">IF($IK$6="","",IF(DA9="","",DA9))</f>
        <v/>
      </c>
      <c r="IP9" s="194" t="str">
        <f t="shared" ref="IP9:IP40" si="109">IF($IK$6="","",IF(DD9="","",DD9))</f>
        <v/>
      </c>
      <c r="IQ9" s="194" t="str">
        <f t="shared" ref="IQ9:IQ56" si="110">IF($IQ$6="","",IF(DE9="","",DE9))</f>
        <v/>
      </c>
      <c r="IR9" s="194" t="str">
        <f t="shared" ref="IR9:IR56" si="111">IF($IQ$6="","",IF(DF9="","",DF9))</f>
        <v/>
      </c>
      <c r="IS9" s="194" t="str">
        <f t="shared" ref="IS9:IS56" si="112">IF($IQ$6="","",IF(DG9="","",DG9))</f>
        <v/>
      </c>
      <c r="IT9" s="194" t="str">
        <f t="shared" ref="IT9:IT56" si="113">IF($IQ$6="","",IF(DH9="","",DH9))</f>
        <v/>
      </c>
      <c r="IU9" s="194" t="str">
        <f t="shared" ref="IU9:IU56" si="114">IF($IQ$6="","",IF(DI9="","",DI9))</f>
        <v/>
      </c>
      <c r="IV9" s="194" t="str">
        <f t="shared" ref="IV9:IV40" si="115">IF($IQ$6="","",IF(DL9="","",DL9))</f>
        <v/>
      </c>
      <c r="IW9" s="194" t="str">
        <f t="shared" ref="IW9:IW44" si="116">IF($IW$6="","",IF(DM9="","",DM9))</f>
        <v/>
      </c>
      <c r="IX9" s="194" t="str">
        <f t="shared" ref="IX9:IX44" si="117">IF($IW$6="","",IF(DN9="","",DN9))</f>
        <v/>
      </c>
      <c r="IY9" s="194" t="str">
        <f t="shared" ref="IY9:IY44" si="118">IF($IW$6="","",IF(DO9="","",DO9))</f>
        <v/>
      </c>
      <c r="IZ9" s="194" t="str">
        <f t="shared" ref="IZ9:IZ44" si="119">IF($IW$6="","",IF(DP9="","",DP9))</f>
        <v/>
      </c>
      <c r="JA9" s="194" t="str">
        <f t="shared" ref="JA9:JA44" si="120">IF($IW$6="","",IF(DQ9="","",DQ9))</f>
        <v/>
      </c>
      <c r="JB9" s="194" t="str">
        <f t="shared" ref="JB9:JB44" si="121">IF($IW$6="","",IF(DT9="","",DT9))</f>
        <v/>
      </c>
      <c r="JC9" s="194" t="str">
        <f t="shared" ref="JC9:JC44" si="122">IF($IW$6="","",IF(DU9="","",DU9))</f>
        <v/>
      </c>
      <c r="JD9" s="194" t="str">
        <f t="shared" ref="JD9:JD44" si="123">IF($IW$6="","",IF(DV9="","",DV9))</f>
        <v/>
      </c>
      <c r="JE9" s="194" t="str">
        <f t="shared" ref="JE9:JE44" si="124">IF($IW$6="","",IF(DW9="","",DW9))</f>
        <v/>
      </c>
      <c r="JF9" s="194" t="str">
        <f t="shared" ref="JF9:JF44" si="125">IF($IW$6="","",IF(DX9="","",DX9))</f>
        <v/>
      </c>
      <c r="JG9" s="194" t="str">
        <f t="shared" ref="JG9:JG44" si="126">IF($IW$6="","",IF(DY9="","",DY9))</f>
        <v/>
      </c>
      <c r="JH9" s="194" t="str">
        <f t="shared" ref="JH9:JH44" si="127">IF($IW$6="","",IF(EB9="","",EB9))</f>
        <v/>
      </c>
      <c r="JI9" s="194" t="str">
        <f t="shared" ref="JI9:JI44" si="128">IF($IW$6="","",IF(EC9="","",EC9))</f>
        <v/>
      </c>
      <c r="JJ9" s="194" t="str">
        <f t="shared" ref="JJ9:JJ44" si="129">IF($IW$6="","",IF(ED9="","",ED9))</f>
        <v/>
      </c>
      <c r="JK9" s="194" t="str">
        <f t="shared" ref="JK9:JK44" si="130">IF($IW$6="","",IF(EE9="","",EE9))</f>
        <v/>
      </c>
      <c r="JL9" s="194" t="str">
        <f t="shared" ref="JL9:JL44" si="131">IF($IW$6="","",IF(EF9="","",EF9))</f>
        <v/>
      </c>
      <c r="JM9" s="194" t="str">
        <f t="shared" ref="JM9:JM44" si="132">IF($IW$6="","",IF(EG9="","",EG9))</f>
        <v/>
      </c>
      <c r="JN9" s="194" t="str">
        <f t="shared" ref="JN9:JN44" si="133">IF($IW$6="","",IF(EJ9="","",EJ9))</f>
        <v/>
      </c>
      <c r="JO9" s="194" t="str">
        <f t="shared" ref="JO9:JO44" si="134">IF($IW$6="","",IF(EK9="","",EK9))</f>
        <v/>
      </c>
      <c r="JP9" s="194" t="str">
        <f t="shared" ref="JP9:JP44" si="135">IF($IW$6="","",IF(EL9="","",EL9))</f>
        <v/>
      </c>
      <c r="JQ9" s="194" t="str">
        <f t="shared" ref="JQ9:JQ44" si="136">IF($IW$6="","",IF(EM9="","",EM9))</f>
        <v/>
      </c>
      <c r="JR9" s="194" t="str">
        <f t="shared" ref="JR9:JR44" si="137">IF($IW$6="","",IF(EN9="","",EN9))</f>
        <v/>
      </c>
      <c r="JS9" s="194" t="str">
        <f t="shared" ref="JS9:JS44" si="138">IF($IW$6="","",IF(EO9="","",EO9))</f>
        <v/>
      </c>
      <c r="JT9" s="194" t="str">
        <f t="shared" ref="JT9:JT44" si="139">IF($IW$6="","",IF(ER9="","",ER9))</f>
        <v/>
      </c>
      <c r="JU9" s="194" t="str">
        <f t="shared" ref="JU9:JU44" si="140">IF($IW$6="","",IF(ES9="","",ES9))</f>
        <v/>
      </c>
      <c r="JV9" s="194" t="str">
        <f t="shared" ref="JV9:JV44" si="141">IF($IW$6="","",IF(ET9="","",ET9))</f>
        <v/>
      </c>
      <c r="JW9" s="194" t="str">
        <f t="shared" ref="JW9:JW44" si="142">IF($IW$6="","",IF(EU9="","",EU9))</f>
        <v/>
      </c>
      <c r="JX9" s="194" t="str">
        <f t="shared" ref="JX9:JX44" si="143">IF($IW$6="","",IF(EV9="","",EV9))</f>
        <v/>
      </c>
      <c r="JY9" s="194" t="str">
        <f t="shared" ref="JY9:JY44" si="144">IF($IW$6="","",IF(EW9="","",EW9))</f>
        <v/>
      </c>
      <c r="JZ9" s="194" t="str">
        <f t="shared" ref="JZ9:JZ44" si="145">IF($IW$6="","",IF(EZ9="","",EZ9))</f>
        <v/>
      </c>
      <c r="KA9" s="194" t="str">
        <f t="shared" ref="KA9:KA44" si="146">IF($IW$6="","",IF(FA9="","",FA9))</f>
        <v/>
      </c>
      <c r="KB9" s="194" t="str">
        <f t="shared" ref="KB9:KB44" si="147">IF($IW$6="","",IF(FB9="","",FB9))</f>
        <v/>
      </c>
      <c r="KC9" s="194" t="str">
        <f t="shared" ref="KC9:KC44" si="148">IF($IW$6="","",IF(FC9="","",FC9))</f>
        <v/>
      </c>
      <c r="KD9" s="194" t="str">
        <f t="shared" ref="KD9:KD44" si="149">IF($IW$6="","",IF(FD9="","",FD9))</f>
        <v/>
      </c>
      <c r="KE9" s="194" t="str">
        <f t="shared" ref="KE9:KE44" si="150">IF($IW$6="","",IF(FE9="","",FE9))</f>
        <v/>
      </c>
      <c r="KF9" s="194" t="str">
        <f t="shared" ref="KF9:KF46" si="151">IF($IW$6="","",IF(FH9="","",FH9))</f>
        <v/>
      </c>
      <c r="KG9" s="194">
        <f>SUM(LE9:LX9)/COUNTA(RefKI3KI4!$B$5:$B$24)</f>
        <v>89.8</v>
      </c>
      <c r="KH9" s="232">
        <f>SUM(LE9:LX9)/17</f>
        <v>10.5647058823529</v>
      </c>
      <c r="KI9" s="340" t="str">
        <f t="shared" ref="KI9:LB9" si="152">IF(LY$8="","",IF(LE9&gt;=$FN$4,"ok","no"))</f>
        <v>ok</v>
      </c>
      <c r="KJ9" s="340" t="str">
        <f t="shared" si="152"/>
        <v>ok</v>
      </c>
      <c r="KK9" s="340" t="str">
        <f t="shared" si="152"/>
        <v/>
      </c>
      <c r="KL9" s="340" t="str">
        <f t="shared" si="152"/>
        <v/>
      </c>
      <c r="KM9" s="340" t="str">
        <f t="shared" si="152"/>
        <v/>
      </c>
      <c r="KN9" s="340" t="str">
        <f t="shared" si="152"/>
        <v/>
      </c>
      <c r="KO9" s="340" t="str">
        <f t="shared" si="152"/>
        <v/>
      </c>
      <c r="KP9" s="340" t="str">
        <f t="shared" si="152"/>
        <v/>
      </c>
      <c r="KQ9" s="340" t="str">
        <f t="shared" si="152"/>
        <v/>
      </c>
      <c r="KR9" s="340" t="str">
        <f t="shared" si="152"/>
        <v/>
      </c>
      <c r="KS9" s="340" t="str">
        <f t="shared" si="152"/>
        <v/>
      </c>
      <c r="KT9" s="340" t="str">
        <f t="shared" si="152"/>
        <v/>
      </c>
      <c r="KU9" s="340" t="str">
        <f t="shared" si="152"/>
        <v/>
      </c>
      <c r="KV9" s="340" t="str">
        <f t="shared" si="152"/>
        <v/>
      </c>
      <c r="KW9" s="340" t="str">
        <f t="shared" si="152"/>
        <v/>
      </c>
      <c r="KX9" s="340" t="str">
        <f t="shared" si="152"/>
        <v/>
      </c>
      <c r="KY9" s="340" t="str">
        <f t="shared" si="152"/>
        <v/>
      </c>
      <c r="KZ9" s="340" t="str">
        <f t="shared" si="152"/>
        <v/>
      </c>
      <c r="LA9" s="340" t="str">
        <f t="shared" si="152"/>
        <v/>
      </c>
      <c r="LB9" s="340" t="str">
        <f t="shared" si="152"/>
        <v/>
      </c>
      <c r="LC9" s="340">
        <f>COUNTIF(KI9:LB9,"no")</f>
        <v>0</v>
      </c>
      <c r="LD9" s="228">
        <v>1</v>
      </c>
      <c r="LE9" s="229">
        <f>IF(FV9="","",FV9)</f>
        <v>91.6</v>
      </c>
      <c r="LF9" s="229">
        <f>GB9</f>
        <v>88</v>
      </c>
      <c r="LG9" s="229" t="str">
        <f>GH9</f>
        <v/>
      </c>
      <c r="LH9" s="229" t="str">
        <f>GN9</f>
        <v/>
      </c>
      <c r="LI9" s="229" t="str">
        <f>GT9</f>
        <v/>
      </c>
      <c r="LJ9" s="229" t="str">
        <f>GZ9</f>
        <v/>
      </c>
      <c r="LK9" s="229" t="str">
        <f>HF9</f>
        <v/>
      </c>
      <c r="LL9" s="229" t="str">
        <f>HL9</f>
        <v/>
      </c>
      <c r="LM9" s="229" t="str">
        <f>HR9</f>
        <v/>
      </c>
      <c r="LN9" s="229" t="str">
        <f>HX9</f>
        <v/>
      </c>
      <c r="LO9" s="229" t="str">
        <f>ID9</f>
        <v/>
      </c>
      <c r="LP9" s="229" t="str">
        <f>IJ9</f>
        <v/>
      </c>
      <c r="LQ9" s="229" t="str">
        <f>IP9</f>
        <v/>
      </c>
      <c r="LR9" s="229" t="str">
        <f>IV9</f>
        <v/>
      </c>
      <c r="LS9" s="229" t="str">
        <f>JB9</f>
        <v/>
      </c>
      <c r="LT9" s="229" t="str">
        <f>JH9</f>
        <v/>
      </c>
      <c r="LU9" s="229" t="str">
        <f>JN9</f>
        <v/>
      </c>
      <c r="LV9" s="229" t="str">
        <f>JT9</f>
        <v/>
      </c>
      <c r="LW9" s="229" t="str">
        <f>JZ9</f>
        <v/>
      </c>
      <c r="LX9" s="229" t="str">
        <f>IF(KF9="","",KF9)</f>
        <v/>
      </c>
      <c r="LY9" s="231">
        <f>LE9</f>
        <v>91.6</v>
      </c>
      <c r="LZ9" s="231">
        <f t="shared" ref="LZ9:MR9" si="153">LF9</f>
        <v>88</v>
      </c>
      <c r="MA9" s="231" t="str">
        <f t="shared" si="153"/>
        <v/>
      </c>
      <c r="MB9" s="231" t="str">
        <f t="shared" si="153"/>
        <v/>
      </c>
      <c r="MC9" s="231" t="str">
        <f t="shared" si="153"/>
        <v/>
      </c>
      <c r="MD9" s="231" t="str">
        <f t="shared" si="153"/>
        <v/>
      </c>
      <c r="ME9" s="231" t="str">
        <f t="shared" si="153"/>
        <v/>
      </c>
      <c r="MF9" s="231" t="str">
        <f t="shared" si="153"/>
        <v/>
      </c>
      <c r="MG9" s="231" t="str">
        <f t="shared" si="153"/>
        <v/>
      </c>
      <c r="MH9" s="231" t="str">
        <f t="shared" si="153"/>
        <v/>
      </c>
      <c r="MI9" s="231" t="str">
        <f t="shared" si="153"/>
        <v/>
      </c>
      <c r="MJ9" s="231" t="str">
        <f t="shared" si="153"/>
        <v/>
      </c>
      <c r="MK9" s="231" t="str">
        <f t="shared" si="153"/>
        <v/>
      </c>
      <c r="ML9" s="231" t="str">
        <f t="shared" si="153"/>
        <v/>
      </c>
      <c r="MM9" s="231" t="str">
        <f t="shared" si="153"/>
        <v/>
      </c>
      <c r="MN9" s="231" t="str">
        <f t="shared" si="153"/>
        <v/>
      </c>
      <c r="MO9" s="231" t="str">
        <f t="shared" si="153"/>
        <v/>
      </c>
      <c r="MP9" s="231" t="str">
        <f t="shared" si="153"/>
        <v/>
      </c>
      <c r="MQ9" s="231" t="str">
        <f t="shared" si="153"/>
        <v/>
      </c>
      <c r="MR9" s="231" t="str">
        <f t="shared" si="153"/>
        <v/>
      </c>
      <c r="MS9" s="231">
        <f t="shared" ref="MS9:MS40" si="154">IF(FI9="","",IF(MAX(LY9:MR9)=0,"",MAX(LY9:MR9)))</f>
        <v>91.6</v>
      </c>
      <c r="MT9" s="232" t="str">
        <f>IF(MS9="","",IF(MS9&gt;=KONVERSI!$A$5,KONVERSI!$E$5,IF(MS9&gt;=KONVERSI!$A$6,KONVERSI!$E$6,IF(MS9&gt;=KONVERSI!$A$7,KONVERSI!$E$7,KONVERSI!$E$8))))</f>
        <v>Baik</v>
      </c>
      <c r="MU9" s="233" t="str">
        <f t="shared" ref="MU9:MU40" si="155">IF(MS9="","",IF(FI9&gt;=$FN$4,MT9&amp;" dalam"&amp;INDEX($LY$8:$MR$8,MATCH(MS9,LY9:MR9,0)),""))</f>
        <v>Baik dalamjenis, sifat, karakter dan teknik pengolahan kerang, kaca, keramik dan botol plastik</v>
      </c>
      <c r="MV9" s="234">
        <f>IF(MIN(LY9:MR9)=0,"",MIN(LY9:MR9))</f>
        <v>88</v>
      </c>
      <c r="MW9" s="232" t="str">
        <f>IF(MV9="","",IF(MV9&gt;=KONVERSI!$A$5,KONVERSI!$E$5,IF(MV9&gt;=KONVERSI!$A$6,KONVERSI!$E$6,IF(MV9&gt;=KONVERSI!$A$7,KONVERSI!$E$7,KONVERSI!$E$8))))</f>
        <v>Baik</v>
      </c>
      <c r="MX9" s="134" t="str">
        <f>IF(FI9&lt;$FN$4," "&amp;KONVERSI!$C$18&amp;INDEX($LY$8:$MR$8,MATCH(MV9,LY9:MR9,0))&amp;".",IF(KG9=0,"",IF(MV9&lt;&gt;0,MU9&amp;MW9&amp;".",MU9&amp;".")))</f>
        <v>Baik dalamjenis, sifat, karakter dan teknik pengolahan kerang, kaca, keramik dan botol plastikBaik.</v>
      </c>
      <c r="MY9" s="235" t="str">
        <f>IF(LY9="","",IF(LY9=$MS9,"OK","NO"))</f>
        <v>OK</v>
      </c>
      <c r="MZ9" s="235" t="str">
        <f t="shared" ref="MZ9:NB9" si="156">IF(LZ9="","",IF(LZ9=$MS9,"OK","NO"))</f>
        <v>NO</v>
      </c>
      <c r="NA9" s="235" t="str">
        <f t="shared" si="156"/>
        <v/>
      </c>
      <c r="NB9" s="235" t="str">
        <f t="shared" si="156"/>
        <v/>
      </c>
      <c r="NC9" s="235" t="str">
        <f t="shared" ref="NC9" si="157">IF(MC9="","",IF(MC9=$MS9,"OK","NO"))</f>
        <v/>
      </c>
      <c r="ND9" s="235" t="str">
        <f t="shared" ref="ND9:NE9" si="158">IF(MD9="","",IF(MD9=$MS9,"OK","NO"))</f>
        <v/>
      </c>
      <c r="NE9" s="235" t="str">
        <f t="shared" si="158"/>
        <v/>
      </c>
      <c r="NF9" s="235" t="str">
        <f t="shared" ref="NF9" si="159">IF(MF9="","",IF(MF9=$MS9,"OK","NO"))</f>
        <v/>
      </c>
      <c r="NG9" s="235" t="str">
        <f t="shared" ref="NG9:NH9" si="160">IF(MG9="","",IF(MG9=$MS9,"OK","NO"))</f>
        <v/>
      </c>
      <c r="NH9" s="235" t="str">
        <f t="shared" si="160"/>
        <v/>
      </c>
      <c r="NI9" s="235" t="str">
        <f t="shared" ref="NI9" si="161">IF(MI9="","",IF(MI9=$MS9,"OK","NO"))</f>
        <v/>
      </c>
      <c r="NJ9" s="235" t="str">
        <f t="shared" ref="NJ9:NK9" si="162">IF(MJ9="","",IF(MJ9=$MS9,"OK","NO"))</f>
        <v/>
      </c>
      <c r="NK9" s="235" t="str">
        <f t="shared" si="162"/>
        <v/>
      </c>
      <c r="NL9" s="235" t="str">
        <f t="shared" ref="NL9" si="163">IF(ML9="","",IF(ML9=$MS9,"OK","NO"))</f>
        <v/>
      </c>
      <c r="NM9" s="235" t="str">
        <f t="shared" ref="NM9:NN9" si="164">IF(MM9="","",IF(MM9=$MS9,"OK","NO"))</f>
        <v/>
      </c>
      <c r="NN9" s="235" t="str">
        <f t="shared" si="164"/>
        <v/>
      </c>
      <c r="NO9" s="235" t="str">
        <f t="shared" ref="NO9" si="165">IF(MO9="","",IF(MO9=$MS9,"OK","NO"))</f>
        <v/>
      </c>
      <c r="NP9" s="235" t="str">
        <f t="shared" ref="NP9:NQ9" si="166">IF(MP9="","",IF(MP9=$MS9,"OK","NO"))</f>
        <v/>
      </c>
      <c r="NQ9" s="235" t="str">
        <f t="shared" si="166"/>
        <v/>
      </c>
      <c r="NR9" s="235" t="str">
        <f t="shared" ref="NR9" si="167">IF(MR9="","",IF(MR9=$MS9,"OK","NO"))</f>
        <v/>
      </c>
      <c r="NS9" s="134" t="str">
        <f>IF(MY9="OK",MY$8,"")</f>
        <v>jenis, sifat, karakter dan teknik pengolahan kerang, kaca, keramik dan botol plastik</v>
      </c>
      <c r="NT9" s="134" t="str">
        <f t="shared" ref="NT9:OL9" si="168">IF(MZ9="OK",MZ$8,"")</f>
        <v/>
      </c>
      <c r="NU9" s="134" t="str">
        <f t="shared" si="168"/>
        <v/>
      </c>
      <c r="NV9" s="134" t="str">
        <f t="shared" si="168"/>
        <v/>
      </c>
      <c r="NW9" s="134" t="str">
        <f t="shared" si="168"/>
        <v/>
      </c>
      <c r="NX9" s="134" t="str">
        <f t="shared" si="168"/>
        <v/>
      </c>
      <c r="NY9" s="134" t="str">
        <f t="shared" si="168"/>
        <v/>
      </c>
      <c r="NZ9" s="134" t="str">
        <f t="shared" si="168"/>
        <v/>
      </c>
      <c r="OA9" s="134" t="str">
        <f t="shared" si="168"/>
        <v/>
      </c>
      <c r="OB9" s="134" t="str">
        <f t="shared" si="168"/>
        <v/>
      </c>
      <c r="OC9" s="134" t="str">
        <f t="shared" si="168"/>
        <v/>
      </c>
      <c r="OD9" s="134" t="str">
        <f t="shared" si="168"/>
        <v/>
      </c>
      <c r="OE9" s="134" t="str">
        <f t="shared" si="168"/>
        <v/>
      </c>
      <c r="OF9" s="134" t="str">
        <f t="shared" si="168"/>
        <v/>
      </c>
      <c r="OG9" s="134" t="str">
        <f t="shared" si="168"/>
        <v/>
      </c>
      <c r="OH9" s="134" t="str">
        <f t="shared" si="168"/>
        <v/>
      </c>
      <c r="OI9" s="134" t="str">
        <f t="shared" si="168"/>
        <v/>
      </c>
      <c r="OJ9" s="134" t="str">
        <f t="shared" si="168"/>
        <v/>
      </c>
      <c r="OK9" s="134" t="str">
        <f t="shared" si="168"/>
        <v/>
      </c>
      <c r="OL9" s="134" t="str">
        <f t="shared" si="168"/>
        <v/>
      </c>
      <c r="OM9" s="134" t="str">
        <f>IF(MS9="","",MT9&amp;" dalam "&amp;NS9&amp;NT9&amp;NU9&amp;NV9&amp;NW9&amp;NX9&amp;NY9&amp;NZ9&amp;OA9&amp;OB9&amp;OC9&amp;OD9&amp;OE9&amp;OF9&amp;OG9&amp;OH9&amp;OI9&amp;OJ9&amp;OK9&amp;OL9)</f>
        <v>Baik dalam jenis, sifat, karakter dan teknik pengolahan kerang, kaca, keramik dan botol plastik</v>
      </c>
      <c r="ON9" s="134" t="str">
        <f>IF(OM9="","",REPLACE(OM9,LEN(OM9),1,"."))&amp;"  "</f>
        <v>Baik dalam jenis, sifat, karakter dan teknik pengolahan kerang, kaca, keramik dan botol plasti.  </v>
      </c>
      <c r="OO9" s="236">
        <f t="shared" ref="OO9:OO40" si="169">COUNTIF(MY9:NR9,"OK")</f>
        <v>1</v>
      </c>
      <c r="OP9" s="235" t="str">
        <f>IF(LY9="","",IF(LY9=$MV9,"OK","NO"))</f>
        <v>NO</v>
      </c>
      <c r="OQ9" s="235" t="str">
        <f t="shared" ref="OQ9:PI9" si="170">IF(LZ9="","",IF(LZ9=$MV9,"OK","NO"))</f>
        <v>OK</v>
      </c>
      <c r="OR9" s="235" t="str">
        <f t="shared" si="170"/>
        <v/>
      </c>
      <c r="OS9" s="235" t="str">
        <f t="shared" si="170"/>
        <v/>
      </c>
      <c r="OT9" s="235" t="str">
        <f t="shared" si="170"/>
        <v/>
      </c>
      <c r="OU9" s="235" t="str">
        <f t="shared" si="170"/>
        <v/>
      </c>
      <c r="OV9" s="235" t="str">
        <f t="shared" si="170"/>
        <v/>
      </c>
      <c r="OW9" s="235" t="str">
        <f t="shared" si="170"/>
        <v/>
      </c>
      <c r="OX9" s="235" t="str">
        <f t="shared" si="170"/>
        <v/>
      </c>
      <c r="OY9" s="235" t="str">
        <f t="shared" si="170"/>
        <v/>
      </c>
      <c r="OZ9" s="235" t="str">
        <f t="shared" si="170"/>
        <v/>
      </c>
      <c r="PA9" s="235" t="str">
        <f t="shared" si="170"/>
        <v/>
      </c>
      <c r="PB9" s="235" t="str">
        <f t="shared" si="170"/>
        <v/>
      </c>
      <c r="PC9" s="235" t="str">
        <f t="shared" si="170"/>
        <v/>
      </c>
      <c r="PD9" s="235" t="str">
        <f t="shared" si="170"/>
        <v/>
      </c>
      <c r="PE9" s="235" t="str">
        <f t="shared" si="170"/>
        <v/>
      </c>
      <c r="PF9" s="235" t="str">
        <f t="shared" si="170"/>
        <v/>
      </c>
      <c r="PG9" s="235" t="str">
        <f t="shared" si="170"/>
        <v/>
      </c>
      <c r="PH9" s="235" t="str">
        <f t="shared" si="170"/>
        <v/>
      </c>
      <c r="PI9" s="235" t="str">
        <f t="shared" si="170"/>
        <v/>
      </c>
      <c r="PJ9" s="134" t="str">
        <f>IF(OP9="OK",OP$8,"")</f>
        <v/>
      </c>
      <c r="PK9" s="134" t="str">
        <f t="shared" ref="PK9:QC9" si="171">IF(OQ9="OK",OQ$8,"")</f>
        <v>prinsip perancangan, pembuatan dan penyajian produk kerajinan kerang, kaca, keramik dan botol plastik yang kreatif dan inovatif</v>
      </c>
      <c r="PL9" s="134" t="str">
        <f t="shared" si="171"/>
        <v/>
      </c>
      <c r="PM9" s="134" t="str">
        <f t="shared" si="171"/>
        <v/>
      </c>
      <c r="PN9" s="134" t="str">
        <f t="shared" si="171"/>
        <v/>
      </c>
      <c r="PO9" s="134" t="str">
        <f t="shared" si="171"/>
        <v/>
      </c>
      <c r="PP9" s="134" t="str">
        <f t="shared" si="171"/>
        <v/>
      </c>
      <c r="PQ9" s="134" t="str">
        <f t="shared" si="171"/>
        <v/>
      </c>
      <c r="PR9" s="134" t="str">
        <f t="shared" si="171"/>
        <v/>
      </c>
      <c r="PS9" s="134" t="str">
        <f t="shared" si="171"/>
        <v/>
      </c>
      <c r="PT9" s="134" t="str">
        <f t="shared" si="171"/>
        <v/>
      </c>
      <c r="PU9" s="134" t="str">
        <f t="shared" si="171"/>
        <v/>
      </c>
      <c r="PV9" s="134" t="str">
        <f t="shared" si="171"/>
        <v/>
      </c>
      <c r="PW9" s="134" t="str">
        <f t="shared" si="171"/>
        <v/>
      </c>
      <c r="PX9" s="134" t="str">
        <f t="shared" si="171"/>
        <v/>
      </c>
      <c r="PY9" s="134" t="str">
        <f t="shared" si="171"/>
        <v/>
      </c>
      <c r="PZ9" s="134" t="str">
        <f t="shared" si="171"/>
        <v/>
      </c>
      <c r="QA9" s="134" t="str">
        <f t="shared" si="171"/>
        <v/>
      </c>
      <c r="QB9" s="134" t="str">
        <f t="shared" si="171"/>
        <v/>
      </c>
      <c r="QC9" s="134" t="str">
        <f t="shared" si="171"/>
        <v/>
      </c>
      <c r="QD9" s="134" t="str">
        <f>IF(MT9=MW9,"",IF(MV9="","",IF(MV9&gt;=KONVERSI!$A$7,'KI3'!MW9&amp;" dalam"&amp;PJ9&amp;PK9&amp;PL9&amp;PM9&amp;PN9&amp;PO9&amp;PP9&amp;PQ9&amp;PR9&amp;PS9&amp;PT9&amp;PU9&amp;PV9&amp;PW9&amp;PX9&amp;PY9&amp;PZ9&amp;QA9&amp;QB9&amp;QC9,KONVERSI!$C$18&amp;" dalam"&amp;PJ9&amp;PK9&amp;PL9&amp;PM9&amp;PN9&amp;PO9&amp;PP9&amp;PQ9&amp;PR9&amp;PS9&amp;PT9&amp;PU9&amp;PV9&amp;PW9&amp;PX9&amp;PY9&amp;PZ9&amp;QA9&amp;QB9&amp;QC9)))</f>
        <v/>
      </c>
      <c r="QE9" s="134" t="str">
        <f>IF(QD9="","",REPLACE(QD9,LEN(QD9),1,"."))</f>
        <v/>
      </c>
      <c r="QF9" s="236">
        <f t="shared" ref="QF9:QF40" si="172">COUNTIF(OP9:PI9,"OK")</f>
        <v>1</v>
      </c>
      <c r="QG9" s="134" t="str">
        <f t="shared" ref="QG9:QG40" si="173">IF(FI9="","",ON9&amp;IF(QF9=0,"",QE9))</f>
        <v>Baik dalam jenis, sifat, karakter dan teknik pengolahan kerang, kaca, keramik dan botol plasti.  </v>
      </c>
    </row>
    <row r="10" ht="27.6" customHeight="1" spans="1:449">
      <c r="A10" s="136"/>
      <c r="B10" s="177">
        <v>2</v>
      </c>
      <c r="C10" s="178" t="str">
        <f>siswa!C6</f>
        <v>AMBRESIUS NERI ELYANTO LUBIS</v>
      </c>
      <c r="D10" s="174">
        <f>siswa!D6</f>
        <v>2717</v>
      </c>
      <c r="E10" s="175">
        <v>80</v>
      </c>
      <c r="F10" s="175">
        <v>80</v>
      </c>
      <c r="G10" s="248"/>
      <c r="H10" s="176"/>
      <c r="I10" s="176"/>
      <c r="J10" s="175">
        <v>82</v>
      </c>
      <c r="K10" s="176"/>
      <c r="L10" s="223">
        <f t="shared" ref="L10:L58" si="174">IFERROR(IF($E$6="",0,IF(AND(J10="",K10=""),AVERAGE(E10:I10),(AVERAGE(E10:I10)*$Q$3)+(AVERAGE(J10:K10)*$R$3))),"")</f>
        <v>80.8</v>
      </c>
      <c r="M10" s="250">
        <v>82</v>
      </c>
      <c r="N10" s="250">
        <v>82</v>
      </c>
      <c r="O10" s="248"/>
      <c r="P10" s="176"/>
      <c r="Q10" s="176"/>
      <c r="R10" s="250">
        <v>84</v>
      </c>
      <c r="S10" s="176"/>
      <c r="T10" s="223">
        <f t="shared" ref="T10:T58" si="175">IFERROR(IF($M$6="",0,IF(AND(R10="",S10=""),AVERAGE(M10:Q10),(AVERAGE(M10:Q10)*$Q$3)+(AVERAGE(R10:S10)*$R$3))),"")</f>
        <v>82.8</v>
      </c>
      <c r="U10" s="248"/>
      <c r="V10" s="248"/>
      <c r="W10" s="248"/>
      <c r="X10" s="176"/>
      <c r="Y10" s="176"/>
      <c r="Z10" s="250"/>
      <c r="AA10" s="176"/>
      <c r="AB10" s="223">
        <f t="shared" ref="AB10:AB58" si="176">IFERROR(IF($U$6="",0,IF(AND(Z10="",AA10=""),AVERAGE(U10:Y10),(AVERAGE(U10:Y10)*$Q$3)+(AVERAGE(Z10:AA10)*$R$3))),"")</f>
        <v>0</v>
      </c>
      <c r="AC10" s="248"/>
      <c r="AD10" s="248"/>
      <c r="AE10" s="248"/>
      <c r="AF10" s="248"/>
      <c r="AG10" s="176"/>
      <c r="AH10" s="250"/>
      <c r="AI10" s="176"/>
      <c r="AJ10" s="223">
        <f t="shared" ref="AJ10:AJ58" si="177">IFERROR(IF($AC$6="",0,IF(AND(AH10="",AI10=""),AVERAGE(AC10:AG10),(AVERAGE(AC10:AG10)*$Q$3)+(AVERAGE(AH10:AI10)*$R$3))),"")</f>
        <v>0</v>
      </c>
      <c r="AK10" s="176"/>
      <c r="AL10" s="176"/>
      <c r="AM10" s="176"/>
      <c r="AN10" s="176"/>
      <c r="AO10" s="176"/>
      <c r="AP10" s="176"/>
      <c r="AQ10" s="176"/>
      <c r="AR10" s="223">
        <f t="shared" ref="AR10:AR58" si="178">IFERROR(IF($AK$6="",0,IF(AND(AP10="",AQ10=""),AVERAGE(AK10:AO10),(AVERAGE(AK10:AO10)*$Q$3)+(AVERAGE(AP10:AQ10)*$R$3))),"")</f>
        <v>0</v>
      </c>
      <c r="AS10" s="176"/>
      <c r="AT10" s="176"/>
      <c r="AU10" s="176"/>
      <c r="AV10" s="176"/>
      <c r="AW10" s="176"/>
      <c r="AX10" s="176"/>
      <c r="AY10" s="176"/>
      <c r="AZ10" s="223">
        <f t="shared" ref="AZ10:AZ58" si="179">IFERROR(IF($AS$6="",0,IF(AND(AX10="",AY10=""),AVERAGE(AS10:AW10),(AVERAGE(AS10:AW10)*$Q$3)+(AVERAGE(AX10:AY10)*$R$3))),"")</f>
        <v>0</v>
      </c>
      <c r="BA10" s="176"/>
      <c r="BB10" s="176"/>
      <c r="BC10" s="176"/>
      <c r="BD10" s="176"/>
      <c r="BE10" s="176"/>
      <c r="BF10" s="176"/>
      <c r="BG10" s="176"/>
      <c r="BH10" s="223">
        <f t="shared" ref="BH10:BH58" si="180">IFERROR(IF($BA$6="",0,IF(AND(BF10="",BG10=""),AVERAGE(BA10:BE10),(AVERAGE(BA10:BE10)*$Q$3)+(AVERAGE(BF10:BG10)*$R$3))),"")</f>
        <v>0</v>
      </c>
      <c r="BI10" s="176"/>
      <c r="BJ10" s="176"/>
      <c r="BK10" s="176"/>
      <c r="BL10" s="176"/>
      <c r="BM10" s="176"/>
      <c r="BN10" s="176"/>
      <c r="BO10" s="176"/>
      <c r="BP10" s="223">
        <f t="shared" ref="BP10:BP58" si="181">IFERROR(IF($BI$6="",0,IF(AND(BN10="",BO10=""),AVERAGE(BI10:BM10),(AVERAGE(BI10:BM10)*$Q$3)+(AVERAGE(BN10:BO10)*$R$3))),"")</f>
        <v>0</v>
      </c>
      <c r="BQ10" s="176"/>
      <c r="BR10" s="176"/>
      <c r="BS10" s="176"/>
      <c r="BT10" s="176"/>
      <c r="BU10" s="176"/>
      <c r="BV10" s="176"/>
      <c r="BW10" s="176"/>
      <c r="BX10" s="223">
        <f t="shared" ref="BX10:BX58" si="182">IFERROR(IF($BQ$6="",0,IF(AND(BV10="",BW10=""),AVERAGE(BQ10:BU10),(AVERAGE(BQ10:BU10)*$Q$3)+(AVERAGE(BV10:BW10)*$R$3))),"")</f>
        <v>0</v>
      </c>
      <c r="BY10" s="176"/>
      <c r="BZ10" s="176"/>
      <c r="CA10" s="176"/>
      <c r="CB10" s="176"/>
      <c r="CC10" s="176"/>
      <c r="CD10" s="176"/>
      <c r="CE10" s="176"/>
      <c r="CF10" s="223">
        <f t="shared" ref="CF10:CF58" si="183">IFERROR(IF($BY$6="",0,IF(AND(CD10="",CE10=""),AVERAGE(BY10:CC10),(AVERAGE(BY10:CC10)*$Q$3)+(AVERAGE(CD10:CE10)*$R$3))),"")</f>
        <v>0</v>
      </c>
      <c r="CG10" s="176"/>
      <c r="CH10" s="176"/>
      <c r="CI10" s="176"/>
      <c r="CJ10" s="176"/>
      <c r="CK10" s="176"/>
      <c r="CL10" s="176"/>
      <c r="CM10" s="176"/>
      <c r="CN10" s="223">
        <f t="shared" ref="CN10:CN58" si="184">IFERROR(IF($CG$6="",0,IF(AND(CL10="",CM10=""),AVERAGE(CG10:CK10),(AVERAGE(CG10:CK10)*$Q$3)+(AVERAGE(CL10:CM10)*$R$3))),"")</f>
        <v>0</v>
      </c>
      <c r="CO10" s="176"/>
      <c r="CP10" s="176"/>
      <c r="CQ10" s="176"/>
      <c r="CR10" s="176"/>
      <c r="CS10" s="176"/>
      <c r="CT10" s="176"/>
      <c r="CU10" s="176"/>
      <c r="CV10" s="223">
        <f t="shared" ref="CV10:CV58" si="185">IFERROR(IF($CO$6="",0,IF(AND(CT10="",CU10=""),AVERAGE(CO10:CS10),(AVERAGE(CO10:CS10)*$Q$3)+(AVERAGE(CT10:CU10)*$R$3))),"")</f>
        <v>0</v>
      </c>
      <c r="CW10" s="176"/>
      <c r="CX10" s="176"/>
      <c r="CY10" s="176"/>
      <c r="CZ10" s="176"/>
      <c r="DA10" s="176"/>
      <c r="DB10" s="176"/>
      <c r="DC10" s="176"/>
      <c r="DD10" s="223">
        <f t="shared" ref="DD10:DD58" si="186">IFERROR(IF($CW$6="",0,IF(AND(DB10="",DC10=""),AVERAGE(CW10:DA10),(AVERAGE(CW10:DA10)*$Q$3)+(AVERAGE(DB10:DC10)*$R$3))),"")</f>
        <v>0</v>
      </c>
      <c r="DE10" s="176"/>
      <c r="DF10" s="176"/>
      <c r="DG10" s="176"/>
      <c r="DH10" s="176"/>
      <c r="DI10" s="176"/>
      <c r="DJ10" s="176"/>
      <c r="DK10" s="176"/>
      <c r="DL10" s="223">
        <f t="shared" ref="DL10:DL58" si="187">IFERROR(IF($DE$6="",0,IF(AND(DJ10="",DK10=""),AVERAGE(DE10:DI10),(AVERAGE(DE10:DI10)*$Q$3)+(AVERAGE(DJ10:DK10)*$R$3))),"")</f>
        <v>0</v>
      </c>
      <c r="DM10" s="176"/>
      <c r="DN10" s="176"/>
      <c r="DO10" s="176"/>
      <c r="DP10" s="176"/>
      <c r="DQ10" s="176"/>
      <c r="DR10" s="176"/>
      <c r="DS10" s="176"/>
      <c r="DT10" s="223">
        <f t="shared" ref="DT10:DT58" si="188">IFERROR(IF($DM$6="",0,IF(AND(DR10="",DS10=""),AVERAGE(DM10:DQ10),(AVERAGE(DM10:DQ10)*$Q$3)+(AVERAGE(DR10:DS10)*$R$3))),"")</f>
        <v>0</v>
      </c>
      <c r="DU10" s="176"/>
      <c r="DV10" s="176"/>
      <c r="DW10" s="176"/>
      <c r="DX10" s="176"/>
      <c r="DY10" s="176"/>
      <c r="DZ10" s="176"/>
      <c r="EA10" s="176"/>
      <c r="EB10" s="223">
        <f t="shared" ref="EB10:EB58" si="189">IFERROR(IF($DU$6="",0,IF(AND(DZ10="",EA10=""),AVERAGE(DU10:DY10),(AVERAGE(DU10:DY10)*$Q$3)+(AVERAGE(DZ10:EA10)*$R$3))),"")</f>
        <v>0</v>
      </c>
      <c r="EC10" s="176"/>
      <c r="ED10" s="176"/>
      <c r="EE10" s="176"/>
      <c r="EF10" s="176"/>
      <c r="EG10" s="176"/>
      <c r="EH10" s="176"/>
      <c r="EI10" s="176"/>
      <c r="EJ10" s="223">
        <f t="shared" ref="EJ10:EJ58" si="190">IFERROR(IF($EC$6="",0,IF(AND(EH10="",EI10=""),AVERAGE(EC10:EG10),(AVERAGE(EC10:EG10)*$Q$3)+(AVERAGE(EH10:EI10)*$R$3))),"")</f>
        <v>0</v>
      </c>
      <c r="EK10" s="176"/>
      <c r="EL10" s="176"/>
      <c r="EM10" s="176"/>
      <c r="EN10" s="176"/>
      <c r="EO10" s="176"/>
      <c r="EP10" s="176"/>
      <c r="EQ10" s="176"/>
      <c r="ER10" s="223">
        <f t="shared" ref="ER10:ER58" si="191">IFERROR(IF($EK$6="",0,IF(AND(EP10="",EQ10=""),AVERAGE(EK10:EO10),(AVERAGE(EK10:EO10)*$Q$3)+(AVERAGE(EP10:EQ10)*$R$3))),"")</f>
        <v>0</v>
      </c>
      <c r="ES10" s="176"/>
      <c r="ET10" s="176"/>
      <c r="EU10" s="176"/>
      <c r="EV10" s="176"/>
      <c r="EW10" s="176"/>
      <c r="EX10" s="176"/>
      <c r="EY10" s="176"/>
      <c r="EZ10" s="223">
        <f t="shared" ref="EZ10:EZ58" si="192">IFERROR(IF($ES$6="",0,IF(AND(EX10="",EY10=""),AVERAGE(ES10:EW10),(AVERAGE(ES10:EW10)*$Q$3)+(AVERAGE(EX10:EY10)*$R$3))),"")</f>
        <v>0</v>
      </c>
      <c r="FA10" s="176"/>
      <c r="FB10" s="176"/>
      <c r="FC10" s="176"/>
      <c r="FD10" s="176"/>
      <c r="FE10" s="176"/>
      <c r="FF10" s="176"/>
      <c r="FG10" s="176"/>
      <c r="FH10" s="223">
        <f t="shared" ref="FH10:FH58" si="193">IFERROR(IF($FA$6="",0,IF(AND(FF10="",FG10=""),AVERAGE(FA10:FE10),(AVERAGE(FA10:FE10)*$Q$3)+(AVERAGE(FF10:FG10)*$R$3))),"")</f>
        <v>0</v>
      </c>
      <c r="FI10" s="291">
        <f t="shared" ref="FI10:FI58" si="194">IFERROR(IF(KG10=0,"",ROUND(KG10,0)),"")</f>
        <v>82</v>
      </c>
      <c r="FJ10" s="250">
        <v>74</v>
      </c>
      <c r="FK10" s="250"/>
      <c r="FL10" s="291">
        <f t="shared" ref="FL10:FL58" si="195">IFERROR(IF(FJ10="",ROUND((((FI10*$FJ$3)+(FK10*$FL$3))/($FJ$3+$FL$3)),0),ROUND((((FI10*$FJ$3)+(FJ10*$FK$3)+(FK10*$FL$3))/$FM$3),0)),"")</f>
        <v>79</v>
      </c>
      <c r="FM10" s="312" t="str">
        <f>IFERROR(IF(FL10="","",IF(FL10&gt;=KONVERSI!$A$5,KONVERSI!$D$5,IF(FL10&gt;=KONVERSI!$A$6,KONVERSI!$D$6,IF(FL10&gt;=KONVERSI!$A$7,KONVERSI!$D$7,KONVERSI!$D$8)))),"")</f>
        <v>C</v>
      </c>
      <c r="FN10" s="232" t="str">
        <f t="shared" ref="FN10:FN58" si="196">IFERROR(IF(FL10="","",IF(FL10&gt;=$FN$4,"Tuntas","BelumTuntas")),"")</f>
        <v>Tuntas</v>
      </c>
      <c r="FO10" s="313"/>
      <c r="FP10" s="314">
        <f t="shared" ref="FP10:FP58" si="197">IFERROR(ROUND(AVERAGE(FQ10:FT10,FW10:FZ10,GC10:GF10,GI10:GL10,GO10:GR10,GU10:GX10,HA10:HD10,HG10:HJ10,HM10:HP10,HS10:HV10,HY10:IB10,IE10:IH10,IK10:IN10,IQ10:IT10,IW10:IZ10),2),0)</f>
        <v>81</v>
      </c>
      <c r="FQ10" s="194">
        <f t="shared" si="33"/>
        <v>80</v>
      </c>
      <c r="FR10" s="194">
        <f t="shared" si="34"/>
        <v>80</v>
      </c>
      <c r="FS10" s="194" t="str">
        <f t="shared" si="35"/>
        <v/>
      </c>
      <c r="FT10" s="194" t="str">
        <f t="shared" si="36"/>
        <v/>
      </c>
      <c r="FU10" s="194" t="str">
        <f t="shared" si="37"/>
        <v/>
      </c>
      <c r="FV10" s="194">
        <f t="shared" si="38"/>
        <v>80.8</v>
      </c>
      <c r="FW10" s="194">
        <f t="shared" si="39"/>
        <v>82</v>
      </c>
      <c r="FX10" s="194">
        <f>IF($FW$6="","",IF(N10="","",N10))</f>
        <v>82</v>
      </c>
      <c r="FY10" s="194" t="str">
        <f t="shared" si="40"/>
        <v/>
      </c>
      <c r="FZ10" s="194" t="str">
        <f t="shared" si="41"/>
        <v/>
      </c>
      <c r="GA10" s="194" t="str">
        <f t="shared" si="42"/>
        <v/>
      </c>
      <c r="GB10" s="194">
        <f t="shared" si="43"/>
        <v>82.8</v>
      </c>
      <c r="GC10" s="194" t="str">
        <f t="shared" si="44"/>
        <v/>
      </c>
      <c r="GD10" s="194" t="str">
        <f t="shared" si="45"/>
        <v/>
      </c>
      <c r="GE10" s="194" t="str">
        <f t="shared" si="46"/>
        <v/>
      </c>
      <c r="GF10" s="194" t="str">
        <f t="shared" si="47"/>
        <v/>
      </c>
      <c r="GG10" s="194" t="str">
        <f t="shared" si="48"/>
        <v/>
      </c>
      <c r="GH10" s="194" t="str">
        <f t="shared" si="49"/>
        <v/>
      </c>
      <c r="GI10" s="194" t="str">
        <f t="shared" si="50"/>
        <v/>
      </c>
      <c r="GJ10" s="194" t="str">
        <f t="shared" si="51"/>
        <v/>
      </c>
      <c r="GK10" s="194" t="str">
        <f t="shared" si="52"/>
        <v/>
      </c>
      <c r="GL10" s="194" t="str">
        <f t="shared" si="53"/>
        <v/>
      </c>
      <c r="GM10" s="194" t="str">
        <f t="shared" si="54"/>
        <v/>
      </c>
      <c r="GN10" s="194" t="str">
        <f t="shared" si="55"/>
        <v/>
      </c>
      <c r="GO10" s="194" t="str">
        <f t="shared" si="56"/>
        <v/>
      </c>
      <c r="GP10" s="194" t="str">
        <f t="shared" si="57"/>
        <v/>
      </c>
      <c r="GQ10" s="194" t="str">
        <f t="shared" si="58"/>
        <v/>
      </c>
      <c r="GR10" s="194" t="str">
        <f t="shared" si="59"/>
        <v/>
      </c>
      <c r="GS10" s="194" t="str">
        <f t="shared" si="60"/>
        <v/>
      </c>
      <c r="GT10" s="194" t="str">
        <f t="shared" si="61"/>
        <v/>
      </c>
      <c r="GU10" s="194" t="str">
        <f t="shared" si="62"/>
        <v/>
      </c>
      <c r="GV10" s="194" t="str">
        <f t="shared" si="63"/>
        <v/>
      </c>
      <c r="GW10" s="194" t="str">
        <f t="shared" si="64"/>
        <v/>
      </c>
      <c r="GX10" s="194" t="str">
        <f t="shared" si="65"/>
        <v/>
      </c>
      <c r="GY10" s="194" t="str">
        <f t="shared" si="66"/>
        <v/>
      </c>
      <c r="GZ10" s="194" t="str">
        <f t="shared" si="67"/>
        <v/>
      </c>
      <c r="HA10" s="194" t="str">
        <f t="shared" si="68"/>
        <v/>
      </c>
      <c r="HB10" s="194" t="str">
        <f t="shared" si="69"/>
        <v/>
      </c>
      <c r="HC10" s="194" t="str">
        <f t="shared" si="70"/>
        <v/>
      </c>
      <c r="HD10" s="194" t="str">
        <f t="shared" si="71"/>
        <v/>
      </c>
      <c r="HE10" s="194" t="str">
        <f t="shared" si="72"/>
        <v/>
      </c>
      <c r="HF10" s="194" t="str">
        <f t="shared" si="73"/>
        <v/>
      </c>
      <c r="HG10" s="194" t="str">
        <f t="shared" si="74"/>
        <v/>
      </c>
      <c r="HH10" s="194" t="str">
        <f t="shared" si="75"/>
        <v/>
      </c>
      <c r="HI10" s="194" t="str">
        <f t="shared" si="76"/>
        <v/>
      </c>
      <c r="HJ10" s="194" t="str">
        <f t="shared" si="77"/>
        <v/>
      </c>
      <c r="HK10" s="194" t="str">
        <f t="shared" si="78"/>
        <v/>
      </c>
      <c r="HL10" s="194" t="str">
        <f t="shared" si="79"/>
        <v/>
      </c>
      <c r="HM10" s="194" t="str">
        <f t="shared" si="80"/>
        <v/>
      </c>
      <c r="HN10" s="194" t="str">
        <f t="shared" si="81"/>
        <v/>
      </c>
      <c r="HO10" s="194" t="str">
        <f t="shared" si="82"/>
        <v/>
      </c>
      <c r="HP10" s="194" t="str">
        <f t="shared" si="83"/>
        <v/>
      </c>
      <c r="HQ10" s="194" t="str">
        <f t="shared" si="84"/>
        <v/>
      </c>
      <c r="HR10" s="194" t="str">
        <f t="shared" si="85"/>
        <v/>
      </c>
      <c r="HS10" s="194" t="str">
        <f t="shared" si="86"/>
        <v/>
      </c>
      <c r="HT10" s="194" t="str">
        <f t="shared" si="87"/>
        <v/>
      </c>
      <c r="HU10" s="194" t="str">
        <f t="shared" si="88"/>
        <v/>
      </c>
      <c r="HV10" s="194" t="str">
        <f t="shared" si="89"/>
        <v/>
      </c>
      <c r="HW10" s="194" t="str">
        <f t="shared" si="90"/>
        <v/>
      </c>
      <c r="HX10" s="194" t="str">
        <f t="shared" si="91"/>
        <v/>
      </c>
      <c r="HY10" s="194" t="str">
        <f t="shared" si="92"/>
        <v/>
      </c>
      <c r="HZ10" s="194" t="str">
        <f t="shared" si="93"/>
        <v/>
      </c>
      <c r="IA10" s="194" t="str">
        <f t="shared" si="94"/>
        <v/>
      </c>
      <c r="IB10" s="194" t="str">
        <f t="shared" si="95"/>
        <v/>
      </c>
      <c r="IC10" s="194" t="str">
        <f t="shared" si="96"/>
        <v/>
      </c>
      <c r="ID10" s="194" t="str">
        <f t="shared" si="97"/>
        <v/>
      </c>
      <c r="IE10" s="194" t="str">
        <f t="shared" si="98"/>
        <v/>
      </c>
      <c r="IF10" s="194" t="str">
        <f t="shared" si="99"/>
        <v/>
      </c>
      <c r="IG10" s="194" t="str">
        <f t="shared" si="100"/>
        <v/>
      </c>
      <c r="IH10" s="194" t="str">
        <f t="shared" si="101"/>
        <v/>
      </c>
      <c r="II10" s="194" t="str">
        <f t="shared" si="102"/>
        <v/>
      </c>
      <c r="IJ10" s="194" t="str">
        <f t="shared" si="103"/>
        <v/>
      </c>
      <c r="IK10" s="194" t="str">
        <f t="shared" si="104"/>
        <v/>
      </c>
      <c r="IL10" s="194" t="str">
        <f t="shared" si="105"/>
        <v/>
      </c>
      <c r="IM10" s="194" t="str">
        <f t="shared" si="106"/>
        <v/>
      </c>
      <c r="IN10" s="194" t="str">
        <f t="shared" si="107"/>
        <v/>
      </c>
      <c r="IO10" s="194" t="str">
        <f t="shared" si="108"/>
        <v/>
      </c>
      <c r="IP10" s="194" t="str">
        <f t="shared" si="109"/>
        <v/>
      </c>
      <c r="IQ10" s="194" t="str">
        <f t="shared" si="110"/>
        <v/>
      </c>
      <c r="IR10" s="194" t="str">
        <f t="shared" si="111"/>
        <v/>
      </c>
      <c r="IS10" s="194" t="str">
        <f t="shared" si="112"/>
        <v/>
      </c>
      <c r="IT10" s="194" t="str">
        <f t="shared" si="113"/>
        <v/>
      </c>
      <c r="IU10" s="194" t="str">
        <f t="shared" si="114"/>
        <v/>
      </c>
      <c r="IV10" s="194" t="str">
        <f t="shared" si="115"/>
        <v/>
      </c>
      <c r="IW10" s="194" t="str">
        <f t="shared" si="116"/>
        <v/>
      </c>
      <c r="IX10" s="194" t="str">
        <f t="shared" si="117"/>
        <v/>
      </c>
      <c r="IY10" s="194" t="str">
        <f t="shared" si="118"/>
        <v/>
      </c>
      <c r="IZ10" s="194" t="str">
        <f t="shared" si="119"/>
        <v/>
      </c>
      <c r="JA10" s="194" t="str">
        <f t="shared" si="120"/>
        <v/>
      </c>
      <c r="JB10" s="194" t="str">
        <f t="shared" si="121"/>
        <v/>
      </c>
      <c r="JC10" s="194" t="str">
        <f t="shared" si="122"/>
        <v/>
      </c>
      <c r="JD10" s="194" t="str">
        <f t="shared" si="123"/>
        <v/>
      </c>
      <c r="JE10" s="194" t="str">
        <f t="shared" si="124"/>
        <v/>
      </c>
      <c r="JF10" s="194" t="str">
        <f t="shared" si="125"/>
        <v/>
      </c>
      <c r="JG10" s="194" t="str">
        <f t="shared" si="126"/>
        <v/>
      </c>
      <c r="JH10" s="194" t="str">
        <f t="shared" si="127"/>
        <v/>
      </c>
      <c r="JI10" s="194" t="str">
        <f t="shared" si="128"/>
        <v/>
      </c>
      <c r="JJ10" s="194" t="str">
        <f t="shared" si="129"/>
        <v/>
      </c>
      <c r="JK10" s="194" t="str">
        <f t="shared" si="130"/>
        <v/>
      </c>
      <c r="JL10" s="194" t="str">
        <f t="shared" si="131"/>
        <v/>
      </c>
      <c r="JM10" s="194" t="str">
        <f t="shared" si="132"/>
        <v/>
      </c>
      <c r="JN10" s="194" t="str">
        <f t="shared" si="133"/>
        <v/>
      </c>
      <c r="JO10" s="194" t="str">
        <f t="shared" si="134"/>
        <v/>
      </c>
      <c r="JP10" s="194" t="str">
        <f t="shared" si="135"/>
        <v/>
      </c>
      <c r="JQ10" s="194" t="str">
        <f t="shared" si="136"/>
        <v/>
      </c>
      <c r="JR10" s="194" t="str">
        <f t="shared" si="137"/>
        <v/>
      </c>
      <c r="JS10" s="194" t="str">
        <f t="shared" si="138"/>
        <v/>
      </c>
      <c r="JT10" s="194" t="str">
        <f t="shared" si="139"/>
        <v/>
      </c>
      <c r="JU10" s="194" t="str">
        <f t="shared" si="140"/>
        <v/>
      </c>
      <c r="JV10" s="194" t="str">
        <f t="shared" si="141"/>
        <v/>
      </c>
      <c r="JW10" s="194" t="str">
        <f t="shared" si="142"/>
        <v/>
      </c>
      <c r="JX10" s="194" t="str">
        <f t="shared" si="143"/>
        <v/>
      </c>
      <c r="JY10" s="194" t="str">
        <f t="shared" si="144"/>
        <v/>
      </c>
      <c r="JZ10" s="194" t="str">
        <f t="shared" si="145"/>
        <v/>
      </c>
      <c r="KA10" s="194" t="str">
        <f t="shared" si="146"/>
        <v/>
      </c>
      <c r="KB10" s="194" t="str">
        <f t="shared" si="147"/>
        <v/>
      </c>
      <c r="KC10" s="194" t="str">
        <f t="shared" si="148"/>
        <v/>
      </c>
      <c r="KD10" s="194" t="str">
        <f t="shared" si="149"/>
        <v/>
      </c>
      <c r="KE10" s="194" t="str">
        <f t="shared" si="150"/>
        <v/>
      </c>
      <c r="KF10" s="194" t="str">
        <f t="shared" si="151"/>
        <v/>
      </c>
      <c r="KG10" s="194">
        <f>SUM(LE10:LX10)/COUNTA(RefKI3KI4!$B$5:$B$24)</f>
        <v>81.8</v>
      </c>
      <c r="KH10" s="232">
        <f t="shared" ref="KH10:KH58" si="198">COUNTIF(LE10:LX10,0)</f>
        <v>0</v>
      </c>
      <c r="KI10" s="340" t="str">
        <f t="shared" ref="KI10:KI58" si="199">IF($LY$8="","",IF(LE10&gt;=$FN$4,"ok","no"))</f>
        <v>ok</v>
      </c>
      <c r="KJ10" s="340" t="str">
        <f t="shared" ref="KJ10:KJ58" si="200">IF(LZ$8="","",IF(LF10&gt;=$FN$4,"ok","no"))</f>
        <v>ok</v>
      </c>
      <c r="KK10" s="340" t="str">
        <f t="shared" ref="KK10:KK58" si="201">IF(MA$8="","",IF(LG10&gt;=$FN$4,"ok","no"))</f>
        <v/>
      </c>
      <c r="KL10" s="340" t="str">
        <f t="shared" ref="KL10:KL58" si="202">IF(MB$8="","",IF(LH10&gt;=$FN$4,"ok","no"))</f>
        <v/>
      </c>
      <c r="KM10" s="340" t="str">
        <f t="shared" ref="KM10:KM58" si="203">IF(MC$8="","",IF(LI10&gt;=$FN$4,"ok","no"))</f>
        <v/>
      </c>
      <c r="KN10" s="340" t="str">
        <f t="shared" ref="KN10:KN58" si="204">IF(MD$8="","",IF(LJ10&gt;=$FN$4,"ok","no"))</f>
        <v/>
      </c>
      <c r="KO10" s="340" t="str">
        <f t="shared" ref="KO10:KO58" si="205">IF(ME$8="","",IF(LK10&gt;=$FN$4,"ok","no"))</f>
        <v/>
      </c>
      <c r="KP10" s="340" t="str">
        <f t="shared" ref="KP10:KP58" si="206">IF(MF$8="","",IF(LL10&gt;=$FN$4,"ok","no"))</f>
        <v/>
      </c>
      <c r="KQ10" s="340" t="str">
        <f t="shared" ref="KQ10:KQ58" si="207">IF(MG$8="","",IF(LM10&gt;=$FN$4,"ok","no"))</f>
        <v/>
      </c>
      <c r="KR10" s="340" t="str">
        <f t="shared" ref="KR10:KR58" si="208">IF(MH$8="","",IF(LN10&gt;=$FN$4,"ok","no"))</f>
        <v/>
      </c>
      <c r="KS10" s="340" t="str">
        <f t="shared" ref="KS10:KS58" si="209">IF(MI$8="","",IF(LO10&gt;=$FN$4,"ok","no"))</f>
        <v/>
      </c>
      <c r="KT10" s="340" t="str">
        <f t="shared" ref="KT10:KT58" si="210">IF(MJ$8="","",IF(LP10&gt;=$FN$4,"ok","no"))</f>
        <v/>
      </c>
      <c r="KU10" s="340" t="str">
        <f t="shared" ref="KU10:KU58" si="211">IF(MK$8="","",IF(LQ10&gt;=$FN$4,"ok","no"))</f>
        <v/>
      </c>
      <c r="KV10" s="340" t="str">
        <f t="shared" ref="KV10:KV58" si="212">IF(ML$8="","",IF(LR10&gt;=$FN$4,"ok","no"))</f>
        <v/>
      </c>
      <c r="KW10" s="340" t="str">
        <f t="shared" ref="KW10:KW58" si="213">IF(MM$8="","",IF(LS10&gt;=$FN$4,"ok","no"))</f>
        <v/>
      </c>
      <c r="KX10" s="340" t="str">
        <f t="shared" ref="KX10:KX58" si="214">IF(MN$8="","",IF(LT10&gt;=$FN$4,"ok","no"))</f>
        <v/>
      </c>
      <c r="KY10" s="340" t="str">
        <f t="shared" ref="KY10:KY58" si="215">IF(MO$8="","",IF(LU10&gt;=$FN$4,"ok","no"))</f>
        <v/>
      </c>
      <c r="KZ10" s="340" t="str">
        <f t="shared" ref="KZ10:KZ58" si="216">IF(MP$8="","",IF(LV10&gt;=$FN$4,"ok","no"))</f>
        <v/>
      </c>
      <c r="LA10" s="340" t="str">
        <f t="shared" ref="LA10:LA58" si="217">IF(MQ$8="","",IF(LW10&gt;=$FN$4,"ok","no"))</f>
        <v/>
      </c>
      <c r="LB10" s="340" t="str">
        <f t="shared" ref="LB10:LB58" si="218">IF(MR$8="","",IF(LX10&gt;=$FN$4,"ok","no"))</f>
        <v/>
      </c>
      <c r="LC10" s="340">
        <f t="shared" ref="LC10:LC58" si="219">COUNTIF(KI10:LB10,"no")</f>
        <v>0</v>
      </c>
      <c r="LD10" s="228">
        <v>2</v>
      </c>
      <c r="LE10" s="229">
        <f t="shared" ref="LE10:LE58" si="220">IF(FV10="","",FV10)</f>
        <v>80.8</v>
      </c>
      <c r="LF10" s="229">
        <f t="shared" ref="LF10:LF58" si="221">GB10</f>
        <v>82.8</v>
      </c>
      <c r="LG10" s="229" t="str">
        <f t="shared" ref="LG10:LG58" si="222">GH10</f>
        <v/>
      </c>
      <c r="LH10" s="229" t="str">
        <f t="shared" ref="LH10:LH58" si="223">GN10</f>
        <v/>
      </c>
      <c r="LI10" s="229" t="str">
        <f t="shared" ref="LI10:LI58" si="224">GT10</f>
        <v/>
      </c>
      <c r="LJ10" s="229" t="str">
        <f t="shared" ref="LJ10:LJ58" si="225">GZ10</f>
        <v/>
      </c>
      <c r="LK10" s="229" t="str">
        <f t="shared" ref="LK10:LK58" si="226">HF10</f>
        <v/>
      </c>
      <c r="LL10" s="229" t="str">
        <f t="shared" ref="LL10:LL58" si="227">HL10</f>
        <v/>
      </c>
      <c r="LM10" s="229" t="str">
        <f t="shared" ref="LM10:LM58" si="228">HR10</f>
        <v/>
      </c>
      <c r="LN10" s="229" t="str">
        <f t="shared" ref="LN10:LN58" si="229">HX10</f>
        <v/>
      </c>
      <c r="LO10" s="229" t="str">
        <f t="shared" ref="LO10:LO58" si="230">ID10</f>
        <v/>
      </c>
      <c r="LP10" s="229" t="str">
        <f t="shared" ref="LP10:LP58" si="231">IJ10</f>
        <v/>
      </c>
      <c r="LQ10" s="229" t="str">
        <f t="shared" ref="LQ10:LQ58" si="232">IP10</f>
        <v/>
      </c>
      <c r="LR10" s="229" t="str">
        <f t="shared" ref="LR10:LR58" si="233">IV10</f>
        <v/>
      </c>
      <c r="LS10" s="229" t="str">
        <f t="shared" ref="LS10:LS58" si="234">JB10</f>
        <v/>
      </c>
      <c r="LT10" s="229" t="str">
        <f t="shared" ref="LT10:LT58" si="235">JH10</f>
        <v/>
      </c>
      <c r="LU10" s="229" t="str">
        <f t="shared" ref="LU10:LU58" si="236">JN10</f>
        <v/>
      </c>
      <c r="LV10" s="229" t="str">
        <f t="shared" ref="LV10:LV58" si="237">JT10</f>
        <v/>
      </c>
      <c r="LW10" s="229" t="str">
        <f t="shared" ref="LW10:LW58" si="238">JZ10</f>
        <v/>
      </c>
      <c r="LX10" s="229" t="str">
        <f t="shared" ref="LX10:LX58" si="239">KF10</f>
        <v/>
      </c>
      <c r="LY10" s="231">
        <f t="shared" ref="LY10:LY58" si="240">LE10</f>
        <v>80.8</v>
      </c>
      <c r="LZ10" s="231">
        <f t="shared" ref="LZ10:LZ58" si="241">LF10</f>
        <v>82.8</v>
      </c>
      <c r="MA10" s="231" t="str">
        <f t="shared" ref="MA10:MA58" si="242">LG10</f>
        <v/>
      </c>
      <c r="MB10" s="231" t="str">
        <f t="shared" ref="MB10:MB58" si="243">LH10</f>
        <v/>
      </c>
      <c r="MC10" s="231" t="str">
        <f t="shared" ref="MC10:MC58" si="244">LI10</f>
        <v/>
      </c>
      <c r="MD10" s="231" t="str">
        <f t="shared" ref="MD10:MD58" si="245">LJ10</f>
        <v/>
      </c>
      <c r="ME10" s="231" t="str">
        <f t="shared" ref="ME10:ME58" si="246">LK10</f>
        <v/>
      </c>
      <c r="MF10" s="231" t="str">
        <f t="shared" ref="MF10:MF58" si="247">LL10</f>
        <v/>
      </c>
      <c r="MG10" s="231" t="str">
        <f t="shared" ref="MG10:MG58" si="248">LM10</f>
        <v/>
      </c>
      <c r="MH10" s="231" t="str">
        <f t="shared" ref="MH10:MH58" si="249">LN10</f>
        <v/>
      </c>
      <c r="MI10" s="231" t="str">
        <f t="shared" ref="MI10:MI58" si="250">LO10</f>
        <v/>
      </c>
      <c r="MJ10" s="231" t="str">
        <f t="shared" ref="MJ10:MJ58" si="251">LP10</f>
        <v/>
      </c>
      <c r="MK10" s="231" t="str">
        <f t="shared" ref="MK10:MK58" si="252">LQ10</f>
        <v/>
      </c>
      <c r="ML10" s="231" t="str">
        <f t="shared" ref="ML10:ML58" si="253">LR10</f>
        <v/>
      </c>
      <c r="MM10" s="231" t="str">
        <f t="shared" ref="MM10:MM58" si="254">LS10</f>
        <v/>
      </c>
      <c r="MN10" s="231" t="str">
        <f t="shared" ref="MN10:MN58" si="255">LT10</f>
        <v/>
      </c>
      <c r="MO10" s="231" t="str">
        <f t="shared" ref="MO10:MO58" si="256">LU10</f>
        <v/>
      </c>
      <c r="MP10" s="231" t="str">
        <f t="shared" ref="MP10:MP58" si="257">LV10</f>
        <v/>
      </c>
      <c r="MQ10" s="231" t="str">
        <f t="shared" ref="MQ10:MQ58" si="258">LW10</f>
        <v/>
      </c>
      <c r="MR10" s="231" t="str">
        <f t="shared" ref="MR10:MR58" si="259">LX10</f>
        <v/>
      </c>
      <c r="MS10" s="231">
        <f t="shared" si="154"/>
        <v>82.8</v>
      </c>
      <c r="MT10" s="232" t="str">
        <f>IF(MS10="","",IF(MS10&gt;=KONVERSI!$A$5,KONVERSI!$E$5,IF(MS10&gt;=KONVERSI!$A$6,KONVERSI!$E$6,IF(MS10&gt;=KONVERSI!$A$7,KONVERSI!$E$7,KONVERSI!$E$8))))</f>
        <v>Cukup Baik</v>
      </c>
      <c r="MU10" s="233" t="str">
        <f t="shared" si="155"/>
        <v>Cukup Baik dalamprinsip perancangan, pembuatan dan penyajian produk kerajinan kerang, kaca, keramik dan botol plastik yang kreatif dan inovatif</v>
      </c>
      <c r="MV10" s="234">
        <f t="shared" ref="MV10:MV58" si="260">IF(MIN(LY10:MR10)=0,"",MIN(LY10:MR10))</f>
        <v>80.8</v>
      </c>
      <c r="MW10" s="232" t="str">
        <f>IF(MV10="","",IF(MV10&gt;=KONVERSI!$A$5,KONVERSI!$E$5,IF(MV10&gt;=KONVERSI!$A$6,KONVERSI!$E$6,IF(MV10&gt;=KONVERSI!$A$7,KONVERSI!$E$7,KONVERSI!$E$8))))</f>
        <v>Cukup Baik</v>
      </c>
      <c r="MX10" s="134" t="str">
        <f>IF(FI10&lt;$FN$4," "&amp;KONVERSI!$C$18&amp;INDEX($LY$8:$MR$8,MATCH(MV10,LY10:MR10,0))&amp;".",IF(KG10=0,"",IF(MV10&lt;&gt;0,MU10&amp;MW10&amp;".",MU10&amp;".")))</f>
        <v>Cukup Baik dalamprinsip perancangan, pembuatan dan penyajian produk kerajinan kerang, kaca, keramik dan botol plastik yang kreatif dan inovatifCukup Baik.</v>
      </c>
      <c r="MY10" s="235" t="str">
        <f t="shared" ref="MY10:MY58" si="261">IF(LY10="","",IF(LY10=$MS10,"OK","NO"))</f>
        <v>NO</v>
      </c>
      <c r="MZ10" s="235" t="str">
        <f t="shared" ref="MZ10:MZ58" si="262">IF(LZ10="","",IF(LZ10=$MS10,"OK","NO"))</f>
        <v>OK</v>
      </c>
      <c r="NA10" s="235" t="str">
        <f t="shared" ref="NA10:NA58" si="263">IF(MA10="","",IF(MA10=$MS10,"OK","NO"))</f>
        <v/>
      </c>
      <c r="NB10" s="235" t="str">
        <f t="shared" ref="NB10:NB58" si="264">IF(MB10="","",IF(MB10=$MS10,"OK","NO"))</f>
        <v/>
      </c>
      <c r="NC10" s="235" t="str">
        <f t="shared" ref="NC10:NC58" si="265">IF(MC10="","",IF(MC10=$MS10,"OK","NO"))</f>
        <v/>
      </c>
      <c r="ND10" s="235" t="str">
        <f t="shared" ref="ND10:ND58" si="266">IF(MD10="","",IF(MD10=$MS10,"OK","NO"))</f>
        <v/>
      </c>
      <c r="NE10" s="235" t="str">
        <f t="shared" ref="NE10:NE58" si="267">IF(ME10="","",IF(ME10=$MS10,"OK","NO"))</f>
        <v/>
      </c>
      <c r="NF10" s="235" t="str">
        <f t="shared" ref="NF10:NF58" si="268">IF(MF10="","",IF(MF10=$MS10,"OK","NO"))</f>
        <v/>
      </c>
      <c r="NG10" s="235" t="str">
        <f t="shared" ref="NG10:NG58" si="269">IF(MG10="","",IF(MG10=$MS10,"OK","NO"))</f>
        <v/>
      </c>
      <c r="NH10" s="235" t="str">
        <f t="shared" ref="NH10:NH58" si="270">IF(MH10="","",IF(MH10=$MS10,"OK","NO"))</f>
        <v/>
      </c>
      <c r="NI10" s="235" t="str">
        <f t="shared" ref="NI10:NI58" si="271">IF(MI10="","",IF(MI10=$MS10,"OK","NO"))</f>
        <v/>
      </c>
      <c r="NJ10" s="235" t="str">
        <f t="shared" ref="NJ10:NJ58" si="272">IF(MJ10="","",IF(MJ10=$MS10,"OK","NO"))</f>
        <v/>
      </c>
      <c r="NK10" s="235" t="str">
        <f t="shared" ref="NK10:NK58" si="273">IF(MK10="","",IF(MK10=$MS10,"OK","NO"))</f>
        <v/>
      </c>
      <c r="NL10" s="235" t="str">
        <f t="shared" ref="NL10:NL58" si="274">IF(ML10="","",IF(ML10=$MS10,"OK","NO"))</f>
        <v/>
      </c>
      <c r="NM10" s="235" t="str">
        <f t="shared" ref="NM10:NM58" si="275">IF(MM10="","",IF(MM10=$MS10,"OK","NO"))</f>
        <v/>
      </c>
      <c r="NN10" s="235" t="str">
        <f t="shared" ref="NN10:NN58" si="276">IF(MN10="","",IF(MN10=$MS10,"OK","NO"))</f>
        <v/>
      </c>
      <c r="NO10" s="235" t="str">
        <f t="shared" ref="NO10:NO58" si="277">IF(MO10="","",IF(MO10=$MS10,"OK","NO"))</f>
        <v/>
      </c>
      <c r="NP10" s="235" t="str">
        <f t="shared" ref="NP10:NP58" si="278">IF(MP10="","",IF(MP10=$MS10,"OK","NO"))</f>
        <v/>
      </c>
      <c r="NQ10" s="235" t="str">
        <f t="shared" ref="NQ10:NQ58" si="279">IF(MQ10="","",IF(MQ10=$MS10,"OK","NO"))</f>
        <v/>
      </c>
      <c r="NR10" s="235" t="str">
        <f t="shared" ref="NR10:NR58" si="280">IF(MR10="","",IF(MR10=$MS10,"OK","NO"))</f>
        <v/>
      </c>
      <c r="NS10" s="134" t="str">
        <f t="shared" ref="NS10:NS58" si="281">IF(MY10="OK",MY$8,"")</f>
        <v/>
      </c>
      <c r="NT10" s="134" t="str">
        <f t="shared" ref="NT10:NT58" si="282">IF(MZ10="OK",MZ$8,"")</f>
        <v>prinsip perancangan, pembuatan dan penyajian produk kerajinan kerang, kaca, keramik dan botol plastik yang kreatif dan inovatif</v>
      </c>
      <c r="NU10" s="134" t="str">
        <f t="shared" ref="NU10:NU58" si="283">IF(NA10="OK",NA$8,"")</f>
        <v/>
      </c>
      <c r="NV10" s="134" t="str">
        <f t="shared" ref="NV10:NV58" si="284">IF(NB10="OK",NB$8,"")</f>
        <v/>
      </c>
      <c r="NW10" s="134" t="str">
        <f t="shared" ref="NW10:NW58" si="285">IF(NC10="OK",NC$8,"")</f>
        <v/>
      </c>
      <c r="NX10" s="134" t="str">
        <f t="shared" ref="NX10:NX58" si="286">IF(ND10="OK",ND$8,"")</f>
        <v/>
      </c>
      <c r="NY10" s="134" t="str">
        <f t="shared" ref="NY10:NY58" si="287">IF(NE10="OK",NE$8,"")</f>
        <v/>
      </c>
      <c r="NZ10" s="134" t="str">
        <f t="shared" ref="NZ10:NZ58" si="288">IF(NF10="OK",NF$8,"")</f>
        <v/>
      </c>
      <c r="OA10" s="134" t="str">
        <f t="shared" ref="OA10:OA58" si="289">IF(NG10="OK",NG$8,"")</f>
        <v/>
      </c>
      <c r="OB10" s="134" t="str">
        <f t="shared" ref="OB10:OB58" si="290">IF(NH10="OK",NH$8,"")</f>
        <v/>
      </c>
      <c r="OC10" s="134" t="str">
        <f t="shared" ref="OC10:OC58" si="291">IF(NI10="OK",NI$8,"")</f>
        <v/>
      </c>
      <c r="OD10" s="134" t="str">
        <f t="shared" ref="OD10:OD58" si="292">IF(NJ10="OK",NJ$8,"")</f>
        <v/>
      </c>
      <c r="OE10" s="134" t="str">
        <f t="shared" ref="OE10:OE58" si="293">IF(NK10="OK",NK$8,"")</f>
        <v/>
      </c>
      <c r="OF10" s="134" t="str">
        <f t="shared" ref="OF10:OF58" si="294">IF(NL10="OK",NL$8,"")</f>
        <v/>
      </c>
      <c r="OG10" s="134" t="str">
        <f t="shared" ref="OG10:OG58" si="295">IF(NM10="OK",NM$8,"")</f>
        <v/>
      </c>
      <c r="OH10" s="134" t="str">
        <f t="shared" ref="OH10:OH58" si="296">IF(NN10="OK",NN$8,"")</f>
        <v/>
      </c>
      <c r="OI10" s="134" t="str">
        <f t="shared" ref="OI10:OI58" si="297">IF(NO10="OK",NO$8,"")</f>
        <v/>
      </c>
      <c r="OJ10" s="134" t="str">
        <f t="shared" ref="OJ10:OJ58" si="298">IF(NP10="OK",NP$8,"")</f>
        <v/>
      </c>
      <c r="OK10" s="134" t="str">
        <f t="shared" ref="OK10:OK58" si="299">IF(NQ10="OK",NQ$8,"")</f>
        <v/>
      </c>
      <c r="OL10" s="134" t="str">
        <f t="shared" ref="OL10:OL58" si="300">IF(NR10="OK",NR$8,"")</f>
        <v/>
      </c>
      <c r="OM10" s="134" t="str">
        <f t="shared" ref="OM10:OM58" si="301">IF(MS10="","",MT10&amp;" dalam "&amp;NS10&amp;NT10&amp;NU10&amp;NV10&amp;NW10&amp;NX10&amp;NY10&amp;NZ10&amp;OA10&amp;OB10&amp;OC10&amp;OD10&amp;OE10&amp;OF10&amp;OG10&amp;OH10&amp;OI10&amp;OJ10&amp;OK10&amp;OL10)</f>
        <v>Cukup Baik dalam prinsip perancangan, pembuatan dan penyajian produk kerajinan kerang, kaca, keramik dan botol plastik yang kreatif dan inovatif</v>
      </c>
      <c r="ON10" s="134" t="str">
        <f t="shared" ref="ON10:ON58" si="302">IF(OM10="","",REPLACE(OM10,LEN(OM10),1,"."))&amp;"  "</f>
        <v>Cukup Baik dalam prinsip perancangan, pembuatan dan penyajian produk kerajinan kerang, kaca, keramik dan botol plastik yang kreatif dan inovati.  </v>
      </c>
      <c r="OO10" s="236">
        <f t="shared" si="169"/>
        <v>1</v>
      </c>
      <c r="OP10" s="235" t="str">
        <f t="shared" ref="OP10:OP58" si="303">IF(LY10="","",IF(LY10=$MV10,"OK","NO"))</f>
        <v>OK</v>
      </c>
      <c r="OQ10" s="235" t="str">
        <f t="shared" ref="OQ10:OQ58" si="304">IF(LZ10="","",IF(LZ10=$MV10,"OK","NO"))</f>
        <v>NO</v>
      </c>
      <c r="OR10" s="235" t="str">
        <f t="shared" ref="OR10:OR58" si="305">IF(MA10="","",IF(MA10=$MV10,"OK","NO"))</f>
        <v/>
      </c>
      <c r="OS10" s="235" t="str">
        <f t="shared" ref="OS10:OS58" si="306">IF(MB10="","",IF(MB10=$MV10,"OK","NO"))</f>
        <v/>
      </c>
      <c r="OT10" s="235" t="str">
        <f t="shared" ref="OT10:OT58" si="307">IF(MC10="","",IF(MC10=$MV10,"OK","NO"))</f>
        <v/>
      </c>
      <c r="OU10" s="235" t="str">
        <f t="shared" ref="OU10:OU58" si="308">IF(MD10="","",IF(MD10=$MV10,"OK","NO"))</f>
        <v/>
      </c>
      <c r="OV10" s="235" t="str">
        <f t="shared" ref="OV10:OV58" si="309">IF(ME10="","",IF(ME10=$MV10,"OK","NO"))</f>
        <v/>
      </c>
      <c r="OW10" s="235" t="str">
        <f t="shared" ref="OW10:OW58" si="310">IF(MF10="","",IF(MF10=$MV10,"OK","NO"))</f>
        <v/>
      </c>
      <c r="OX10" s="235" t="str">
        <f t="shared" ref="OX10:OX58" si="311">IF(MG10="","",IF(MG10=$MV10,"OK","NO"))</f>
        <v/>
      </c>
      <c r="OY10" s="235" t="str">
        <f t="shared" ref="OY10:OY58" si="312">IF(MH10="","",IF(MH10=$MV10,"OK","NO"))</f>
        <v/>
      </c>
      <c r="OZ10" s="235" t="str">
        <f t="shared" ref="OZ10:OZ58" si="313">IF(MI10="","",IF(MI10=$MV10,"OK","NO"))</f>
        <v/>
      </c>
      <c r="PA10" s="235" t="str">
        <f t="shared" ref="PA10:PA58" si="314">IF(MJ10="","",IF(MJ10=$MV10,"OK","NO"))</f>
        <v/>
      </c>
      <c r="PB10" s="235" t="str">
        <f t="shared" ref="PB10:PB58" si="315">IF(MK10="","",IF(MK10=$MV10,"OK","NO"))</f>
        <v/>
      </c>
      <c r="PC10" s="235" t="str">
        <f t="shared" ref="PC10:PC58" si="316">IF(ML10="","",IF(ML10=$MV10,"OK","NO"))</f>
        <v/>
      </c>
      <c r="PD10" s="235" t="str">
        <f t="shared" ref="PD10:PD58" si="317">IF(MM10="","",IF(MM10=$MV10,"OK","NO"))</f>
        <v/>
      </c>
      <c r="PE10" s="235" t="str">
        <f t="shared" ref="PE10:PE58" si="318">IF(MN10="","",IF(MN10=$MV10,"OK","NO"))</f>
        <v/>
      </c>
      <c r="PF10" s="235" t="str">
        <f t="shared" ref="PF10:PF58" si="319">IF(MO10="","",IF(MO10=$MV10,"OK","NO"))</f>
        <v/>
      </c>
      <c r="PG10" s="235" t="str">
        <f t="shared" ref="PG10:PG58" si="320">IF(MP10="","",IF(MP10=$MV10,"OK","NO"))</f>
        <v/>
      </c>
      <c r="PH10" s="235" t="str">
        <f t="shared" ref="PH10:PH58" si="321">IF(MQ10="","",IF(MQ10=$MV10,"OK","NO"))</f>
        <v/>
      </c>
      <c r="PI10" s="235" t="str">
        <f t="shared" ref="PI10:PI58" si="322">IF(MR10="","",IF(MR10=$MV10,"OK","NO"))</f>
        <v/>
      </c>
      <c r="PJ10" s="134" t="str">
        <f t="shared" ref="PJ10:PJ58" si="323">IF(OP10="OK",OP$8,"")</f>
        <v>jenis, sifat, karakter dan teknik pengolahan kerang, kaca, keramik dan botol plastik</v>
      </c>
      <c r="PK10" s="134" t="str">
        <f t="shared" ref="PK10:PK58" si="324">IF(OQ10="OK",OQ$8,"")</f>
        <v/>
      </c>
      <c r="PL10" s="134" t="str">
        <f t="shared" ref="PL10:PL58" si="325">IF(OR10="OK",OR$8,"")</f>
        <v/>
      </c>
      <c r="PM10" s="134" t="str">
        <f t="shared" ref="PM10:PM58" si="326">IF(OS10="OK",OS$8,"")</f>
        <v/>
      </c>
      <c r="PN10" s="134" t="str">
        <f t="shared" ref="PN10:PN58" si="327">IF(OT10="OK",OT$8,"")</f>
        <v/>
      </c>
      <c r="PO10" s="134" t="str">
        <f t="shared" ref="PO10:PO58" si="328">IF(OU10="OK",OU$8,"")</f>
        <v/>
      </c>
      <c r="PP10" s="134" t="str">
        <f t="shared" ref="PP10:PP58" si="329">IF(OV10="OK",OV$8,"")</f>
        <v/>
      </c>
      <c r="PQ10" s="134" t="str">
        <f t="shared" ref="PQ10:PQ58" si="330">IF(OW10="OK",OW$8,"")</f>
        <v/>
      </c>
      <c r="PR10" s="134" t="str">
        <f t="shared" ref="PR10:PR58" si="331">IF(OX10="OK",OX$8,"")</f>
        <v/>
      </c>
      <c r="PS10" s="134" t="str">
        <f t="shared" ref="PS10:PS58" si="332">IF(OY10="OK",OY$8,"")</f>
        <v/>
      </c>
      <c r="PT10" s="134" t="str">
        <f t="shared" ref="PT10:PT58" si="333">IF(OZ10="OK",OZ$8,"")</f>
        <v/>
      </c>
      <c r="PU10" s="134" t="str">
        <f t="shared" ref="PU10:PU58" si="334">IF(PA10="OK",PA$8,"")</f>
        <v/>
      </c>
      <c r="PV10" s="134" t="str">
        <f t="shared" ref="PV10:PV58" si="335">IF(PB10="OK",PB$8,"")</f>
        <v/>
      </c>
      <c r="PW10" s="134" t="str">
        <f t="shared" ref="PW10:PW58" si="336">IF(PC10="OK",PC$8,"")</f>
        <v/>
      </c>
      <c r="PX10" s="134" t="str">
        <f t="shared" ref="PX10:PX58" si="337">IF(PD10="OK",PD$8,"")</f>
        <v/>
      </c>
      <c r="PY10" s="134" t="str">
        <f t="shared" ref="PY10:PY58" si="338">IF(PE10="OK",PE$8,"")</f>
        <v/>
      </c>
      <c r="PZ10" s="134" t="str">
        <f t="shared" ref="PZ10:PZ58" si="339">IF(PF10="OK",PF$8,"")</f>
        <v/>
      </c>
      <c r="QA10" s="134" t="str">
        <f t="shared" ref="QA10:QA58" si="340">IF(PG10="OK",PG$8,"")</f>
        <v/>
      </c>
      <c r="QB10" s="134" t="str">
        <f t="shared" ref="QB10:QB58" si="341">IF(PH10="OK",PH$8,"")</f>
        <v/>
      </c>
      <c r="QC10" s="134" t="str">
        <f t="shared" ref="QC10:QC58" si="342">IF(PI10="OK",PI$8,"")</f>
        <v/>
      </c>
      <c r="QD10" s="134" t="str">
        <f>IF(MT10=MW10,"",IF(MV10="","",IF(MV10&gt;=KONVERSI!$A$7,'KI3'!MW10&amp;" dalam"&amp;PJ10&amp;PK10&amp;PL10&amp;PM10&amp;PN10&amp;PO10&amp;PP10&amp;PQ10&amp;PR10&amp;PS10&amp;PT10&amp;PU10&amp;PV10&amp;PW10&amp;PX10&amp;PY10&amp;PZ10&amp;QA10&amp;QB10&amp;QC10,KONVERSI!$C$18&amp;" dalam"&amp;PJ10&amp;PK10&amp;PL10&amp;PM10&amp;PN10&amp;PO10&amp;PP10&amp;PQ10&amp;PR10&amp;PS10&amp;PT10&amp;PU10&amp;PV10&amp;PW10&amp;PX10&amp;PY10&amp;PZ10&amp;QA10&amp;QB10&amp;QC10)))</f>
        <v/>
      </c>
      <c r="QE10" s="134" t="str">
        <f t="shared" ref="QE10:QE58" si="343">IF(QD10="","",REPLACE(QD10,LEN(QD10),1,"."))</f>
        <v/>
      </c>
      <c r="QF10" s="236">
        <f t="shared" si="172"/>
        <v>1</v>
      </c>
      <c r="QG10" s="134" t="str">
        <f t="shared" si="173"/>
        <v>Cukup Baik dalam prinsip perancangan, pembuatan dan penyajian produk kerajinan kerang, kaca, keramik dan botol plastik yang kreatif dan inovati.  </v>
      </c>
    </row>
    <row r="11" ht="27.6" customHeight="1" spans="1:449">
      <c r="A11" s="136"/>
      <c r="B11" s="177">
        <v>3</v>
      </c>
      <c r="C11" s="178" t="str">
        <f>siswa!C7</f>
        <v>AQELA FIRDAUSI AHLA</v>
      </c>
      <c r="D11" s="174">
        <f>siswa!D7</f>
        <v>2724</v>
      </c>
      <c r="E11" s="175">
        <v>90</v>
      </c>
      <c r="F11" s="175">
        <v>100</v>
      </c>
      <c r="G11" s="248"/>
      <c r="H11" s="176"/>
      <c r="I11" s="176"/>
      <c r="J11" s="175">
        <v>88</v>
      </c>
      <c r="K11" s="176"/>
      <c r="L11" s="223">
        <f t="shared" si="174"/>
        <v>92.2</v>
      </c>
      <c r="M11" s="250">
        <v>92</v>
      </c>
      <c r="N11" s="250">
        <v>96</v>
      </c>
      <c r="O11" s="248"/>
      <c r="P11" s="176"/>
      <c r="Q11" s="176"/>
      <c r="R11" s="250">
        <v>92</v>
      </c>
      <c r="S11" s="176"/>
      <c r="T11" s="223">
        <f t="shared" si="175"/>
        <v>93.2</v>
      </c>
      <c r="U11" s="248"/>
      <c r="V11" s="248"/>
      <c r="W11" s="248"/>
      <c r="X11" s="176"/>
      <c r="Y11" s="176"/>
      <c r="Z11" s="250"/>
      <c r="AA11" s="176"/>
      <c r="AB11" s="223">
        <f t="shared" si="176"/>
        <v>0</v>
      </c>
      <c r="AC11" s="248"/>
      <c r="AD11" s="248"/>
      <c r="AE11" s="248"/>
      <c r="AF11" s="248"/>
      <c r="AG11" s="176"/>
      <c r="AH11" s="250"/>
      <c r="AI11" s="176"/>
      <c r="AJ11" s="223">
        <f t="shared" si="177"/>
        <v>0</v>
      </c>
      <c r="AK11" s="176"/>
      <c r="AL11" s="176"/>
      <c r="AM11" s="176"/>
      <c r="AN11" s="176"/>
      <c r="AO11" s="176"/>
      <c r="AP11" s="176"/>
      <c r="AQ11" s="176"/>
      <c r="AR11" s="223">
        <f t="shared" si="178"/>
        <v>0</v>
      </c>
      <c r="AS11" s="176"/>
      <c r="AT11" s="176"/>
      <c r="AU11" s="176"/>
      <c r="AV11" s="176"/>
      <c r="AW11" s="176"/>
      <c r="AX11" s="176"/>
      <c r="AY11" s="176"/>
      <c r="AZ11" s="223">
        <f t="shared" si="179"/>
        <v>0</v>
      </c>
      <c r="BA11" s="176"/>
      <c r="BB11" s="176"/>
      <c r="BC11" s="176"/>
      <c r="BD11" s="176"/>
      <c r="BE11" s="176"/>
      <c r="BF11" s="176"/>
      <c r="BG11" s="176"/>
      <c r="BH11" s="223">
        <f t="shared" si="180"/>
        <v>0</v>
      </c>
      <c r="BI11" s="176"/>
      <c r="BJ11" s="176"/>
      <c r="BK11" s="176"/>
      <c r="BL11" s="176"/>
      <c r="BM11" s="176"/>
      <c r="BN11" s="176"/>
      <c r="BO11" s="176"/>
      <c r="BP11" s="223">
        <f t="shared" si="181"/>
        <v>0</v>
      </c>
      <c r="BQ11" s="176"/>
      <c r="BR11" s="176"/>
      <c r="BS11" s="176"/>
      <c r="BT11" s="176"/>
      <c r="BU11" s="176"/>
      <c r="BV11" s="176"/>
      <c r="BW11" s="176"/>
      <c r="BX11" s="223">
        <f t="shared" si="182"/>
        <v>0</v>
      </c>
      <c r="BY11" s="176"/>
      <c r="BZ11" s="176"/>
      <c r="CA11" s="176"/>
      <c r="CB11" s="176"/>
      <c r="CC11" s="176"/>
      <c r="CD11" s="176"/>
      <c r="CE11" s="176"/>
      <c r="CF11" s="223">
        <f t="shared" si="183"/>
        <v>0</v>
      </c>
      <c r="CG11" s="176"/>
      <c r="CH11" s="176"/>
      <c r="CI11" s="176"/>
      <c r="CJ11" s="176"/>
      <c r="CK11" s="176"/>
      <c r="CL11" s="176"/>
      <c r="CM11" s="176"/>
      <c r="CN11" s="223">
        <f t="shared" si="184"/>
        <v>0</v>
      </c>
      <c r="CO11" s="176"/>
      <c r="CP11" s="176"/>
      <c r="CQ11" s="176"/>
      <c r="CR11" s="176"/>
      <c r="CS11" s="176"/>
      <c r="CT11" s="176"/>
      <c r="CU11" s="176"/>
      <c r="CV11" s="223">
        <f t="shared" si="185"/>
        <v>0</v>
      </c>
      <c r="CW11" s="176"/>
      <c r="CX11" s="176"/>
      <c r="CY11" s="176"/>
      <c r="CZ11" s="176"/>
      <c r="DA11" s="176"/>
      <c r="DB11" s="176"/>
      <c r="DC11" s="176"/>
      <c r="DD11" s="223">
        <f t="shared" si="186"/>
        <v>0</v>
      </c>
      <c r="DE11" s="176"/>
      <c r="DF11" s="176"/>
      <c r="DG11" s="176"/>
      <c r="DH11" s="176"/>
      <c r="DI11" s="176"/>
      <c r="DJ11" s="176"/>
      <c r="DK11" s="176"/>
      <c r="DL11" s="223">
        <f t="shared" si="187"/>
        <v>0</v>
      </c>
      <c r="DM11" s="176"/>
      <c r="DN11" s="176"/>
      <c r="DO11" s="176"/>
      <c r="DP11" s="176"/>
      <c r="DQ11" s="176"/>
      <c r="DR11" s="176"/>
      <c r="DS11" s="176"/>
      <c r="DT11" s="223">
        <f t="shared" si="188"/>
        <v>0</v>
      </c>
      <c r="DU11" s="176"/>
      <c r="DV11" s="176"/>
      <c r="DW11" s="176"/>
      <c r="DX11" s="176"/>
      <c r="DY11" s="176"/>
      <c r="DZ11" s="176"/>
      <c r="EA11" s="176"/>
      <c r="EB11" s="223">
        <f t="shared" si="189"/>
        <v>0</v>
      </c>
      <c r="EC11" s="176"/>
      <c r="ED11" s="176"/>
      <c r="EE11" s="176"/>
      <c r="EF11" s="176"/>
      <c r="EG11" s="176"/>
      <c r="EH11" s="176"/>
      <c r="EI11" s="176"/>
      <c r="EJ11" s="223">
        <f t="shared" si="190"/>
        <v>0</v>
      </c>
      <c r="EK11" s="176"/>
      <c r="EL11" s="176"/>
      <c r="EM11" s="176"/>
      <c r="EN11" s="176"/>
      <c r="EO11" s="176"/>
      <c r="EP11" s="176"/>
      <c r="EQ11" s="176"/>
      <c r="ER11" s="223">
        <f t="shared" si="191"/>
        <v>0</v>
      </c>
      <c r="ES11" s="176"/>
      <c r="ET11" s="176"/>
      <c r="EU11" s="176"/>
      <c r="EV11" s="176"/>
      <c r="EW11" s="176"/>
      <c r="EX11" s="176"/>
      <c r="EY11" s="176"/>
      <c r="EZ11" s="223">
        <f t="shared" si="192"/>
        <v>0</v>
      </c>
      <c r="FA11" s="176"/>
      <c r="FB11" s="176"/>
      <c r="FC11" s="176"/>
      <c r="FD11" s="176"/>
      <c r="FE11" s="176"/>
      <c r="FF11" s="176"/>
      <c r="FG11" s="176"/>
      <c r="FH11" s="223">
        <f t="shared" si="193"/>
        <v>0</v>
      </c>
      <c r="FI11" s="291">
        <f t="shared" si="194"/>
        <v>93</v>
      </c>
      <c r="FJ11" s="250">
        <v>84</v>
      </c>
      <c r="FK11" s="250"/>
      <c r="FL11" s="291">
        <f t="shared" si="195"/>
        <v>90</v>
      </c>
      <c r="FM11" s="312" t="str">
        <f>IFERROR(IF(FL11="","",IF(FL11&gt;=KONVERSI!$A$5,KONVERSI!$D$5,IF(FL11&gt;=KONVERSI!$A$6,KONVERSI!$D$6,IF(FL11&gt;=KONVERSI!$A$7,KONVERSI!$D$7,KONVERSI!$D$8)))),"")</f>
        <v>B</v>
      </c>
      <c r="FN11" s="232" t="str">
        <f t="shared" si="196"/>
        <v>Tuntas</v>
      </c>
      <c r="FO11" s="313"/>
      <c r="FP11" s="314">
        <f t="shared" si="197"/>
        <v>94.5</v>
      </c>
      <c r="FQ11" s="194">
        <f t="shared" si="33"/>
        <v>90</v>
      </c>
      <c r="FR11" s="194">
        <f t="shared" si="34"/>
        <v>100</v>
      </c>
      <c r="FS11" s="194" t="str">
        <f t="shared" si="35"/>
        <v/>
      </c>
      <c r="FT11" s="194" t="str">
        <f t="shared" si="36"/>
        <v/>
      </c>
      <c r="FU11" s="194" t="str">
        <f t="shared" si="37"/>
        <v/>
      </c>
      <c r="FV11" s="194">
        <f t="shared" si="38"/>
        <v>92.2</v>
      </c>
      <c r="FW11" s="194">
        <f t="shared" si="39"/>
        <v>92</v>
      </c>
      <c r="FX11" s="194">
        <f>IF($FW$6="","",IF(N11="","",N11))</f>
        <v>96</v>
      </c>
      <c r="FY11" s="194" t="str">
        <f t="shared" si="40"/>
        <v/>
      </c>
      <c r="FZ11" s="194" t="str">
        <f t="shared" si="41"/>
        <v/>
      </c>
      <c r="GA11" s="194" t="str">
        <f t="shared" si="42"/>
        <v/>
      </c>
      <c r="GB11" s="194">
        <f t="shared" si="43"/>
        <v>93.2</v>
      </c>
      <c r="GC11" s="194" t="str">
        <f t="shared" si="44"/>
        <v/>
      </c>
      <c r="GD11" s="194" t="str">
        <f t="shared" si="45"/>
        <v/>
      </c>
      <c r="GE11" s="194" t="str">
        <f t="shared" si="46"/>
        <v/>
      </c>
      <c r="GF11" s="194" t="str">
        <f t="shared" si="47"/>
        <v/>
      </c>
      <c r="GG11" s="194" t="str">
        <f t="shared" si="48"/>
        <v/>
      </c>
      <c r="GH11" s="194" t="str">
        <f t="shared" si="49"/>
        <v/>
      </c>
      <c r="GI11" s="194" t="str">
        <f t="shared" si="50"/>
        <v/>
      </c>
      <c r="GJ11" s="194" t="str">
        <f t="shared" si="51"/>
        <v/>
      </c>
      <c r="GK11" s="194" t="str">
        <f t="shared" si="52"/>
        <v/>
      </c>
      <c r="GL11" s="194" t="str">
        <f t="shared" si="53"/>
        <v/>
      </c>
      <c r="GM11" s="194" t="str">
        <f t="shared" si="54"/>
        <v/>
      </c>
      <c r="GN11" s="194" t="str">
        <f t="shared" si="55"/>
        <v/>
      </c>
      <c r="GO11" s="194" t="str">
        <f t="shared" si="56"/>
        <v/>
      </c>
      <c r="GP11" s="194" t="str">
        <f t="shared" si="57"/>
        <v/>
      </c>
      <c r="GQ11" s="194" t="str">
        <f t="shared" si="58"/>
        <v/>
      </c>
      <c r="GR11" s="194" t="str">
        <f t="shared" si="59"/>
        <v/>
      </c>
      <c r="GS11" s="194" t="str">
        <f t="shared" si="60"/>
        <v/>
      </c>
      <c r="GT11" s="194" t="str">
        <f t="shared" si="61"/>
        <v/>
      </c>
      <c r="GU11" s="194" t="str">
        <f t="shared" si="62"/>
        <v/>
      </c>
      <c r="GV11" s="194" t="str">
        <f t="shared" si="63"/>
        <v/>
      </c>
      <c r="GW11" s="194" t="str">
        <f t="shared" si="64"/>
        <v/>
      </c>
      <c r="GX11" s="194" t="str">
        <f t="shared" si="65"/>
        <v/>
      </c>
      <c r="GY11" s="194" t="str">
        <f t="shared" si="66"/>
        <v/>
      </c>
      <c r="GZ11" s="194" t="str">
        <f t="shared" si="67"/>
        <v/>
      </c>
      <c r="HA11" s="194" t="str">
        <f t="shared" si="68"/>
        <v/>
      </c>
      <c r="HB11" s="194" t="str">
        <f t="shared" si="69"/>
        <v/>
      </c>
      <c r="HC11" s="194" t="str">
        <f t="shared" si="70"/>
        <v/>
      </c>
      <c r="HD11" s="194" t="str">
        <f t="shared" si="71"/>
        <v/>
      </c>
      <c r="HE11" s="194" t="str">
        <f t="shared" si="72"/>
        <v/>
      </c>
      <c r="HF11" s="194" t="str">
        <f t="shared" si="73"/>
        <v/>
      </c>
      <c r="HG11" s="194" t="str">
        <f t="shared" si="74"/>
        <v/>
      </c>
      <c r="HH11" s="194" t="str">
        <f t="shared" si="75"/>
        <v/>
      </c>
      <c r="HI11" s="194" t="str">
        <f t="shared" si="76"/>
        <v/>
      </c>
      <c r="HJ11" s="194" t="str">
        <f t="shared" si="77"/>
        <v/>
      </c>
      <c r="HK11" s="194" t="str">
        <f t="shared" si="78"/>
        <v/>
      </c>
      <c r="HL11" s="194" t="str">
        <f t="shared" si="79"/>
        <v/>
      </c>
      <c r="HM11" s="194" t="str">
        <f t="shared" si="80"/>
        <v/>
      </c>
      <c r="HN11" s="194" t="str">
        <f t="shared" si="81"/>
        <v/>
      </c>
      <c r="HO11" s="194" t="str">
        <f t="shared" si="82"/>
        <v/>
      </c>
      <c r="HP11" s="194" t="str">
        <f t="shared" si="83"/>
        <v/>
      </c>
      <c r="HQ11" s="194" t="str">
        <f t="shared" si="84"/>
        <v/>
      </c>
      <c r="HR11" s="194" t="str">
        <f t="shared" si="85"/>
        <v/>
      </c>
      <c r="HS11" s="194" t="str">
        <f t="shared" si="86"/>
        <v/>
      </c>
      <c r="HT11" s="194" t="str">
        <f t="shared" si="87"/>
        <v/>
      </c>
      <c r="HU11" s="194" t="str">
        <f t="shared" si="88"/>
        <v/>
      </c>
      <c r="HV11" s="194" t="str">
        <f t="shared" si="89"/>
        <v/>
      </c>
      <c r="HW11" s="194" t="str">
        <f t="shared" si="90"/>
        <v/>
      </c>
      <c r="HX11" s="194" t="str">
        <f t="shared" si="91"/>
        <v/>
      </c>
      <c r="HY11" s="194" t="str">
        <f t="shared" si="92"/>
        <v/>
      </c>
      <c r="HZ11" s="194" t="str">
        <f t="shared" si="93"/>
        <v/>
      </c>
      <c r="IA11" s="194" t="str">
        <f t="shared" si="94"/>
        <v/>
      </c>
      <c r="IB11" s="194" t="str">
        <f t="shared" si="95"/>
        <v/>
      </c>
      <c r="IC11" s="194" t="str">
        <f t="shared" si="96"/>
        <v/>
      </c>
      <c r="ID11" s="194" t="str">
        <f t="shared" si="97"/>
        <v/>
      </c>
      <c r="IE11" s="194" t="str">
        <f t="shared" si="98"/>
        <v/>
      </c>
      <c r="IF11" s="194" t="str">
        <f t="shared" si="99"/>
        <v/>
      </c>
      <c r="IG11" s="194" t="str">
        <f t="shared" si="100"/>
        <v/>
      </c>
      <c r="IH11" s="194" t="str">
        <f t="shared" si="101"/>
        <v/>
      </c>
      <c r="II11" s="194" t="str">
        <f t="shared" si="102"/>
        <v/>
      </c>
      <c r="IJ11" s="194" t="str">
        <f t="shared" si="103"/>
        <v/>
      </c>
      <c r="IK11" s="194" t="str">
        <f t="shared" si="104"/>
        <v/>
      </c>
      <c r="IL11" s="194" t="str">
        <f t="shared" si="105"/>
        <v/>
      </c>
      <c r="IM11" s="194" t="str">
        <f t="shared" si="106"/>
        <v/>
      </c>
      <c r="IN11" s="194" t="str">
        <f t="shared" si="107"/>
        <v/>
      </c>
      <c r="IO11" s="194" t="str">
        <f t="shared" si="108"/>
        <v/>
      </c>
      <c r="IP11" s="194" t="str">
        <f t="shared" si="109"/>
        <v/>
      </c>
      <c r="IQ11" s="194" t="str">
        <f t="shared" si="110"/>
        <v/>
      </c>
      <c r="IR11" s="194" t="str">
        <f t="shared" si="111"/>
        <v/>
      </c>
      <c r="IS11" s="194" t="str">
        <f t="shared" si="112"/>
        <v/>
      </c>
      <c r="IT11" s="194" t="str">
        <f t="shared" si="113"/>
        <v/>
      </c>
      <c r="IU11" s="194" t="str">
        <f t="shared" si="114"/>
        <v/>
      </c>
      <c r="IV11" s="194" t="str">
        <f t="shared" si="115"/>
        <v/>
      </c>
      <c r="IW11" s="194" t="str">
        <f t="shared" si="116"/>
        <v/>
      </c>
      <c r="IX11" s="194" t="str">
        <f t="shared" si="117"/>
        <v/>
      </c>
      <c r="IY11" s="194" t="str">
        <f t="shared" si="118"/>
        <v/>
      </c>
      <c r="IZ11" s="194" t="str">
        <f t="shared" si="119"/>
        <v/>
      </c>
      <c r="JA11" s="194" t="str">
        <f t="shared" si="120"/>
        <v/>
      </c>
      <c r="JB11" s="194" t="str">
        <f t="shared" si="121"/>
        <v/>
      </c>
      <c r="JC11" s="194" t="str">
        <f t="shared" si="122"/>
        <v/>
      </c>
      <c r="JD11" s="194" t="str">
        <f t="shared" si="123"/>
        <v/>
      </c>
      <c r="JE11" s="194" t="str">
        <f t="shared" si="124"/>
        <v/>
      </c>
      <c r="JF11" s="194" t="str">
        <f t="shared" si="125"/>
        <v/>
      </c>
      <c r="JG11" s="194" t="str">
        <f t="shared" si="126"/>
        <v/>
      </c>
      <c r="JH11" s="194" t="str">
        <f t="shared" si="127"/>
        <v/>
      </c>
      <c r="JI11" s="194" t="str">
        <f t="shared" si="128"/>
        <v/>
      </c>
      <c r="JJ11" s="194" t="str">
        <f t="shared" si="129"/>
        <v/>
      </c>
      <c r="JK11" s="194" t="str">
        <f t="shared" si="130"/>
        <v/>
      </c>
      <c r="JL11" s="194" t="str">
        <f t="shared" si="131"/>
        <v/>
      </c>
      <c r="JM11" s="194" t="str">
        <f t="shared" si="132"/>
        <v/>
      </c>
      <c r="JN11" s="194" t="str">
        <f t="shared" si="133"/>
        <v/>
      </c>
      <c r="JO11" s="194" t="str">
        <f t="shared" si="134"/>
        <v/>
      </c>
      <c r="JP11" s="194" t="str">
        <f t="shared" si="135"/>
        <v/>
      </c>
      <c r="JQ11" s="194" t="str">
        <f t="shared" si="136"/>
        <v/>
      </c>
      <c r="JR11" s="194" t="str">
        <f t="shared" si="137"/>
        <v/>
      </c>
      <c r="JS11" s="194" t="str">
        <f t="shared" si="138"/>
        <v/>
      </c>
      <c r="JT11" s="194" t="str">
        <f t="shared" si="139"/>
        <v/>
      </c>
      <c r="JU11" s="194" t="str">
        <f t="shared" si="140"/>
        <v/>
      </c>
      <c r="JV11" s="194" t="str">
        <f t="shared" si="141"/>
        <v/>
      </c>
      <c r="JW11" s="194" t="str">
        <f t="shared" si="142"/>
        <v/>
      </c>
      <c r="JX11" s="194" t="str">
        <f t="shared" si="143"/>
        <v/>
      </c>
      <c r="JY11" s="194" t="str">
        <f t="shared" si="144"/>
        <v/>
      </c>
      <c r="JZ11" s="194" t="str">
        <f t="shared" si="145"/>
        <v/>
      </c>
      <c r="KA11" s="194" t="str">
        <f t="shared" si="146"/>
        <v/>
      </c>
      <c r="KB11" s="194" t="str">
        <f t="shared" si="147"/>
        <v/>
      </c>
      <c r="KC11" s="194" t="str">
        <f t="shared" si="148"/>
        <v/>
      </c>
      <c r="KD11" s="194" t="str">
        <f t="shared" si="149"/>
        <v/>
      </c>
      <c r="KE11" s="194" t="str">
        <f t="shared" si="150"/>
        <v/>
      </c>
      <c r="KF11" s="194" t="str">
        <f t="shared" si="151"/>
        <v/>
      </c>
      <c r="KG11" s="194">
        <f>SUM(LE11:LX11)/COUNTA(RefKI3KI4!$B$5:$B$24)</f>
        <v>92.7</v>
      </c>
      <c r="KH11" s="232">
        <f t="shared" si="198"/>
        <v>0</v>
      </c>
      <c r="KI11" s="340" t="str">
        <f t="shared" si="199"/>
        <v>ok</v>
      </c>
      <c r="KJ11" s="340" t="str">
        <f t="shared" si="200"/>
        <v>ok</v>
      </c>
      <c r="KK11" s="340" t="str">
        <f t="shared" si="201"/>
        <v/>
      </c>
      <c r="KL11" s="340" t="str">
        <f t="shared" si="202"/>
        <v/>
      </c>
      <c r="KM11" s="340" t="str">
        <f t="shared" si="203"/>
        <v/>
      </c>
      <c r="KN11" s="340" t="str">
        <f t="shared" si="204"/>
        <v/>
      </c>
      <c r="KO11" s="340" t="str">
        <f t="shared" si="205"/>
        <v/>
      </c>
      <c r="KP11" s="340" t="str">
        <f t="shared" si="206"/>
        <v/>
      </c>
      <c r="KQ11" s="340" t="str">
        <f t="shared" si="207"/>
        <v/>
      </c>
      <c r="KR11" s="340" t="str">
        <f t="shared" si="208"/>
        <v/>
      </c>
      <c r="KS11" s="340" t="str">
        <f t="shared" si="209"/>
        <v/>
      </c>
      <c r="KT11" s="340" t="str">
        <f t="shared" si="210"/>
        <v/>
      </c>
      <c r="KU11" s="340" t="str">
        <f t="shared" si="211"/>
        <v/>
      </c>
      <c r="KV11" s="340" t="str">
        <f t="shared" si="212"/>
        <v/>
      </c>
      <c r="KW11" s="340" t="str">
        <f t="shared" si="213"/>
        <v/>
      </c>
      <c r="KX11" s="340" t="str">
        <f t="shared" si="214"/>
        <v/>
      </c>
      <c r="KY11" s="340" t="str">
        <f t="shared" si="215"/>
        <v/>
      </c>
      <c r="KZ11" s="340" t="str">
        <f t="shared" si="216"/>
        <v/>
      </c>
      <c r="LA11" s="340" t="str">
        <f t="shared" si="217"/>
        <v/>
      </c>
      <c r="LB11" s="340" t="str">
        <f t="shared" si="218"/>
        <v/>
      </c>
      <c r="LC11" s="340">
        <f t="shared" si="219"/>
        <v>0</v>
      </c>
      <c r="LD11" s="228">
        <v>3</v>
      </c>
      <c r="LE11" s="229">
        <f t="shared" si="220"/>
        <v>92.2</v>
      </c>
      <c r="LF11" s="229">
        <f t="shared" si="221"/>
        <v>93.2</v>
      </c>
      <c r="LG11" s="229" t="str">
        <f t="shared" si="222"/>
        <v/>
      </c>
      <c r="LH11" s="229" t="str">
        <f t="shared" si="223"/>
        <v/>
      </c>
      <c r="LI11" s="229" t="str">
        <f t="shared" si="224"/>
        <v/>
      </c>
      <c r="LJ11" s="229" t="str">
        <f t="shared" si="225"/>
        <v/>
      </c>
      <c r="LK11" s="229" t="str">
        <f t="shared" si="226"/>
        <v/>
      </c>
      <c r="LL11" s="229" t="str">
        <f t="shared" si="227"/>
        <v/>
      </c>
      <c r="LM11" s="229" t="str">
        <f t="shared" si="228"/>
        <v/>
      </c>
      <c r="LN11" s="229" t="str">
        <f t="shared" si="229"/>
        <v/>
      </c>
      <c r="LO11" s="229" t="str">
        <f t="shared" si="230"/>
        <v/>
      </c>
      <c r="LP11" s="229" t="str">
        <f t="shared" si="231"/>
        <v/>
      </c>
      <c r="LQ11" s="229" t="str">
        <f t="shared" si="232"/>
        <v/>
      </c>
      <c r="LR11" s="229" t="str">
        <f t="shared" si="233"/>
        <v/>
      </c>
      <c r="LS11" s="229" t="str">
        <f t="shared" si="234"/>
        <v/>
      </c>
      <c r="LT11" s="229" t="str">
        <f t="shared" si="235"/>
        <v/>
      </c>
      <c r="LU11" s="229" t="str">
        <f t="shared" si="236"/>
        <v/>
      </c>
      <c r="LV11" s="229" t="str">
        <f t="shared" si="237"/>
        <v/>
      </c>
      <c r="LW11" s="229" t="str">
        <f t="shared" si="238"/>
        <v/>
      </c>
      <c r="LX11" s="229" t="str">
        <f t="shared" si="239"/>
        <v/>
      </c>
      <c r="LY11" s="231">
        <f t="shared" si="240"/>
        <v>92.2</v>
      </c>
      <c r="LZ11" s="231">
        <f t="shared" si="241"/>
        <v>93.2</v>
      </c>
      <c r="MA11" s="231" t="str">
        <f t="shared" si="242"/>
        <v/>
      </c>
      <c r="MB11" s="231" t="str">
        <f t="shared" si="243"/>
        <v/>
      </c>
      <c r="MC11" s="231" t="str">
        <f t="shared" si="244"/>
        <v/>
      </c>
      <c r="MD11" s="231" t="str">
        <f t="shared" si="245"/>
        <v/>
      </c>
      <c r="ME11" s="231" t="str">
        <f t="shared" si="246"/>
        <v/>
      </c>
      <c r="MF11" s="231" t="str">
        <f t="shared" si="247"/>
        <v/>
      </c>
      <c r="MG11" s="231" t="str">
        <f t="shared" si="248"/>
        <v/>
      </c>
      <c r="MH11" s="231" t="str">
        <f t="shared" si="249"/>
        <v/>
      </c>
      <c r="MI11" s="231" t="str">
        <f t="shared" si="250"/>
        <v/>
      </c>
      <c r="MJ11" s="231" t="str">
        <f t="shared" si="251"/>
        <v/>
      </c>
      <c r="MK11" s="231" t="str">
        <f t="shared" si="252"/>
        <v/>
      </c>
      <c r="ML11" s="231" t="str">
        <f t="shared" si="253"/>
        <v/>
      </c>
      <c r="MM11" s="231" t="str">
        <f t="shared" si="254"/>
        <v/>
      </c>
      <c r="MN11" s="231" t="str">
        <f t="shared" si="255"/>
        <v/>
      </c>
      <c r="MO11" s="231" t="str">
        <f t="shared" si="256"/>
        <v/>
      </c>
      <c r="MP11" s="231" t="str">
        <f t="shared" si="257"/>
        <v/>
      </c>
      <c r="MQ11" s="231" t="str">
        <f t="shared" si="258"/>
        <v/>
      </c>
      <c r="MR11" s="231" t="str">
        <f t="shared" si="259"/>
        <v/>
      </c>
      <c r="MS11" s="231">
        <f t="shared" si="154"/>
        <v>93.2</v>
      </c>
      <c r="MT11" s="232" t="str">
        <f>IF(MS11="","",IF(MS11&gt;=KONVERSI!$A$5,KONVERSI!$E$5,IF(MS11&gt;=KONVERSI!$A$6,KONVERSI!$E$6,IF(MS11&gt;=KONVERSI!$A$7,KONVERSI!$E$7,KONVERSI!$E$8))))</f>
        <v>Sangat baik</v>
      </c>
      <c r="MU11" s="233" t="str">
        <f t="shared" si="155"/>
        <v>Sangat baik dalamprinsip perancangan, pembuatan dan penyajian produk kerajinan kerang, kaca, keramik dan botol plastik yang kreatif dan inovatif</v>
      </c>
      <c r="MV11" s="234">
        <f t="shared" si="260"/>
        <v>92.2</v>
      </c>
      <c r="MW11" s="232" t="str">
        <f>IF(MV11="","",IF(MV11&gt;=KONVERSI!$A$5,KONVERSI!$E$5,IF(MV11&gt;=KONVERSI!$A$6,KONVERSI!$E$6,IF(MV11&gt;=KONVERSI!$A$7,KONVERSI!$E$7,KONVERSI!$E$8))))</f>
        <v>Sangat baik</v>
      </c>
      <c r="MX11" s="134" t="str">
        <f>IF(FI11&lt;$FN$4," "&amp;KONVERSI!$C$18&amp;INDEX($LY$8:$MR$8,MATCH(MV11,LY11:MR11,0))&amp;".",IF(KG11=0,"",IF(MV11&lt;&gt;0,MU11&amp;MW11&amp;".",MU11&amp;".")))</f>
        <v>Sangat baik dalamprinsip perancangan, pembuatan dan penyajian produk kerajinan kerang, kaca, keramik dan botol plastik yang kreatif dan inovatifSangat baik.</v>
      </c>
      <c r="MY11" s="235" t="str">
        <f t="shared" si="261"/>
        <v>NO</v>
      </c>
      <c r="MZ11" s="235" t="str">
        <f t="shared" si="262"/>
        <v>OK</v>
      </c>
      <c r="NA11" s="235" t="str">
        <f t="shared" si="263"/>
        <v/>
      </c>
      <c r="NB11" s="235" t="str">
        <f t="shared" si="264"/>
        <v/>
      </c>
      <c r="NC11" s="235" t="str">
        <f t="shared" si="265"/>
        <v/>
      </c>
      <c r="ND11" s="235" t="str">
        <f t="shared" si="266"/>
        <v/>
      </c>
      <c r="NE11" s="235" t="str">
        <f t="shared" si="267"/>
        <v/>
      </c>
      <c r="NF11" s="235" t="str">
        <f t="shared" si="268"/>
        <v/>
      </c>
      <c r="NG11" s="235" t="str">
        <f t="shared" si="269"/>
        <v/>
      </c>
      <c r="NH11" s="235" t="str">
        <f t="shared" si="270"/>
        <v/>
      </c>
      <c r="NI11" s="235" t="str">
        <f t="shared" si="271"/>
        <v/>
      </c>
      <c r="NJ11" s="235" t="str">
        <f t="shared" si="272"/>
        <v/>
      </c>
      <c r="NK11" s="235" t="str">
        <f t="shared" si="273"/>
        <v/>
      </c>
      <c r="NL11" s="235" t="str">
        <f t="shared" si="274"/>
        <v/>
      </c>
      <c r="NM11" s="235" t="str">
        <f t="shared" si="275"/>
        <v/>
      </c>
      <c r="NN11" s="235" t="str">
        <f t="shared" si="276"/>
        <v/>
      </c>
      <c r="NO11" s="235" t="str">
        <f t="shared" si="277"/>
        <v/>
      </c>
      <c r="NP11" s="235" t="str">
        <f t="shared" si="278"/>
        <v/>
      </c>
      <c r="NQ11" s="235" t="str">
        <f t="shared" si="279"/>
        <v/>
      </c>
      <c r="NR11" s="235" t="str">
        <f t="shared" si="280"/>
        <v/>
      </c>
      <c r="NS11" s="134" t="str">
        <f t="shared" si="281"/>
        <v/>
      </c>
      <c r="NT11" s="134" t="str">
        <f t="shared" si="282"/>
        <v>prinsip perancangan, pembuatan dan penyajian produk kerajinan kerang, kaca, keramik dan botol plastik yang kreatif dan inovatif</v>
      </c>
      <c r="NU11" s="134" t="str">
        <f t="shared" si="283"/>
        <v/>
      </c>
      <c r="NV11" s="134" t="str">
        <f t="shared" si="284"/>
        <v/>
      </c>
      <c r="NW11" s="134" t="str">
        <f t="shared" si="285"/>
        <v/>
      </c>
      <c r="NX11" s="134" t="str">
        <f t="shared" si="286"/>
        <v/>
      </c>
      <c r="NY11" s="134" t="str">
        <f t="shared" si="287"/>
        <v/>
      </c>
      <c r="NZ11" s="134" t="str">
        <f t="shared" si="288"/>
        <v/>
      </c>
      <c r="OA11" s="134" t="str">
        <f t="shared" si="289"/>
        <v/>
      </c>
      <c r="OB11" s="134" t="str">
        <f t="shared" si="290"/>
        <v/>
      </c>
      <c r="OC11" s="134" t="str">
        <f t="shared" si="291"/>
        <v/>
      </c>
      <c r="OD11" s="134" t="str">
        <f t="shared" si="292"/>
        <v/>
      </c>
      <c r="OE11" s="134" t="str">
        <f t="shared" si="293"/>
        <v/>
      </c>
      <c r="OF11" s="134" t="str">
        <f t="shared" si="294"/>
        <v/>
      </c>
      <c r="OG11" s="134" t="str">
        <f t="shared" si="295"/>
        <v/>
      </c>
      <c r="OH11" s="134" t="str">
        <f t="shared" si="296"/>
        <v/>
      </c>
      <c r="OI11" s="134" t="str">
        <f t="shared" si="297"/>
        <v/>
      </c>
      <c r="OJ11" s="134" t="str">
        <f t="shared" si="298"/>
        <v/>
      </c>
      <c r="OK11" s="134" t="str">
        <f t="shared" si="299"/>
        <v/>
      </c>
      <c r="OL11" s="134" t="str">
        <f t="shared" si="300"/>
        <v/>
      </c>
      <c r="OM11" s="134" t="str">
        <f t="shared" si="301"/>
        <v>Sangat baik dalam prinsip perancangan, pembuatan dan penyajian produk kerajinan kerang, kaca, keramik dan botol plastik yang kreatif dan inovatif</v>
      </c>
      <c r="ON11" s="134" t="str">
        <f t="shared" si="302"/>
        <v>Sangat baik dalam prinsip perancangan, pembuatan dan penyajian produk kerajinan kerang, kaca, keramik dan botol plastik yang kreatif dan inovati.  </v>
      </c>
      <c r="OO11" s="236">
        <f t="shared" si="169"/>
        <v>1</v>
      </c>
      <c r="OP11" s="235" t="str">
        <f t="shared" si="303"/>
        <v>OK</v>
      </c>
      <c r="OQ11" s="235" t="str">
        <f t="shared" si="304"/>
        <v>NO</v>
      </c>
      <c r="OR11" s="235" t="str">
        <f t="shared" si="305"/>
        <v/>
      </c>
      <c r="OS11" s="235" t="str">
        <f t="shared" si="306"/>
        <v/>
      </c>
      <c r="OT11" s="235" t="str">
        <f t="shared" si="307"/>
        <v/>
      </c>
      <c r="OU11" s="235" t="str">
        <f t="shared" si="308"/>
        <v/>
      </c>
      <c r="OV11" s="235" t="str">
        <f t="shared" si="309"/>
        <v/>
      </c>
      <c r="OW11" s="235" t="str">
        <f t="shared" si="310"/>
        <v/>
      </c>
      <c r="OX11" s="235" t="str">
        <f t="shared" si="311"/>
        <v/>
      </c>
      <c r="OY11" s="235" t="str">
        <f t="shared" si="312"/>
        <v/>
      </c>
      <c r="OZ11" s="235" t="str">
        <f t="shared" si="313"/>
        <v/>
      </c>
      <c r="PA11" s="235" t="str">
        <f t="shared" si="314"/>
        <v/>
      </c>
      <c r="PB11" s="235" t="str">
        <f t="shared" si="315"/>
        <v/>
      </c>
      <c r="PC11" s="235" t="str">
        <f t="shared" si="316"/>
        <v/>
      </c>
      <c r="PD11" s="235" t="str">
        <f t="shared" si="317"/>
        <v/>
      </c>
      <c r="PE11" s="235" t="str">
        <f t="shared" si="318"/>
        <v/>
      </c>
      <c r="PF11" s="235" t="str">
        <f t="shared" si="319"/>
        <v/>
      </c>
      <c r="PG11" s="235" t="str">
        <f t="shared" si="320"/>
        <v/>
      </c>
      <c r="PH11" s="235" t="str">
        <f t="shared" si="321"/>
        <v/>
      </c>
      <c r="PI11" s="235" t="str">
        <f t="shared" si="322"/>
        <v/>
      </c>
      <c r="PJ11" s="134" t="str">
        <f t="shared" si="323"/>
        <v>jenis, sifat, karakter dan teknik pengolahan kerang, kaca, keramik dan botol plastik</v>
      </c>
      <c r="PK11" s="134" t="str">
        <f t="shared" si="324"/>
        <v/>
      </c>
      <c r="PL11" s="134" t="str">
        <f t="shared" si="325"/>
        <v/>
      </c>
      <c r="PM11" s="134" t="str">
        <f t="shared" si="326"/>
        <v/>
      </c>
      <c r="PN11" s="134" t="str">
        <f t="shared" si="327"/>
        <v/>
      </c>
      <c r="PO11" s="134" t="str">
        <f t="shared" si="328"/>
        <v/>
      </c>
      <c r="PP11" s="134" t="str">
        <f t="shared" si="329"/>
        <v/>
      </c>
      <c r="PQ11" s="134" t="str">
        <f t="shared" si="330"/>
        <v/>
      </c>
      <c r="PR11" s="134" t="str">
        <f t="shared" si="331"/>
        <v/>
      </c>
      <c r="PS11" s="134" t="str">
        <f t="shared" si="332"/>
        <v/>
      </c>
      <c r="PT11" s="134" t="str">
        <f t="shared" si="333"/>
        <v/>
      </c>
      <c r="PU11" s="134" t="str">
        <f t="shared" si="334"/>
        <v/>
      </c>
      <c r="PV11" s="134" t="str">
        <f t="shared" si="335"/>
        <v/>
      </c>
      <c r="PW11" s="134" t="str">
        <f t="shared" si="336"/>
        <v/>
      </c>
      <c r="PX11" s="134" t="str">
        <f t="shared" si="337"/>
        <v/>
      </c>
      <c r="PY11" s="134" t="str">
        <f t="shared" si="338"/>
        <v/>
      </c>
      <c r="PZ11" s="134" t="str">
        <f t="shared" si="339"/>
        <v/>
      </c>
      <c r="QA11" s="134" t="str">
        <f t="shared" si="340"/>
        <v/>
      </c>
      <c r="QB11" s="134" t="str">
        <f t="shared" si="341"/>
        <v/>
      </c>
      <c r="QC11" s="134" t="str">
        <f t="shared" si="342"/>
        <v/>
      </c>
      <c r="QD11" s="134" t="str">
        <f>IF(MT11=MW11,"",IF(MV11="","",IF(MV11&gt;=KONVERSI!$A$7,'KI3'!MW11&amp;" dalam"&amp;PJ11&amp;PK11&amp;PL11&amp;PM11&amp;PN11&amp;PO11&amp;PP11&amp;PQ11&amp;PR11&amp;PS11&amp;PT11&amp;PU11&amp;PV11&amp;PW11&amp;PX11&amp;PY11&amp;PZ11&amp;QA11&amp;QB11&amp;QC11,KONVERSI!$C$18&amp;" dalam"&amp;PJ11&amp;PK11&amp;PL11&amp;PM11&amp;PN11&amp;PO11&amp;PP11&amp;PQ11&amp;PR11&amp;PS11&amp;PT11&amp;PU11&amp;PV11&amp;PW11&amp;PX11&amp;PY11&amp;PZ11&amp;QA11&amp;QB11&amp;QC11)))</f>
        <v/>
      </c>
      <c r="QE11" s="134" t="str">
        <f t="shared" si="343"/>
        <v/>
      </c>
      <c r="QF11" s="236">
        <f t="shared" si="172"/>
        <v>1</v>
      </c>
      <c r="QG11" s="134" t="str">
        <f t="shared" si="173"/>
        <v>Sangat baik dalam prinsip perancangan, pembuatan dan penyajian produk kerajinan kerang, kaca, keramik dan botol plastik yang kreatif dan inovati.  </v>
      </c>
    </row>
    <row r="12" ht="27.6" customHeight="1" spans="1:449">
      <c r="A12" s="136"/>
      <c r="B12" s="177">
        <v>4</v>
      </c>
      <c r="C12" s="178" t="str">
        <f>siswa!C8</f>
        <v>DAVINA MOZHA HARIYANTO</v>
      </c>
      <c r="D12" s="174">
        <f>siswa!D8</f>
        <v>2740</v>
      </c>
      <c r="E12" s="175">
        <v>90</v>
      </c>
      <c r="F12" s="175">
        <v>100</v>
      </c>
      <c r="G12" s="248"/>
      <c r="H12" s="176"/>
      <c r="I12" s="176"/>
      <c r="J12" s="175">
        <v>88</v>
      </c>
      <c r="K12" s="176"/>
      <c r="L12" s="223">
        <f t="shared" si="174"/>
        <v>92.2</v>
      </c>
      <c r="M12" s="250">
        <v>92</v>
      </c>
      <c r="N12" s="250">
        <v>96</v>
      </c>
      <c r="O12" s="248"/>
      <c r="P12" s="176"/>
      <c r="Q12" s="176"/>
      <c r="R12" s="250">
        <v>92</v>
      </c>
      <c r="S12" s="176"/>
      <c r="T12" s="223">
        <f t="shared" si="175"/>
        <v>93.2</v>
      </c>
      <c r="U12" s="248"/>
      <c r="V12" s="248"/>
      <c r="W12" s="248"/>
      <c r="X12" s="176"/>
      <c r="Y12" s="176"/>
      <c r="Z12" s="250"/>
      <c r="AA12" s="176"/>
      <c r="AB12" s="223">
        <f t="shared" si="176"/>
        <v>0</v>
      </c>
      <c r="AC12" s="248"/>
      <c r="AD12" s="248"/>
      <c r="AE12" s="248"/>
      <c r="AF12" s="248"/>
      <c r="AG12" s="176"/>
      <c r="AH12" s="250"/>
      <c r="AI12" s="176"/>
      <c r="AJ12" s="223">
        <f t="shared" si="177"/>
        <v>0</v>
      </c>
      <c r="AK12" s="181"/>
      <c r="AL12" s="176"/>
      <c r="AM12" s="176"/>
      <c r="AN12" s="176"/>
      <c r="AO12" s="176"/>
      <c r="AP12" s="176"/>
      <c r="AQ12" s="176"/>
      <c r="AR12" s="223">
        <f t="shared" si="178"/>
        <v>0</v>
      </c>
      <c r="AS12" s="181"/>
      <c r="AT12" s="176"/>
      <c r="AU12" s="176"/>
      <c r="AV12" s="176"/>
      <c r="AW12" s="176"/>
      <c r="AX12" s="176"/>
      <c r="AY12" s="176"/>
      <c r="AZ12" s="223">
        <f t="shared" si="179"/>
        <v>0</v>
      </c>
      <c r="BA12" s="181"/>
      <c r="BB12" s="176"/>
      <c r="BC12" s="176"/>
      <c r="BD12" s="176"/>
      <c r="BE12" s="176"/>
      <c r="BF12" s="176"/>
      <c r="BG12" s="176"/>
      <c r="BH12" s="223">
        <f t="shared" si="180"/>
        <v>0</v>
      </c>
      <c r="BI12" s="181"/>
      <c r="BJ12" s="176"/>
      <c r="BK12" s="176"/>
      <c r="BL12" s="176"/>
      <c r="BM12" s="176"/>
      <c r="BN12" s="176"/>
      <c r="BO12" s="176"/>
      <c r="BP12" s="223">
        <f t="shared" si="181"/>
        <v>0</v>
      </c>
      <c r="BQ12" s="181"/>
      <c r="BR12" s="176"/>
      <c r="BS12" s="176"/>
      <c r="BT12" s="176"/>
      <c r="BU12" s="176"/>
      <c r="BV12" s="176"/>
      <c r="BW12" s="176"/>
      <c r="BX12" s="223">
        <f t="shared" si="182"/>
        <v>0</v>
      </c>
      <c r="BY12" s="181"/>
      <c r="BZ12" s="176"/>
      <c r="CA12" s="176"/>
      <c r="CB12" s="176"/>
      <c r="CC12" s="176"/>
      <c r="CD12" s="176"/>
      <c r="CE12" s="176"/>
      <c r="CF12" s="223">
        <f t="shared" si="183"/>
        <v>0</v>
      </c>
      <c r="CG12" s="181"/>
      <c r="CH12" s="176"/>
      <c r="CI12" s="176"/>
      <c r="CJ12" s="176"/>
      <c r="CK12" s="176"/>
      <c r="CL12" s="176"/>
      <c r="CM12" s="176"/>
      <c r="CN12" s="223">
        <f t="shared" si="184"/>
        <v>0</v>
      </c>
      <c r="CO12" s="181"/>
      <c r="CP12" s="176"/>
      <c r="CQ12" s="176"/>
      <c r="CR12" s="176"/>
      <c r="CS12" s="176"/>
      <c r="CT12" s="176"/>
      <c r="CU12" s="176"/>
      <c r="CV12" s="223">
        <f t="shared" si="185"/>
        <v>0</v>
      </c>
      <c r="CW12" s="181"/>
      <c r="CX12" s="176"/>
      <c r="CY12" s="176"/>
      <c r="CZ12" s="176"/>
      <c r="DA12" s="176"/>
      <c r="DB12" s="176"/>
      <c r="DC12" s="176"/>
      <c r="DD12" s="223">
        <f t="shared" si="186"/>
        <v>0</v>
      </c>
      <c r="DE12" s="181"/>
      <c r="DF12" s="176"/>
      <c r="DG12" s="176"/>
      <c r="DH12" s="176"/>
      <c r="DI12" s="176"/>
      <c r="DJ12" s="176"/>
      <c r="DK12" s="176"/>
      <c r="DL12" s="223">
        <f t="shared" si="187"/>
        <v>0</v>
      </c>
      <c r="DM12" s="181"/>
      <c r="DN12" s="176"/>
      <c r="DO12" s="176"/>
      <c r="DP12" s="176"/>
      <c r="DQ12" s="176"/>
      <c r="DR12" s="176"/>
      <c r="DS12" s="176"/>
      <c r="DT12" s="223">
        <f t="shared" si="188"/>
        <v>0</v>
      </c>
      <c r="DU12" s="181"/>
      <c r="DV12" s="176"/>
      <c r="DW12" s="176"/>
      <c r="DX12" s="176"/>
      <c r="DY12" s="176"/>
      <c r="DZ12" s="176"/>
      <c r="EA12" s="176"/>
      <c r="EB12" s="223">
        <f t="shared" si="189"/>
        <v>0</v>
      </c>
      <c r="EC12" s="181"/>
      <c r="ED12" s="176"/>
      <c r="EE12" s="176"/>
      <c r="EF12" s="176"/>
      <c r="EG12" s="176"/>
      <c r="EH12" s="176"/>
      <c r="EI12" s="176"/>
      <c r="EJ12" s="223">
        <f t="shared" si="190"/>
        <v>0</v>
      </c>
      <c r="EK12" s="181"/>
      <c r="EL12" s="176"/>
      <c r="EM12" s="176"/>
      <c r="EN12" s="176"/>
      <c r="EO12" s="176"/>
      <c r="EP12" s="176"/>
      <c r="EQ12" s="176"/>
      <c r="ER12" s="223">
        <f t="shared" si="191"/>
        <v>0</v>
      </c>
      <c r="ES12" s="181"/>
      <c r="ET12" s="176"/>
      <c r="EU12" s="176"/>
      <c r="EV12" s="176"/>
      <c r="EW12" s="176"/>
      <c r="EX12" s="176"/>
      <c r="EY12" s="176"/>
      <c r="EZ12" s="223">
        <f t="shared" si="192"/>
        <v>0</v>
      </c>
      <c r="FA12" s="181"/>
      <c r="FB12" s="176"/>
      <c r="FC12" s="176"/>
      <c r="FD12" s="176"/>
      <c r="FE12" s="176"/>
      <c r="FF12" s="176"/>
      <c r="FG12" s="176"/>
      <c r="FH12" s="223">
        <f t="shared" si="193"/>
        <v>0</v>
      </c>
      <c r="FI12" s="291">
        <f t="shared" si="194"/>
        <v>93</v>
      </c>
      <c r="FJ12" s="250">
        <v>88</v>
      </c>
      <c r="FK12" s="250"/>
      <c r="FL12" s="291">
        <f t="shared" si="195"/>
        <v>91</v>
      </c>
      <c r="FM12" s="312" t="str">
        <f>IFERROR(IF(FL12="","",IF(FL12&gt;=KONVERSI!$A$5,KONVERSI!$D$5,IF(FL12&gt;=KONVERSI!$A$6,KONVERSI!$D$6,IF(FL12&gt;=KONVERSI!$A$7,KONVERSI!$D$7,KONVERSI!$D$8)))),"")</f>
        <v>B</v>
      </c>
      <c r="FN12" s="232" t="str">
        <f t="shared" si="196"/>
        <v>Tuntas</v>
      </c>
      <c r="FO12" s="313"/>
      <c r="FP12" s="314">
        <f t="shared" si="197"/>
        <v>94.5</v>
      </c>
      <c r="FQ12" s="194">
        <f t="shared" si="33"/>
        <v>90</v>
      </c>
      <c r="FR12" s="194">
        <f t="shared" si="34"/>
        <v>100</v>
      </c>
      <c r="FS12" s="194" t="str">
        <f t="shared" si="35"/>
        <v/>
      </c>
      <c r="FT12" s="194" t="str">
        <f t="shared" si="36"/>
        <v/>
      </c>
      <c r="FU12" s="194" t="str">
        <f t="shared" si="37"/>
        <v/>
      </c>
      <c r="FV12" s="194">
        <f t="shared" si="38"/>
        <v>92.2</v>
      </c>
      <c r="FW12" s="194">
        <f t="shared" si="39"/>
        <v>92</v>
      </c>
      <c r="FX12" s="194">
        <f t="shared" ref="FX12:FX56" si="344">IF($FW$6="","",IF(N12="","",N12))</f>
        <v>96</v>
      </c>
      <c r="FY12" s="194" t="str">
        <f t="shared" si="40"/>
        <v/>
      </c>
      <c r="FZ12" s="194" t="str">
        <f t="shared" si="41"/>
        <v/>
      </c>
      <c r="GA12" s="194" t="str">
        <f t="shared" si="42"/>
        <v/>
      </c>
      <c r="GB12" s="194">
        <f t="shared" si="43"/>
        <v>93.2</v>
      </c>
      <c r="GC12" s="194" t="str">
        <f t="shared" si="44"/>
        <v/>
      </c>
      <c r="GD12" s="194" t="str">
        <f t="shared" si="45"/>
        <v/>
      </c>
      <c r="GE12" s="194" t="str">
        <f t="shared" si="46"/>
        <v/>
      </c>
      <c r="GF12" s="194" t="str">
        <f t="shared" si="47"/>
        <v/>
      </c>
      <c r="GG12" s="194" t="str">
        <f t="shared" si="48"/>
        <v/>
      </c>
      <c r="GH12" s="194" t="str">
        <f t="shared" si="49"/>
        <v/>
      </c>
      <c r="GI12" s="194" t="str">
        <f t="shared" si="50"/>
        <v/>
      </c>
      <c r="GJ12" s="194" t="str">
        <f t="shared" si="51"/>
        <v/>
      </c>
      <c r="GK12" s="194" t="str">
        <f t="shared" si="52"/>
        <v/>
      </c>
      <c r="GL12" s="194" t="str">
        <f t="shared" si="53"/>
        <v/>
      </c>
      <c r="GM12" s="194" t="str">
        <f t="shared" si="54"/>
        <v/>
      </c>
      <c r="GN12" s="194" t="str">
        <f t="shared" si="55"/>
        <v/>
      </c>
      <c r="GO12" s="194" t="str">
        <f t="shared" si="56"/>
        <v/>
      </c>
      <c r="GP12" s="194" t="str">
        <f t="shared" si="57"/>
        <v/>
      </c>
      <c r="GQ12" s="194" t="str">
        <f t="shared" si="58"/>
        <v/>
      </c>
      <c r="GR12" s="194" t="str">
        <f t="shared" si="59"/>
        <v/>
      </c>
      <c r="GS12" s="194" t="str">
        <f t="shared" si="60"/>
        <v/>
      </c>
      <c r="GT12" s="194" t="str">
        <f t="shared" si="61"/>
        <v/>
      </c>
      <c r="GU12" s="194" t="str">
        <f t="shared" si="62"/>
        <v/>
      </c>
      <c r="GV12" s="194" t="str">
        <f t="shared" si="63"/>
        <v/>
      </c>
      <c r="GW12" s="194" t="str">
        <f t="shared" si="64"/>
        <v/>
      </c>
      <c r="GX12" s="194" t="str">
        <f t="shared" si="65"/>
        <v/>
      </c>
      <c r="GY12" s="194" t="str">
        <f t="shared" si="66"/>
        <v/>
      </c>
      <c r="GZ12" s="194" t="str">
        <f t="shared" si="67"/>
        <v/>
      </c>
      <c r="HA12" s="194" t="str">
        <f t="shared" si="68"/>
        <v/>
      </c>
      <c r="HB12" s="194" t="str">
        <f t="shared" si="69"/>
        <v/>
      </c>
      <c r="HC12" s="194" t="str">
        <f t="shared" si="70"/>
        <v/>
      </c>
      <c r="HD12" s="194" t="str">
        <f t="shared" si="71"/>
        <v/>
      </c>
      <c r="HE12" s="194" t="str">
        <f t="shared" si="72"/>
        <v/>
      </c>
      <c r="HF12" s="194" t="str">
        <f t="shared" si="73"/>
        <v/>
      </c>
      <c r="HG12" s="194" t="str">
        <f t="shared" si="74"/>
        <v/>
      </c>
      <c r="HH12" s="194" t="str">
        <f t="shared" si="75"/>
        <v/>
      </c>
      <c r="HI12" s="194" t="str">
        <f t="shared" si="76"/>
        <v/>
      </c>
      <c r="HJ12" s="194" t="str">
        <f t="shared" si="77"/>
        <v/>
      </c>
      <c r="HK12" s="194" t="str">
        <f t="shared" si="78"/>
        <v/>
      </c>
      <c r="HL12" s="194" t="str">
        <f t="shared" si="79"/>
        <v/>
      </c>
      <c r="HM12" s="194" t="str">
        <f t="shared" si="80"/>
        <v/>
      </c>
      <c r="HN12" s="194" t="str">
        <f t="shared" si="81"/>
        <v/>
      </c>
      <c r="HO12" s="194" t="str">
        <f t="shared" si="82"/>
        <v/>
      </c>
      <c r="HP12" s="194" t="str">
        <f t="shared" si="83"/>
        <v/>
      </c>
      <c r="HQ12" s="194" t="str">
        <f t="shared" si="84"/>
        <v/>
      </c>
      <c r="HR12" s="194" t="str">
        <f t="shared" si="85"/>
        <v/>
      </c>
      <c r="HS12" s="194" t="str">
        <f t="shared" si="86"/>
        <v/>
      </c>
      <c r="HT12" s="194" t="str">
        <f t="shared" si="87"/>
        <v/>
      </c>
      <c r="HU12" s="194" t="str">
        <f t="shared" si="88"/>
        <v/>
      </c>
      <c r="HV12" s="194" t="str">
        <f t="shared" si="89"/>
        <v/>
      </c>
      <c r="HW12" s="194" t="str">
        <f t="shared" si="90"/>
        <v/>
      </c>
      <c r="HX12" s="194" t="str">
        <f t="shared" si="91"/>
        <v/>
      </c>
      <c r="HY12" s="194" t="str">
        <f t="shared" si="92"/>
        <v/>
      </c>
      <c r="HZ12" s="194" t="str">
        <f t="shared" si="93"/>
        <v/>
      </c>
      <c r="IA12" s="194" t="str">
        <f t="shared" si="94"/>
        <v/>
      </c>
      <c r="IB12" s="194" t="str">
        <f t="shared" si="95"/>
        <v/>
      </c>
      <c r="IC12" s="194" t="str">
        <f t="shared" si="96"/>
        <v/>
      </c>
      <c r="ID12" s="194" t="str">
        <f t="shared" si="97"/>
        <v/>
      </c>
      <c r="IE12" s="194" t="str">
        <f t="shared" si="98"/>
        <v/>
      </c>
      <c r="IF12" s="194" t="str">
        <f t="shared" si="99"/>
        <v/>
      </c>
      <c r="IG12" s="194" t="str">
        <f t="shared" si="100"/>
        <v/>
      </c>
      <c r="IH12" s="194" t="str">
        <f t="shared" si="101"/>
        <v/>
      </c>
      <c r="II12" s="194" t="str">
        <f t="shared" si="102"/>
        <v/>
      </c>
      <c r="IJ12" s="194" t="str">
        <f t="shared" si="103"/>
        <v/>
      </c>
      <c r="IK12" s="194" t="str">
        <f t="shared" si="104"/>
        <v/>
      </c>
      <c r="IL12" s="194" t="str">
        <f t="shared" si="105"/>
        <v/>
      </c>
      <c r="IM12" s="194" t="str">
        <f t="shared" si="106"/>
        <v/>
      </c>
      <c r="IN12" s="194" t="str">
        <f t="shared" si="107"/>
        <v/>
      </c>
      <c r="IO12" s="194" t="str">
        <f t="shared" si="108"/>
        <v/>
      </c>
      <c r="IP12" s="194" t="str">
        <f t="shared" si="109"/>
        <v/>
      </c>
      <c r="IQ12" s="194" t="str">
        <f t="shared" si="110"/>
        <v/>
      </c>
      <c r="IR12" s="194" t="str">
        <f t="shared" si="111"/>
        <v/>
      </c>
      <c r="IS12" s="194" t="str">
        <f t="shared" si="112"/>
        <v/>
      </c>
      <c r="IT12" s="194" t="str">
        <f t="shared" si="113"/>
        <v/>
      </c>
      <c r="IU12" s="194" t="str">
        <f t="shared" si="114"/>
        <v/>
      </c>
      <c r="IV12" s="194" t="str">
        <f t="shared" si="115"/>
        <v/>
      </c>
      <c r="IW12" s="194" t="str">
        <f t="shared" si="116"/>
        <v/>
      </c>
      <c r="IX12" s="194" t="str">
        <f t="shared" si="117"/>
        <v/>
      </c>
      <c r="IY12" s="194" t="str">
        <f t="shared" si="118"/>
        <v/>
      </c>
      <c r="IZ12" s="194" t="str">
        <f t="shared" si="119"/>
        <v/>
      </c>
      <c r="JA12" s="194" t="str">
        <f t="shared" si="120"/>
        <v/>
      </c>
      <c r="JB12" s="194" t="str">
        <f t="shared" si="121"/>
        <v/>
      </c>
      <c r="JC12" s="194" t="str">
        <f t="shared" si="122"/>
        <v/>
      </c>
      <c r="JD12" s="194" t="str">
        <f t="shared" si="123"/>
        <v/>
      </c>
      <c r="JE12" s="194" t="str">
        <f t="shared" si="124"/>
        <v/>
      </c>
      <c r="JF12" s="194" t="str">
        <f t="shared" si="125"/>
        <v/>
      </c>
      <c r="JG12" s="194" t="str">
        <f t="shared" si="126"/>
        <v/>
      </c>
      <c r="JH12" s="194" t="str">
        <f t="shared" si="127"/>
        <v/>
      </c>
      <c r="JI12" s="194" t="str">
        <f t="shared" si="128"/>
        <v/>
      </c>
      <c r="JJ12" s="194" t="str">
        <f t="shared" si="129"/>
        <v/>
      </c>
      <c r="JK12" s="194" t="str">
        <f t="shared" si="130"/>
        <v/>
      </c>
      <c r="JL12" s="194" t="str">
        <f t="shared" si="131"/>
        <v/>
      </c>
      <c r="JM12" s="194" t="str">
        <f t="shared" si="132"/>
        <v/>
      </c>
      <c r="JN12" s="194" t="str">
        <f t="shared" si="133"/>
        <v/>
      </c>
      <c r="JO12" s="194" t="str">
        <f t="shared" si="134"/>
        <v/>
      </c>
      <c r="JP12" s="194" t="str">
        <f t="shared" si="135"/>
        <v/>
      </c>
      <c r="JQ12" s="194" t="str">
        <f t="shared" si="136"/>
        <v/>
      </c>
      <c r="JR12" s="194" t="str">
        <f t="shared" si="137"/>
        <v/>
      </c>
      <c r="JS12" s="194" t="str">
        <f t="shared" si="138"/>
        <v/>
      </c>
      <c r="JT12" s="194" t="str">
        <f t="shared" si="139"/>
        <v/>
      </c>
      <c r="JU12" s="194" t="str">
        <f t="shared" si="140"/>
        <v/>
      </c>
      <c r="JV12" s="194" t="str">
        <f t="shared" si="141"/>
        <v/>
      </c>
      <c r="JW12" s="194" t="str">
        <f t="shared" si="142"/>
        <v/>
      </c>
      <c r="JX12" s="194" t="str">
        <f t="shared" si="143"/>
        <v/>
      </c>
      <c r="JY12" s="194" t="str">
        <f t="shared" si="144"/>
        <v/>
      </c>
      <c r="JZ12" s="194" t="str">
        <f t="shared" si="145"/>
        <v/>
      </c>
      <c r="KA12" s="194" t="str">
        <f t="shared" si="146"/>
        <v/>
      </c>
      <c r="KB12" s="194" t="str">
        <f t="shared" si="147"/>
        <v/>
      </c>
      <c r="KC12" s="194" t="str">
        <f t="shared" si="148"/>
        <v/>
      </c>
      <c r="KD12" s="194" t="str">
        <f t="shared" si="149"/>
        <v/>
      </c>
      <c r="KE12" s="194" t="str">
        <f t="shared" si="150"/>
        <v/>
      </c>
      <c r="KF12" s="194" t="str">
        <f t="shared" si="151"/>
        <v/>
      </c>
      <c r="KG12" s="194">
        <f>SUM(LE12:LX12)/COUNTA(RefKI3KI4!$B$5:$B$24)</f>
        <v>92.7</v>
      </c>
      <c r="KH12" s="232">
        <f t="shared" si="198"/>
        <v>0</v>
      </c>
      <c r="KI12" s="340" t="str">
        <f t="shared" si="199"/>
        <v>ok</v>
      </c>
      <c r="KJ12" s="340" t="str">
        <f t="shared" si="200"/>
        <v>ok</v>
      </c>
      <c r="KK12" s="340" t="str">
        <f t="shared" si="201"/>
        <v/>
      </c>
      <c r="KL12" s="340" t="str">
        <f t="shared" si="202"/>
        <v/>
      </c>
      <c r="KM12" s="340" t="str">
        <f t="shared" si="203"/>
        <v/>
      </c>
      <c r="KN12" s="340" t="str">
        <f t="shared" si="204"/>
        <v/>
      </c>
      <c r="KO12" s="340" t="str">
        <f t="shared" si="205"/>
        <v/>
      </c>
      <c r="KP12" s="340" t="str">
        <f t="shared" si="206"/>
        <v/>
      </c>
      <c r="KQ12" s="340" t="str">
        <f t="shared" si="207"/>
        <v/>
      </c>
      <c r="KR12" s="340" t="str">
        <f t="shared" si="208"/>
        <v/>
      </c>
      <c r="KS12" s="340" t="str">
        <f t="shared" si="209"/>
        <v/>
      </c>
      <c r="KT12" s="340" t="str">
        <f t="shared" si="210"/>
        <v/>
      </c>
      <c r="KU12" s="340" t="str">
        <f t="shared" si="211"/>
        <v/>
      </c>
      <c r="KV12" s="340" t="str">
        <f t="shared" si="212"/>
        <v/>
      </c>
      <c r="KW12" s="340" t="str">
        <f t="shared" si="213"/>
        <v/>
      </c>
      <c r="KX12" s="340" t="str">
        <f t="shared" si="214"/>
        <v/>
      </c>
      <c r="KY12" s="340" t="str">
        <f t="shared" si="215"/>
        <v/>
      </c>
      <c r="KZ12" s="340" t="str">
        <f t="shared" si="216"/>
        <v/>
      </c>
      <c r="LA12" s="340" t="str">
        <f t="shared" si="217"/>
        <v/>
      </c>
      <c r="LB12" s="340" t="str">
        <f t="shared" si="218"/>
        <v/>
      </c>
      <c r="LC12" s="340">
        <f t="shared" si="219"/>
        <v>0</v>
      </c>
      <c r="LD12" s="228">
        <v>4</v>
      </c>
      <c r="LE12" s="229">
        <f t="shared" si="220"/>
        <v>92.2</v>
      </c>
      <c r="LF12" s="229">
        <f t="shared" si="221"/>
        <v>93.2</v>
      </c>
      <c r="LG12" s="229" t="str">
        <f t="shared" si="222"/>
        <v/>
      </c>
      <c r="LH12" s="229" t="str">
        <f t="shared" si="223"/>
        <v/>
      </c>
      <c r="LI12" s="229" t="str">
        <f t="shared" si="224"/>
        <v/>
      </c>
      <c r="LJ12" s="229" t="str">
        <f t="shared" si="225"/>
        <v/>
      </c>
      <c r="LK12" s="229" t="str">
        <f t="shared" si="226"/>
        <v/>
      </c>
      <c r="LL12" s="229" t="str">
        <f t="shared" si="227"/>
        <v/>
      </c>
      <c r="LM12" s="229" t="str">
        <f t="shared" si="228"/>
        <v/>
      </c>
      <c r="LN12" s="229" t="str">
        <f t="shared" si="229"/>
        <v/>
      </c>
      <c r="LO12" s="229" t="str">
        <f t="shared" si="230"/>
        <v/>
      </c>
      <c r="LP12" s="229" t="str">
        <f t="shared" si="231"/>
        <v/>
      </c>
      <c r="LQ12" s="229" t="str">
        <f t="shared" si="232"/>
        <v/>
      </c>
      <c r="LR12" s="229" t="str">
        <f t="shared" si="233"/>
        <v/>
      </c>
      <c r="LS12" s="229" t="str">
        <f t="shared" si="234"/>
        <v/>
      </c>
      <c r="LT12" s="229" t="str">
        <f t="shared" si="235"/>
        <v/>
      </c>
      <c r="LU12" s="229" t="str">
        <f t="shared" si="236"/>
        <v/>
      </c>
      <c r="LV12" s="229" t="str">
        <f t="shared" si="237"/>
        <v/>
      </c>
      <c r="LW12" s="229" t="str">
        <f t="shared" si="238"/>
        <v/>
      </c>
      <c r="LX12" s="229" t="str">
        <f t="shared" si="239"/>
        <v/>
      </c>
      <c r="LY12" s="231">
        <f t="shared" si="240"/>
        <v>92.2</v>
      </c>
      <c r="LZ12" s="231">
        <f t="shared" si="241"/>
        <v>93.2</v>
      </c>
      <c r="MA12" s="231" t="str">
        <f t="shared" si="242"/>
        <v/>
      </c>
      <c r="MB12" s="231" t="str">
        <f t="shared" si="243"/>
        <v/>
      </c>
      <c r="MC12" s="231" t="str">
        <f t="shared" si="244"/>
        <v/>
      </c>
      <c r="MD12" s="231" t="str">
        <f t="shared" si="245"/>
        <v/>
      </c>
      <c r="ME12" s="231" t="str">
        <f t="shared" si="246"/>
        <v/>
      </c>
      <c r="MF12" s="231" t="str">
        <f t="shared" si="247"/>
        <v/>
      </c>
      <c r="MG12" s="231" t="str">
        <f t="shared" si="248"/>
        <v/>
      </c>
      <c r="MH12" s="231" t="str">
        <f t="shared" si="249"/>
        <v/>
      </c>
      <c r="MI12" s="231" t="str">
        <f t="shared" si="250"/>
        <v/>
      </c>
      <c r="MJ12" s="231" t="str">
        <f t="shared" si="251"/>
        <v/>
      </c>
      <c r="MK12" s="231" t="str">
        <f t="shared" si="252"/>
        <v/>
      </c>
      <c r="ML12" s="231" t="str">
        <f t="shared" si="253"/>
        <v/>
      </c>
      <c r="MM12" s="231" t="str">
        <f t="shared" si="254"/>
        <v/>
      </c>
      <c r="MN12" s="231" t="str">
        <f t="shared" si="255"/>
        <v/>
      </c>
      <c r="MO12" s="231" t="str">
        <f t="shared" si="256"/>
        <v/>
      </c>
      <c r="MP12" s="231" t="str">
        <f t="shared" si="257"/>
        <v/>
      </c>
      <c r="MQ12" s="231" t="str">
        <f t="shared" si="258"/>
        <v/>
      </c>
      <c r="MR12" s="231" t="str">
        <f t="shared" si="259"/>
        <v/>
      </c>
      <c r="MS12" s="231">
        <f t="shared" si="154"/>
        <v>93.2</v>
      </c>
      <c r="MT12" s="232" t="str">
        <f>IF(MS12="","",IF(MS12&gt;=KONVERSI!$A$5,KONVERSI!$E$5,IF(MS12&gt;=KONVERSI!$A$6,KONVERSI!$E$6,IF(MS12&gt;=KONVERSI!$A$7,KONVERSI!$E$7,KONVERSI!$E$8))))</f>
        <v>Sangat baik</v>
      </c>
      <c r="MU12" s="233" t="str">
        <f t="shared" si="155"/>
        <v>Sangat baik dalamprinsip perancangan, pembuatan dan penyajian produk kerajinan kerang, kaca, keramik dan botol plastik yang kreatif dan inovatif</v>
      </c>
      <c r="MV12" s="234">
        <f t="shared" si="260"/>
        <v>92.2</v>
      </c>
      <c r="MW12" s="232" t="str">
        <f>IF(MV12="","",IF(MV12&gt;=KONVERSI!$A$5,KONVERSI!$E$5,IF(MV12&gt;=KONVERSI!$A$6,KONVERSI!$E$6,IF(MV12&gt;=KONVERSI!$A$7,KONVERSI!$E$7,KONVERSI!$E$8))))</f>
        <v>Sangat baik</v>
      </c>
      <c r="MX12" s="134" t="str">
        <f>IF(FI12&lt;$FN$4," "&amp;KONVERSI!$C$18&amp;INDEX($LY$8:$MR$8,MATCH(MV12,LY12:MR12,0))&amp;".",IF(KG12=0,"",IF(MV12&lt;&gt;0,MU12&amp;MW12&amp;".",MU12&amp;".")))</f>
        <v>Sangat baik dalamprinsip perancangan, pembuatan dan penyajian produk kerajinan kerang, kaca, keramik dan botol plastik yang kreatif dan inovatifSangat baik.</v>
      </c>
      <c r="MY12" s="235" t="str">
        <f t="shared" si="261"/>
        <v>NO</v>
      </c>
      <c r="MZ12" s="235" t="str">
        <f t="shared" si="262"/>
        <v>OK</v>
      </c>
      <c r="NA12" s="235" t="str">
        <f t="shared" si="263"/>
        <v/>
      </c>
      <c r="NB12" s="235" t="str">
        <f t="shared" si="264"/>
        <v/>
      </c>
      <c r="NC12" s="235" t="str">
        <f t="shared" si="265"/>
        <v/>
      </c>
      <c r="ND12" s="235" t="str">
        <f t="shared" si="266"/>
        <v/>
      </c>
      <c r="NE12" s="235" t="str">
        <f t="shared" si="267"/>
        <v/>
      </c>
      <c r="NF12" s="235" t="str">
        <f t="shared" si="268"/>
        <v/>
      </c>
      <c r="NG12" s="235" t="str">
        <f t="shared" si="269"/>
        <v/>
      </c>
      <c r="NH12" s="235" t="str">
        <f t="shared" si="270"/>
        <v/>
      </c>
      <c r="NI12" s="235" t="str">
        <f t="shared" si="271"/>
        <v/>
      </c>
      <c r="NJ12" s="235" t="str">
        <f t="shared" si="272"/>
        <v/>
      </c>
      <c r="NK12" s="235" t="str">
        <f t="shared" si="273"/>
        <v/>
      </c>
      <c r="NL12" s="235" t="str">
        <f t="shared" si="274"/>
        <v/>
      </c>
      <c r="NM12" s="235" t="str">
        <f t="shared" si="275"/>
        <v/>
      </c>
      <c r="NN12" s="235" t="str">
        <f t="shared" si="276"/>
        <v/>
      </c>
      <c r="NO12" s="235" t="str">
        <f t="shared" si="277"/>
        <v/>
      </c>
      <c r="NP12" s="235" t="str">
        <f t="shared" si="278"/>
        <v/>
      </c>
      <c r="NQ12" s="235" t="str">
        <f t="shared" si="279"/>
        <v/>
      </c>
      <c r="NR12" s="235" t="str">
        <f t="shared" si="280"/>
        <v/>
      </c>
      <c r="NS12" s="134" t="str">
        <f t="shared" si="281"/>
        <v/>
      </c>
      <c r="NT12" s="134" t="str">
        <f t="shared" si="282"/>
        <v>prinsip perancangan, pembuatan dan penyajian produk kerajinan kerang, kaca, keramik dan botol plastik yang kreatif dan inovatif</v>
      </c>
      <c r="NU12" s="134" t="str">
        <f t="shared" si="283"/>
        <v/>
      </c>
      <c r="NV12" s="134" t="str">
        <f t="shared" si="284"/>
        <v/>
      </c>
      <c r="NW12" s="134" t="str">
        <f t="shared" si="285"/>
        <v/>
      </c>
      <c r="NX12" s="134" t="str">
        <f t="shared" si="286"/>
        <v/>
      </c>
      <c r="NY12" s="134" t="str">
        <f t="shared" si="287"/>
        <v/>
      </c>
      <c r="NZ12" s="134" t="str">
        <f t="shared" si="288"/>
        <v/>
      </c>
      <c r="OA12" s="134" t="str">
        <f t="shared" si="289"/>
        <v/>
      </c>
      <c r="OB12" s="134" t="str">
        <f t="shared" si="290"/>
        <v/>
      </c>
      <c r="OC12" s="134" t="str">
        <f t="shared" si="291"/>
        <v/>
      </c>
      <c r="OD12" s="134" t="str">
        <f t="shared" si="292"/>
        <v/>
      </c>
      <c r="OE12" s="134" t="str">
        <f t="shared" si="293"/>
        <v/>
      </c>
      <c r="OF12" s="134" t="str">
        <f t="shared" si="294"/>
        <v/>
      </c>
      <c r="OG12" s="134" t="str">
        <f t="shared" si="295"/>
        <v/>
      </c>
      <c r="OH12" s="134" t="str">
        <f t="shared" si="296"/>
        <v/>
      </c>
      <c r="OI12" s="134" t="str">
        <f t="shared" si="297"/>
        <v/>
      </c>
      <c r="OJ12" s="134" t="str">
        <f t="shared" si="298"/>
        <v/>
      </c>
      <c r="OK12" s="134" t="str">
        <f t="shared" si="299"/>
        <v/>
      </c>
      <c r="OL12" s="134" t="str">
        <f t="shared" si="300"/>
        <v/>
      </c>
      <c r="OM12" s="134" t="str">
        <f t="shared" si="301"/>
        <v>Sangat baik dalam prinsip perancangan, pembuatan dan penyajian produk kerajinan kerang, kaca, keramik dan botol plastik yang kreatif dan inovatif</v>
      </c>
      <c r="ON12" s="134" t="str">
        <f t="shared" si="302"/>
        <v>Sangat baik dalam prinsip perancangan, pembuatan dan penyajian produk kerajinan kerang, kaca, keramik dan botol plastik yang kreatif dan inovati.  </v>
      </c>
      <c r="OO12" s="236">
        <f t="shared" si="169"/>
        <v>1</v>
      </c>
      <c r="OP12" s="235" t="str">
        <f t="shared" si="303"/>
        <v>OK</v>
      </c>
      <c r="OQ12" s="235" t="str">
        <f t="shared" si="304"/>
        <v>NO</v>
      </c>
      <c r="OR12" s="235" t="str">
        <f t="shared" si="305"/>
        <v/>
      </c>
      <c r="OS12" s="235" t="str">
        <f t="shared" si="306"/>
        <v/>
      </c>
      <c r="OT12" s="235" t="str">
        <f t="shared" si="307"/>
        <v/>
      </c>
      <c r="OU12" s="235" t="str">
        <f t="shared" si="308"/>
        <v/>
      </c>
      <c r="OV12" s="235" t="str">
        <f t="shared" si="309"/>
        <v/>
      </c>
      <c r="OW12" s="235" t="str">
        <f t="shared" si="310"/>
        <v/>
      </c>
      <c r="OX12" s="235" t="str">
        <f t="shared" si="311"/>
        <v/>
      </c>
      <c r="OY12" s="235" t="str">
        <f t="shared" si="312"/>
        <v/>
      </c>
      <c r="OZ12" s="235" t="str">
        <f t="shared" si="313"/>
        <v/>
      </c>
      <c r="PA12" s="235" t="str">
        <f t="shared" si="314"/>
        <v/>
      </c>
      <c r="PB12" s="235" t="str">
        <f t="shared" si="315"/>
        <v/>
      </c>
      <c r="PC12" s="235" t="str">
        <f t="shared" si="316"/>
        <v/>
      </c>
      <c r="PD12" s="235" t="str">
        <f t="shared" si="317"/>
        <v/>
      </c>
      <c r="PE12" s="235" t="str">
        <f t="shared" si="318"/>
        <v/>
      </c>
      <c r="PF12" s="235" t="str">
        <f t="shared" si="319"/>
        <v/>
      </c>
      <c r="PG12" s="235" t="str">
        <f t="shared" si="320"/>
        <v/>
      </c>
      <c r="PH12" s="235" t="str">
        <f t="shared" si="321"/>
        <v/>
      </c>
      <c r="PI12" s="235" t="str">
        <f t="shared" si="322"/>
        <v/>
      </c>
      <c r="PJ12" s="134" t="str">
        <f t="shared" si="323"/>
        <v>jenis, sifat, karakter dan teknik pengolahan kerang, kaca, keramik dan botol plastik</v>
      </c>
      <c r="PK12" s="134" t="str">
        <f t="shared" si="324"/>
        <v/>
      </c>
      <c r="PL12" s="134" t="str">
        <f t="shared" si="325"/>
        <v/>
      </c>
      <c r="PM12" s="134" t="str">
        <f t="shared" si="326"/>
        <v/>
      </c>
      <c r="PN12" s="134" t="str">
        <f t="shared" si="327"/>
        <v/>
      </c>
      <c r="PO12" s="134" t="str">
        <f t="shared" si="328"/>
        <v/>
      </c>
      <c r="PP12" s="134" t="str">
        <f t="shared" si="329"/>
        <v/>
      </c>
      <c r="PQ12" s="134" t="str">
        <f t="shared" si="330"/>
        <v/>
      </c>
      <c r="PR12" s="134" t="str">
        <f t="shared" si="331"/>
        <v/>
      </c>
      <c r="PS12" s="134" t="str">
        <f t="shared" si="332"/>
        <v/>
      </c>
      <c r="PT12" s="134" t="str">
        <f t="shared" si="333"/>
        <v/>
      </c>
      <c r="PU12" s="134" t="str">
        <f t="shared" si="334"/>
        <v/>
      </c>
      <c r="PV12" s="134" t="str">
        <f t="shared" si="335"/>
        <v/>
      </c>
      <c r="PW12" s="134" t="str">
        <f t="shared" si="336"/>
        <v/>
      </c>
      <c r="PX12" s="134" t="str">
        <f t="shared" si="337"/>
        <v/>
      </c>
      <c r="PY12" s="134" t="str">
        <f t="shared" si="338"/>
        <v/>
      </c>
      <c r="PZ12" s="134" t="str">
        <f t="shared" si="339"/>
        <v/>
      </c>
      <c r="QA12" s="134" t="str">
        <f t="shared" si="340"/>
        <v/>
      </c>
      <c r="QB12" s="134" t="str">
        <f t="shared" si="341"/>
        <v/>
      </c>
      <c r="QC12" s="134" t="str">
        <f t="shared" si="342"/>
        <v/>
      </c>
      <c r="QD12" s="134" t="str">
        <f>IF(MT12=MW12,"",IF(MV12="","",IF(MV12&gt;=KONVERSI!$A$7,'KI3'!MW12&amp;" dalam"&amp;PJ12&amp;PK12&amp;PL12&amp;PM12&amp;PN12&amp;PO12&amp;PP12&amp;PQ12&amp;PR12&amp;PS12&amp;PT12&amp;PU12&amp;PV12&amp;PW12&amp;PX12&amp;PY12&amp;PZ12&amp;QA12&amp;QB12&amp;QC12,KONVERSI!$C$18&amp;" dalam"&amp;PJ12&amp;PK12&amp;PL12&amp;PM12&amp;PN12&amp;PO12&amp;PP12&amp;PQ12&amp;PR12&amp;PS12&amp;PT12&amp;PU12&amp;PV12&amp;PW12&amp;PX12&amp;PY12&amp;PZ12&amp;QA12&amp;QB12&amp;QC12)))</f>
        <v/>
      </c>
      <c r="QE12" s="134" t="str">
        <f t="shared" si="343"/>
        <v/>
      </c>
      <c r="QF12" s="236">
        <f t="shared" si="172"/>
        <v>1</v>
      </c>
      <c r="QG12" s="134" t="str">
        <f t="shared" si="173"/>
        <v>Sangat baik dalam prinsip perancangan, pembuatan dan penyajian produk kerajinan kerang, kaca, keramik dan botol plastik yang kreatif dan inovati.  </v>
      </c>
    </row>
    <row r="13" ht="27.6" customHeight="1" spans="1:449">
      <c r="A13" s="136"/>
      <c r="B13" s="177">
        <v>5</v>
      </c>
      <c r="C13" s="178" t="str">
        <f>siswa!C9</f>
        <v>DEWI PUSPITA</v>
      </c>
      <c r="D13" s="174">
        <f>siswa!D9</f>
        <v>2746</v>
      </c>
      <c r="E13" s="175">
        <v>90</v>
      </c>
      <c r="F13" s="175">
        <v>100</v>
      </c>
      <c r="G13" s="248"/>
      <c r="H13" s="176"/>
      <c r="I13" s="176"/>
      <c r="J13" s="175">
        <v>88</v>
      </c>
      <c r="K13" s="176"/>
      <c r="L13" s="223">
        <f t="shared" si="174"/>
        <v>92.2</v>
      </c>
      <c r="M13" s="250">
        <v>92</v>
      </c>
      <c r="N13" s="250">
        <v>100</v>
      </c>
      <c r="O13" s="248"/>
      <c r="P13" s="176"/>
      <c r="Q13" s="176"/>
      <c r="R13" s="250">
        <v>98</v>
      </c>
      <c r="S13" s="176"/>
      <c r="T13" s="223">
        <f t="shared" si="175"/>
        <v>96.8</v>
      </c>
      <c r="U13" s="248"/>
      <c r="V13" s="248"/>
      <c r="W13" s="248"/>
      <c r="X13" s="176"/>
      <c r="Y13" s="176"/>
      <c r="Z13" s="250"/>
      <c r="AA13" s="176"/>
      <c r="AB13" s="223">
        <f t="shared" si="176"/>
        <v>0</v>
      </c>
      <c r="AC13" s="248"/>
      <c r="AD13" s="248"/>
      <c r="AE13" s="248"/>
      <c r="AF13" s="248"/>
      <c r="AG13" s="176"/>
      <c r="AH13" s="250"/>
      <c r="AI13" s="176"/>
      <c r="AJ13" s="223">
        <f t="shared" si="177"/>
        <v>0</v>
      </c>
      <c r="AK13" s="181"/>
      <c r="AL13" s="176"/>
      <c r="AM13" s="176"/>
      <c r="AN13" s="176"/>
      <c r="AO13" s="176"/>
      <c r="AP13" s="176"/>
      <c r="AQ13" s="176"/>
      <c r="AR13" s="223">
        <f t="shared" si="178"/>
        <v>0</v>
      </c>
      <c r="AS13" s="181"/>
      <c r="AT13" s="176"/>
      <c r="AU13" s="176"/>
      <c r="AV13" s="176"/>
      <c r="AW13" s="176"/>
      <c r="AX13" s="176"/>
      <c r="AY13" s="176"/>
      <c r="AZ13" s="223">
        <f t="shared" si="179"/>
        <v>0</v>
      </c>
      <c r="BA13" s="181"/>
      <c r="BB13" s="176"/>
      <c r="BC13" s="176"/>
      <c r="BD13" s="176"/>
      <c r="BE13" s="176"/>
      <c r="BF13" s="176"/>
      <c r="BG13" s="176"/>
      <c r="BH13" s="223">
        <f t="shared" si="180"/>
        <v>0</v>
      </c>
      <c r="BI13" s="181"/>
      <c r="BJ13" s="176"/>
      <c r="BK13" s="176"/>
      <c r="BL13" s="176"/>
      <c r="BM13" s="176"/>
      <c r="BN13" s="176"/>
      <c r="BO13" s="176"/>
      <c r="BP13" s="223">
        <f t="shared" si="181"/>
        <v>0</v>
      </c>
      <c r="BQ13" s="181"/>
      <c r="BR13" s="176"/>
      <c r="BS13" s="176"/>
      <c r="BT13" s="176"/>
      <c r="BU13" s="176"/>
      <c r="BV13" s="176"/>
      <c r="BW13" s="176"/>
      <c r="BX13" s="223">
        <f t="shared" si="182"/>
        <v>0</v>
      </c>
      <c r="BY13" s="181"/>
      <c r="BZ13" s="176"/>
      <c r="CA13" s="176"/>
      <c r="CB13" s="176"/>
      <c r="CC13" s="176"/>
      <c r="CD13" s="176"/>
      <c r="CE13" s="176"/>
      <c r="CF13" s="223">
        <f t="shared" si="183"/>
        <v>0</v>
      </c>
      <c r="CG13" s="181"/>
      <c r="CH13" s="176"/>
      <c r="CI13" s="176"/>
      <c r="CJ13" s="176"/>
      <c r="CK13" s="176"/>
      <c r="CL13" s="176"/>
      <c r="CM13" s="176"/>
      <c r="CN13" s="223">
        <f t="shared" si="184"/>
        <v>0</v>
      </c>
      <c r="CO13" s="181"/>
      <c r="CP13" s="176"/>
      <c r="CQ13" s="176"/>
      <c r="CR13" s="176"/>
      <c r="CS13" s="176"/>
      <c r="CT13" s="176"/>
      <c r="CU13" s="176"/>
      <c r="CV13" s="223">
        <f t="shared" si="185"/>
        <v>0</v>
      </c>
      <c r="CW13" s="181"/>
      <c r="CX13" s="176"/>
      <c r="CY13" s="176"/>
      <c r="CZ13" s="176"/>
      <c r="DA13" s="176"/>
      <c r="DB13" s="176"/>
      <c r="DC13" s="176"/>
      <c r="DD13" s="223">
        <f t="shared" si="186"/>
        <v>0</v>
      </c>
      <c r="DE13" s="181"/>
      <c r="DF13" s="176"/>
      <c r="DG13" s="176"/>
      <c r="DH13" s="176"/>
      <c r="DI13" s="176"/>
      <c r="DJ13" s="176"/>
      <c r="DK13" s="176"/>
      <c r="DL13" s="223">
        <f t="shared" si="187"/>
        <v>0</v>
      </c>
      <c r="DM13" s="181"/>
      <c r="DN13" s="176"/>
      <c r="DO13" s="176"/>
      <c r="DP13" s="176"/>
      <c r="DQ13" s="176"/>
      <c r="DR13" s="176"/>
      <c r="DS13" s="176"/>
      <c r="DT13" s="223">
        <f t="shared" si="188"/>
        <v>0</v>
      </c>
      <c r="DU13" s="181"/>
      <c r="DV13" s="176"/>
      <c r="DW13" s="176"/>
      <c r="DX13" s="176"/>
      <c r="DY13" s="176"/>
      <c r="DZ13" s="176"/>
      <c r="EA13" s="176"/>
      <c r="EB13" s="223">
        <f t="shared" si="189"/>
        <v>0</v>
      </c>
      <c r="EC13" s="181"/>
      <c r="ED13" s="176"/>
      <c r="EE13" s="176"/>
      <c r="EF13" s="176"/>
      <c r="EG13" s="176"/>
      <c r="EH13" s="176"/>
      <c r="EI13" s="176"/>
      <c r="EJ13" s="223">
        <f t="shared" si="190"/>
        <v>0</v>
      </c>
      <c r="EK13" s="181"/>
      <c r="EL13" s="176"/>
      <c r="EM13" s="176"/>
      <c r="EN13" s="176"/>
      <c r="EO13" s="176"/>
      <c r="EP13" s="176"/>
      <c r="EQ13" s="176"/>
      <c r="ER13" s="223">
        <f t="shared" si="191"/>
        <v>0</v>
      </c>
      <c r="ES13" s="181"/>
      <c r="ET13" s="176"/>
      <c r="EU13" s="176"/>
      <c r="EV13" s="176"/>
      <c r="EW13" s="176"/>
      <c r="EX13" s="176"/>
      <c r="EY13" s="176"/>
      <c r="EZ13" s="223">
        <f t="shared" si="192"/>
        <v>0</v>
      </c>
      <c r="FA13" s="181"/>
      <c r="FB13" s="176"/>
      <c r="FC13" s="176"/>
      <c r="FD13" s="176"/>
      <c r="FE13" s="176"/>
      <c r="FF13" s="176"/>
      <c r="FG13" s="176"/>
      <c r="FH13" s="223">
        <f t="shared" si="193"/>
        <v>0</v>
      </c>
      <c r="FI13" s="291">
        <f t="shared" si="194"/>
        <v>95</v>
      </c>
      <c r="FJ13" s="250">
        <v>92</v>
      </c>
      <c r="FK13" s="250"/>
      <c r="FL13" s="291">
        <f t="shared" si="195"/>
        <v>94</v>
      </c>
      <c r="FM13" s="312" t="str">
        <f>IFERROR(IF(FL13="","",IF(FL13&gt;=KONVERSI!$A$5,KONVERSI!$D$5,IF(FL13&gt;=KONVERSI!$A$6,KONVERSI!$D$6,IF(FL13&gt;=KONVERSI!$A$7,KONVERSI!$D$7,KONVERSI!$D$8)))),"")</f>
        <v>A</v>
      </c>
      <c r="FN13" s="232" t="str">
        <f t="shared" si="196"/>
        <v>Tuntas</v>
      </c>
      <c r="FO13" s="313"/>
      <c r="FP13" s="314">
        <f t="shared" si="197"/>
        <v>95.5</v>
      </c>
      <c r="FQ13" s="194">
        <f t="shared" si="33"/>
        <v>90</v>
      </c>
      <c r="FR13" s="194">
        <f t="shared" si="34"/>
        <v>100</v>
      </c>
      <c r="FS13" s="194" t="str">
        <f t="shared" si="35"/>
        <v/>
      </c>
      <c r="FT13" s="194" t="str">
        <f t="shared" si="36"/>
        <v/>
      </c>
      <c r="FU13" s="194" t="str">
        <f t="shared" si="37"/>
        <v/>
      </c>
      <c r="FV13" s="194">
        <f t="shared" si="38"/>
        <v>92.2</v>
      </c>
      <c r="FW13" s="194">
        <f t="shared" si="39"/>
        <v>92</v>
      </c>
      <c r="FX13" s="194">
        <f t="shared" si="344"/>
        <v>100</v>
      </c>
      <c r="FY13" s="194" t="str">
        <f t="shared" si="40"/>
        <v/>
      </c>
      <c r="FZ13" s="194" t="str">
        <f t="shared" si="41"/>
        <v/>
      </c>
      <c r="GA13" s="194" t="str">
        <f t="shared" si="42"/>
        <v/>
      </c>
      <c r="GB13" s="194">
        <f t="shared" si="43"/>
        <v>96.8</v>
      </c>
      <c r="GC13" s="194" t="str">
        <f t="shared" si="44"/>
        <v/>
      </c>
      <c r="GD13" s="194" t="str">
        <f t="shared" si="45"/>
        <v/>
      </c>
      <c r="GE13" s="194" t="str">
        <f t="shared" si="46"/>
        <v/>
      </c>
      <c r="GF13" s="194" t="str">
        <f t="shared" si="47"/>
        <v/>
      </c>
      <c r="GG13" s="194" t="str">
        <f t="shared" si="48"/>
        <v/>
      </c>
      <c r="GH13" s="194" t="str">
        <f t="shared" si="49"/>
        <v/>
      </c>
      <c r="GI13" s="194" t="str">
        <f t="shared" si="50"/>
        <v/>
      </c>
      <c r="GJ13" s="194" t="str">
        <f t="shared" si="51"/>
        <v/>
      </c>
      <c r="GK13" s="194" t="str">
        <f t="shared" si="52"/>
        <v/>
      </c>
      <c r="GL13" s="194" t="str">
        <f t="shared" si="53"/>
        <v/>
      </c>
      <c r="GM13" s="194" t="str">
        <f t="shared" si="54"/>
        <v/>
      </c>
      <c r="GN13" s="194" t="str">
        <f t="shared" si="55"/>
        <v/>
      </c>
      <c r="GO13" s="194" t="str">
        <f t="shared" si="56"/>
        <v/>
      </c>
      <c r="GP13" s="194" t="str">
        <f t="shared" si="57"/>
        <v/>
      </c>
      <c r="GQ13" s="194" t="str">
        <f t="shared" si="58"/>
        <v/>
      </c>
      <c r="GR13" s="194" t="str">
        <f t="shared" si="59"/>
        <v/>
      </c>
      <c r="GS13" s="194" t="str">
        <f t="shared" si="60"/>
        <v/>
      </c>
      <c r="GT13" s="194" t="str">
        <f t="shared" si="61"/>
        <v/>
      </c>
      <c r="GU13" s="194" t="str">
        <f t="shared" si="62"/>
        <v/>
      </c>
      <c r="GV13" s="194" t="str">
        <f t="shared" si="63"/>
        <v/>
      </c>
      <c r="GW13" s="194" t="str">
        <f t="shared" si="64"/>
        <v/>
      </c>
      <c r="GX13" s="194" t="str">
        <f t="shared" si="65"/>
        <v/>
      </c>
      <c r="GY13" s="194" t="str">
        <f t="shared" si="66"/>
        <v/>
      </c>
      <c r="GZ13" s="194" t="str">
        <f t="shared" si="67"/>
        <v/>
      </c>
      <c r="HA13" s="194" t="str">
        <f t="shared" si="68"/>
        <v/>
      </c>
      <c r="HB13" s="194" t="str">
        <f t="shared" si="69"/>
        <v/>
      </c>
      <c r="HC13" s="194" t="str">
        <f t="shared" si="70"/>
        <v/>
      </c>
      <c r="HD13" s="194" t="str">
        <f t="shared" si="71"/>
        <v/>
      </c>
      <c r="HE13" s="194" t="str">
        <f t="shared" si="72"/>
        <v/>
      </c>
      <c r="HF13" s="194" t="str">
        <f t="shared" si="73"/>
        <v/>
      </c>
      <c r="HG13" s="194" t="str">
        <f t="shared" si="74"/>
        <v/>
      </c>
      <c r="HH13" s="194" t="str">
        <f t="shared" si="75"/>
        <v/>
      </c>
      <c r="HI13" s="194" t="str">
        <f t="shared" si="76"/>
        <v/>
      </c>
      <c r="HJ13" s="194" t="str">
        <f t="shared" si="77"/>
        <v/>
      </c>
      <c r="HK13" s="194" t="str">
        <f t="shared" si="78"/>
        <v/>
      </c>
      <c r="HL13" s="194" t="str">
        <f t="shared" si="79"/>
        <v/>
      </c>
      <c r="HM13" s="194" t="str">
        <f t="shared" si="80"/>
        <v/>
      </c>
      <c r="HN13" s="194" t="str">
        <f t="shared" si="81"/>
        <v/>
      </c>
      <c r="HO13" s="194" t="str">
        <f t="shared" si="82"/>
        <v/>
      </c>
      <c r="HP13" s="194" t="str">
        <f t="shared" si="83"/>
        <v/>
      </c>
      <c r="HQ13" s="194" t="str">
        <f t="shared" si="84"/>
        <v/>
      </c>
      <c r="HR13" s="194" t="str">
        <f t="shared" si="85"/>
        <v/>
      </c>
      <c r="HS13" s="194" t="str">
        <f t="shared" si="86"/>
        <v/>
      </c>
      <c r="HT13" s="194" t="str">
        <f t="shared" si="87"/>
        <v/>
      </c>
      <c r="HU13" s="194" t="str">
        <f t="shared" si="88"/>
        <v/>
      </c>
      <c r="HV13" s="194" t="str">
        <f t="shared" si="89"/>
        <v/>
      </c>
      <c r="HW13" s="194" t="str">
        <f t="shared" si="90"/>
        <v/>
      </c>
      <c r="HX13" s="194" t="str">
        <f t="shared" si="91"/>
        <v/>
      </c>
      <c r="HY13" s="194" t="str">
        <f t="shared" si="92"/>
        <v/>
      </c>
      <c r="HZ13" s="194" t="str">
        <f t="shared" si="93"/>
        <v/>
      </c>
      <c r="IA13" s="194" t="str">
        <f t="shared" si="94"/>
        <v/>
      </c>
      <c r="IB13" s="194" t="str">
        <f t="shared" si="95"/>
        <v/>
      </c>
      <c r="IC13" s="194" t="str">
        <f t="shared" si="96"/>
        <v/>
      </c>
      <c r="ID13" s="194" t="str">
        <f t="shared" si="97"/>
        <v/>
      </c>
      <c r="IE13" s="194" t="str">
        <f t="shared" si="98"/>
        <v/>
      </c>
      <c r="IF13" s="194" t="str">
        <f t="shared" si="99"/>
        <v/>
      </c>
      <c r="IG13" s="194" t="str">
        <f t="shared" si="100"/>
        <v/>
      </c>
      <c r="IH13" s="194" t="str">
        <f t="shared" si="101"/>
        <v/>
      </c>
      <c r="II13" s="194" t="str">
        <f t="shared" si="102"/>
        <v/>
      </c>
      <c r="IJ13" s="194" t="str">
        <f t="shared" si="103"/>
        <v/>
      </c>
      <c r="IK13" s="194" t="str">
        <f t="shared" si="104"/>
        <v/>
      </c>
      <c r="IL13" s="194" t="str">
        <f t="shared" si="105"/>
        <v/>
      </c>
      <c r="IM13" s="194" t="str">
        <f t="shared" si="106"/>
        <v/>
      </c>
      <c r="IN13" s="194" t="str">
        <f t="shared" si="107"/>
        <v/>
      </c>
      <c r="IO13" s="194" t="str">
        <f t="shared" si="108"/>
        <v/>
      </c>
      <c r="IP13" s="194" t="str">
        <f t="shared" si="109"/>
        <v/>
      </c>
      <c r="IQ13" s="194" t="str">
        <f t="shared" si="110"/>
        <v/>
      </c>
      <c r="IR13" s="194" t="str">
        <f t="shared" si="111"/>
        <v/>
      </c>
      <c r="IS13" s="194" t="str">
        <f t="shared" si="112"/>
        <v/>
      </c>
      <c r="IT13" s="194" t="str">
        <f t="shared" si="113"/>
        <v/>
      </c>
      <c r="IU13" s="194" t="str">
        <f t="shared" si="114"/>
        <v/>
      </c>
      <c r="IV13" s="194" t="str">
        <f t="shared" si="115"/>
        <v/>
      </c>
      <c r="IW13" s="194" t="str">
        <f t="shared" si="116"/>
        <v/>
      </c>
      <c r="IX13" s="194" t="str">
        <f t="shared" si="117"/>
        <v/>
      </c>
      <c r="IY13" s="194" t="str">
        <f t="shared" si="118"/>
        <v/>
      </c>
      <c r="IZ13" s="194" t="str">
        <f t="shared" si="119"/>
        <v/>
      </c>
      <c r="JA13" s="194" t="str">
        <f t="shared" si="120"/>
        <v/>
      </c>
      <c r="JB13" s="194" t="str">
        <f t="shared" si="121"/>
        <v/>
      </c>
      <c r="JC13" s="194" t="str">
        <f t="shared" si="122"/>
        <v/>
      </c>
      <c r="JD13" s="194" t="str">
        <f t="shared" si="123"/>
        <v/>
      </c>
      <c r="JE13" s="194" t="str">
        <f t="shared" si="124"/>
        <v/>
      </c>
      <c r="JF13" s="194" t="str">
        <f t="shared" si="125"/>
        <v/>
      </c>
      <c r="JG13" s="194" t="str">
        <f t="shared" si="126"/>
        <v/>
      </c>
      <c r="JH13" s="194" t="str">
        <f t="shared" si="127"/>
        <v/>
      </c>
      <c r="JI13" s="194" t="str">
        <f t="shared" si="128"/>
        <v/>
      </c>
      <c r="JJ13" s="194" t="str">
        <f t="shared" si="129"/>
        <v/>
      </c>
      <c r="JK13" s="194" t="str">
        <f t="shared" si="130"/>
        <v/>
      </c>
      <c r="JL13" s="194" t="str">
        <f t="shared" si="131"/>
        <v/>
      </c>
      <c r="JM13" s="194" t="str">
        <f t="shared" si="132"/>
        <v/>
      </c>
      <c r="JN13" s="194" t="str">
        <f t="shared" si="133"/>
        <v/>
      </c>
      <c r="JO13" s="194" t="str">
        <f t="shared" si="134"/>
        <v/>
      </c>
      <c r="JP13" s="194" t="str">
        <f t="shared" si="135"/>
        <v/>
      </c>
      <c r="JQ13" s="194" t="str">
        <f t="shared" si="136"/>
        <v/>
      </c>
      <c r="JR13" s="194" t="str">
        <f t="shared" si="137"/>
        <v/>
      </c>
      <c r="JS13" s="194" t="str">
        <f t="shared" si="138"/>
        <v/>
      </c>
      <c r="JT13" s="194" t="str">
        <f t="shared" si="139"/>
        <v/>
      </c>
      <c r="JU13" s="194" t="str">
        <f t="shared" si="140"/>
        <v/>
      </c>
      <c r="JV13" s="194" t="str">
        <f t="shared" si="141"/>
        <v/>
      </c>
      <c r="JW13" s="194" t="str">
        <f t="shared" si="142"/>
        <v/>
      </c>
      <c r="JX13" s="194" t="str">
        <f t="shared" si="143"/>
        <v/>
      </c>
      <c r="JY13" s="194" t="str">
        <f t="shared" si="144"/>
        <v/>
      </c>
      <c r="JZ13" s="194" t="str">
        <f t="shared" si="145"/>
        <v/>
      </c>
      <c r="KA13" s="194" t="str">
        <f t="shared" si="146"/>
        <v/>
      </c>
      <c r="KB13" s="194" t="str">
        <f t="shared" si="147"/>
        <v/>
      </c>
      <c r="KC13" s="194" t="str">
        <f t="shared" si="148"/>
        <v/>
      </c>
      <c r="KD13" s="194" t="str">
        <f t="shared" si="149"/>
        <v/>
      </c>
      <c r="KE13" s="194" t="str">
        <f t="shared" si="150"/>
        <v/>
      </c>
      <c r="KF13" s="194" t="str">
        <f t="shared" si="151"/>
        <v/>
      </c>
      <c r="KG13" s="194">
        <f>SUM(LE13:LX13)/COUNTA(RefKI3KI4!$B$5:$B$24)</f>
        <v>94.5</v>
      </c>
      <c r="KH13" s="232">
        <f t="shared" si="198"/>
        <v>0</v>
      </c>
      <c r="KI13" s="340" t="str">
        <f t="shared" si="199"/>
        <v>ok</v>
      </c>
      <c r="KJ13" s="340" t="str">
        <f t="shared" si="200"/>
        <v>ok</v>
      </c>
      <c r="KK13" s="340" t="str">
        <f t="shared" si="201"/>
        <v/>
      </c>
      <c r="KL13" s="340" t="str">
        <f t="shared" si="202"/>
        <v/>
      </c>
      <c r="KM13" s="340" t="str">
        <f t="shared" si="203"/>
        <v/>
      </c>
      <c r="KN13" s="340" t="str">
        <f t="shared" si="204"/>
        <v/>
      </c>
      <c r="KO13" s="340" t="str">
        <f t="shared" si="205"/>
        <v/>
      </c>
      <c r="KP13" s="340" t="str">
        <f t="shared" si="206"/>
        <v/>
      </c>
      <c r="KQ13" s="340" t="str">
        <f t="shared" si="207"/>
        <v/>
      </c>
      <c r="KR13" s="340" t="str">
        <f t="shared" si="208"/>
        <v/>
      </c>
      <c r="KS13" s="340" t="str">
        <f t="shared" si="209"/>
        <v/>
      </c>
      <c r="KT13" s="340" t="str">
        <f t="shared" si="210"/>
        <v/>
      </c>
      <c r="KU13" s="340" t="str">
        <f t="shared" si="211"/>
        <v/>
      </c>
      <c r="KV13" s="340" t="str">
        <f t="shared" si="212"/>
        <v/>
      </c>
      <c r="KW13" s="340" t="str">
        <f t="shared" si="213"/>
        <v/>
      </c>
      <c r="KX13" s="340" t="str">
        <f t="shared" si="214"/>
        <v/>
      </c>
      <c r="KY13" s="340" t="str">
        <f t="shared" si="215"/>
        <v/>
      </c>
      <c r="KZ13" s="340" t="str">
        <f t="shared" si="216"/>
        <v/>
      </c>
      <c r="LA13" s="340" t="str">
        <f t="shared" si="217"/>
        <v/>
      </c>
      <c r="LB13" s="340" t="str">
        <f t="shared" si="218"/>
        <v/>
      </c>
      <c r="LC13" s="340">
        <f t="shared" si="219"/>
        <v>0</v>
      </c>
      <c r="LD13" s="228">
        <v>5</v>
      </c>
      <c r="LE13" s="229">
        <f t="shared" si="220"/>
        <v>92.2</v>
      </c>
      <c r="LF13" s="229">
        <f t="shared" si="221"/>
        <v>96.8</v>
      </c>
      <c r="LG13" s="229" t="str">
        <f t="shared" si="222"/>
        <v/>
      </c>
      <c r="LH13" s="229" t="str">
        <f t="shared" si="223"/>
        <v/>
      </c>
      <c r="LI13" s="229" t="str">
        <f t="shared" si="224"/>
        <v/>
      </c>
      <c r="LJ13" s="229" t="str">
        <f t="shared" si="225"/>
        <v/>
      </c>
      <c r="LK13" s="229" t="str">
        <f t="shared" si="226"/>
        <v/>
      </c>
      <c r="LL13" s="229" t="str">
        <f t="shared" si="227"/>
        <v/>
      </c>
      <c r="LM13" s="229" t="str">
        <f t="shared" si="228"/>
        <v/>
      </c>
      <c r="LN13" s="229" t="str">
        <f t="shared" si="229"/>
        <v/>
      </c>
      <c r="LO13" s="229" t="str">
        <f t="shared" si="230"/>
        <v/>
      </c>
      <c r="LP13" s="229" t="str">
        <f t="shared" si="231"/>
        <v/>
      </c>
      <c r="LQ13" s="229" t="str">
        <f t="shared" si="232"/>
        <v/>
      </c>
      <c r="LR13" s="229" t="str">
        <f t="shared" si="233"/>
        <v/>
      </c>
      <c r="LS13" s="229" t="str">
        <f t="shared" si="234"/>
        <v/>
      </c>
      <c r="LT13" s="229" t="str">
        <f t="shared" si="235"/>
        <v/>
      </c>
      <c r="LU13" s="229" t="str">
        <f t="shared" si="236"/>
        <v/>
      </c>
      <c r="LV13" s="229" t="str">
        <f t="shared" si="237"/>
        <v/>
      </c>
      <c r="LW13" s="229" t="str">
        <f t="shared" si="238"/>
        <v/>
      </c>
      <c r="LX13" s="229" t="str">
        <f t="shared" si="239"/>
        <v/>
      </c>
      <c r="LY13" s="231">
        <f t="shared" si="240"/>
        <v>92.2</v>
      </c>
      <c r="LZ13" s="231">
        <f t="shared" si="241"/>
        <v>96.8</v>
      </c>
      <c r="MA13" s="231" t="str">
        <f t="shared" si="242"/>
        <v/>
      </c>
      <c r="MB13" s="231" t="str">
        <f t="shared" si="243"/>
        <v/>
      </c>
      <c r="MC13" s="231" t="str">
        <f t="shared" si="244"/>
        <v/>
      </c>
      <c r="MD13" s="231" t="str">
        <f t="shared" si="245"/>
        <v/>
      </c>
      <c r="ME13" s="231" t="str">
        <f t="shared" si="246"/>
        <v/>
      </c>
      <c r="MF13" s="231" t="str">
        <f t="shared" si="247"/>
        <v/>
      </c>
      <c r="MG13" s="231" t="str">
        <f t="shared" si="248"/>
        <v/>
      </c>
      <c r="MH13" s="231" t="str">
        <f t="shared" si="249"/>
        <v/>
      </c>
      <c r="MI13" s="231" t="str">
        <f t="shared" si="250"/>
        <v/>
      </c>
      <c r="MJ13" s="231" t="str">
        <f t="shared" si="251"/>
        <v/>
      </c>
      <c r="MK13" s="231" t="str">
        <f t="shared" si="252"/>
        <v/>
      </c>
      <c r="ML13" s="231" t="str">
        <f t="shared" si="253"/>
        <v/>
      </c>
      <c r="MM13" s="231" t="str">
        <f t="shared" si="254"/>
        <v/>
      </c>
      <c r="MN13" s="231" t="str">
        <f t="shared" si="255"/>
        <v/>
      </c>
      <c r="MO13" s="231" t="str">
        <f t="shared" si="256"/>
        <v/>
      </c>
      <c r="MP13" s="231" t="str">
        <f t="shared" si="257"/>
        <v/>
      </c>
      <c r="MQ13" s="231" t="str">
        <f t="shared" si="258"/>
        <v/>
      </c>
      <c r="MR13" s="231" t="str">
        <f t="shared" si="259"/>
        <v/>
      </c>
      <c r="MS13" s="231">
        <f t="shared" si="154"/>
        <v>96.8</v>
      </c>
      <c r="MT13" s="232" t="str">
        <f>IF(MS13="","",IF(MS13&gt;=KONVERSI!$A$5,KONVERSI!$E$5,IF(MS13&gt;=KONVERSI!$A$6,KONVERSI!$E$6,IF(MS13&gt;=KONVERSI!$A$7,KONVERSI!$E$7,KONVERSI!$E$8))))</f>
        <v>Sangat baik</v>
      </c>
      <c r="MU13" s="233" t="str">
        <f t="shared" si="155"/>
        <v>Sangat baik dalamprinsip perancangan, pembuatan dan penyajian produk kerajinan kerang, kaca, keramik dan botol plastik yang kreatif dan inovatif</v>
      </c>
      <c r="MV13" s="234">
        <f t="shared" si="260"/>
        <v>92.2</v>
      </c>
      <c r="MW13" s="232" t="str">
        <f>IF(MV13="","",IF(MV13&gt;=KONVERSI!$A$5,KONVERSI!$E$5,IF(MV13&gt;=KONVERSI!$A$6,KONVERSI!$E$6,IF(MV13&gt;=KONVERSI!$A$7,KONVERSI!$E$7,KONVERSI!$E$8))))</f>
        <v>Sangat baik</v>
      </c>
      <c r="MX13" s="134" t="str">
        <f>IF(FI13&lt;$FN$4," "&amp;KONVERSI!$C$18&amp;INDEX($LY$8:$MR$8,MATCH(MV13,LY13:MR13,0))&amp;".",IF(KG13=0,"",IF(MV13&lt;&gt;0,MU13&amp;MW13&amp;".",MU13&amp;".")))</f>
        <v>Sangat baik dalamprinsip perancangan, pembuatan dan penyajian produk kerajinan kerang, kaca, keramik dan botol plastik yang kreatif dan inovatifSangat baik.</v>
      </c>
      <c r="MY13" s="235" t="str">
        <f t="shared" si="261"/>
        <v>NO</v>
      </c>
      <c r="MZ13" s="235" t="str">
        <f t="shared" si="262"/>
        <v>OK</v>
      </c>
      <c r="NA13" s="235" t="str">
        <f t="shared" si="263"/>
        <v/>
      </c>
      <c r="NB13" s="235" t="str">
        <f t="shared" si="264"/>
        <v/>
      </c>
      <c r="NC13" s="235" t="str">
        <f t="shared" si="265"/>
        <v/>
      </c>
      <c r="ND13" s="235" t="str">
        <f t="shared" si="266"/>
        <v/>
      </c>
      <c r="NE13" s="235" t="str">
        <f t="shared" si="267"/>
        <v/>
      </c>
      <c r="NF13" s="235" t="str">
        <f t="shared" si="268"/>
        <v/>
      </c>
      <c r="NG13" s="235" t="str">
        <f t="shared" si="269"/>
        <v/>
      </c>
      <c r="NH13" s="235" t="str">
        <f t="shared" si="270"/>
        <v/>
      </c>
      <c r="NI13" s="235" t="str">
        <f t="shared" si="271"/>
        <v/>
      </c>
      <c r="NJ13" s="235" t="str">
        <f t="shared" si="272"/>
        <v/>
      </c>
      <c r="NK13" s="235" t="str">
        <f t="shared" si="273"/>
        <v/>
      </c>
      <c r="NL13" s="235" t="str">
        <f t="shared" si="274"/>
        <v/>
      </c>
      <c r="NM13" s="235" t="str">
        <f t="shared" si="275"/>
        <v/>
      </c>
      <c r="NN13" s="235" t="str">
        <f t="shared" si="276"/>
        <v/>
      </c>
      <c r="NO13" s="235" t="str">
        <f t="shared" si="277"/>
        <v/>
      </c>
      <c r="NP13" s="235" t="str">
        <f t="shared" si="278"/>
        <v/>
      </c>
      <c r="NQ13" s="235" t="str">
        <f t="shared" si="279"/>
        <v/>
      </c>
      <c r="NR13" s="235" t="str">
        <f t="shared" si="280"/>
        <v/>
      </c>
      <c r="NS13" s="134" t="str">
        <f t="shared" si="281"/>
        <v/>
      </c>
      <c r="NT13" s="134" t="str">
        <f t="shared" si="282"/>
        <v>prinsip perancangan, pembuatan dan penyajian produk kerajinan kerang, kaca, keramik dan botol plastik yang kreatif dan inovatif</v>
      </c>
      <c r="NU13" s="134" t="str">
        <f t="shared" si="283"/>
        <v/>
      </c>
      <c r="NV13" s="134" t="str">
        <f t="shared" si="284"/>
        <v/>
      </c>
      <c r="NW13" s="134" t="str">
        <f t="shared" si="285"/>
        <v/>
      </c>
      <c r="NX13" s="134" t="str">
        <f t="shared" si="286"/>
        <v/>
      </c>
      <c r="NY13" s="134" t="str">
        <f t="shared" si="287"/>
        <v/>
      </c>
      <c r="NZ13" s="134" t="str">
        <f t="shared" si="288"/>
        <v/>
      </c>
      <c r="OA13" s="134" t="str">
        <f t="shared" si="289"/>
        <v/>
      </c>
      <c r="OB13" s="134" t="str">
        <f t="shared" si="290"/>
        <v/>
      </c>
      <c r="OC13" s="134" t="str">
        <f t="shared" si="291"/>
        <v/>
      </c>
      <c r="OD13" s="134" t="str">
        <f t="shared" si="292"/>
        <v/>
      </c>
      <c r="OE13" s="134" t="str">
        <f t="shared" si="293"/>
        <v/>
      </c>
      <c r="OF13" s="134" t="str">
        <f t="shared" si="294"/>
        <v/>
      </c>
      <c r="OG13" s="134" t="str">
        <f t="shared" si="295"/>
        <v/>
      </c>
      <c r="OH13" s="134" t="str">
        <f t="shared" si="296"/>
        <v/>
      </c>
      <c r="OI13" s="134" t="str">
        <f t="shared" si="297"/>
        <v/>
      </c>
      <c r="OJ13" s="134" t="str">
        <f t="shared" si="298"/>
        <v/>
      </c>
      <c r="OK13" s="134" t="str">
        <f t="shared" si="299"/>
        <v/>
      </c>
      <c r="OL13" s="134" t="str">
        <f t="shared" si="300"/>
        <v/>
      </c>
      <c r="OM13" s="134" t="str">
        <f t="shared" si="301"/>
        <v>Sangat baik dalam prinsip perancangan, pembuatan dan penyajian produk kerajinan kerang, kaca, keramik dan botol plastik yang kreatif dan inovatif</v>
      </c>
      <c r="ON13" s="134" t="str">
        <f t="shared" si="302"/>
        <v>Sangat baik dalam prinsip perancangan, pembuatan dan penyajian produk kerajinan kerang, kaca, keramik dan botol plastik yang kreatif dan inovati.  </v>
      </c>
      <c r="OO13" s="236">
        <f t="shared" si="169"/>
        <v>1</v>
      </c>
      <c r="OP13" s="235" t="str">
        <f t="shared" si="303"/>
        <v>OK</v>
      </c>
      <c r="OQ13" s="235" t="str">
        <f t="shared" si="304"/>
        <v>NO</v>
      </c>
      <c r="OR13" s="235" t="str">
        <f t="shared" si="305"/>
        <v/>
      </c>
      <c r="OS13" s="235" t="str">
        <f t="shared" si="306"/>
        <v/>
      </c>
      <c r="OT13" s="235" t="str">
        <f t="shared" si="307"/>
        <v/>
      </c>
      <c r="OU13" s="235" t="str">
        <f t="shared" si="308"/>
        <v/>
      </c>
      <c r="OV13" s="235" t="str">
        <f t="shared" si="309"/>
        <v/>
      </c>
      <c r="OW13" s="235" t="str">
        <f t="shared" si="310"/>
        <v/>
      </c>
      <c r="OX13" s="235" t="str">
        <f t="shared" si="311"/>
        <v/>
      </c>
      <c r="OY13" s="235" t="str">
        <f t="shared" si="312"/>
        <v/>
      </c>
      <c r="OZ13" s="235" t="str">
        <f t="shared" si="313"/>
        <v/>
      </c>
      <c r="PA13" s="235" t="str">
        <f t="shared" si="314"/>
        <v/>
      </c>
      <c r="PB13" s="235" t="str">
        <f t="shared" si="315"/>
        <v/>
      </c>
      <c r="PC13" s="235" t="str">
        <f t="shared" si="316"/>
        <v/>
      </c>
      <c r="PD13" s="235" t="str">
        <f t="shared" si="317"/>
        <v/>
      </c>
      <c r="PE13" s="235" t="str">
        <f t="shared" si="318"/>
        <v/>
      </c>
      <c r="PF13" s="235" t="str">
        <f t="shared" si="319"/>
        <v/>
      </c>
      <c r="PG13" s="235" t="str">
        <f t="shared" si="320"/>
        <v/>
      </c>
      <c r="PH13" s="235" t="str">
        <f t="shared" si="321"/>
        <v/>
      </c>
      <c r="PI13" s="235" t="str">
        <f t="shared" si="322"/>
        <v/>
      </c>
      <c r="PJ13" s="134" t="str">
        <f t="shared" si="323"/>
        <v>jenis, sifat, karakter dan teknik pengolahan kerang, kaca, keramik dan botol plastik</v>
      </c>
      <c r="PK13" s="134" t="str">
        <f t="shared" si="324"/>
        <v/>
      </c>
      <c r="PL13" s="134" t="str">
        <f t="shared" si="325"/>
        <v/>
      </c>
      <c r="PM13" s="134" t="str">
        <f t="shared" si="326"/>
        <v/>
      </c>
      <c r="PN13" s="134" t="str">
        <f t="shared" si="327"/>
        <v/>
      </c>
      <c r="PO13" s="134" t="str">
        <f t="shared" si="328"/>
        <v/>
      </c>
      <c r="PP13" s="134" t="str">
        <f t="shared" si="329"/>
        <v/>
      </c>
      <c r="PQ13" s="134" t="str">
        <f t="shared" si="330"/>
        <v/>
      </c>
      <c r="PR13" s="134" t="str">
        <f t="shared" si="331"/>
        <v/>
      </c>
      <c r="PS13" s="134" t="str">
        <f t="shared" si="332"/>
        <v/>
      </c>
      <c r="PT13" s="134" t="str">
        <f t="shared" si="333"/>
        <v/>
      </c>
      <c r="PU13" s="134" t="str">
        <f t="shared" si="334"/>
        <v/>
      </c>
      <c r="PV13" s="134" t="str">
        <f t="shared" si="335"/>
        <v/>
      </c>
      <c r="PW13" s="134" t="str">
        <f t="shared" si="336"/>
        <v/>
      </c>
      <c r="PX13" s="134" t="str">
        <f t="shared" si="337"/>
        <v/>
      </c>
      <c r="PY13" s="134" t="str">
        <f t="shared" si="338"/>
        <v/>
      </c>
      <c r="PZ13" s="134" t="str">
        <f t="shared" si="339"/>
        <v/>
      </c>
      <c r="QA13" s="134" t="str">
        <f t="shared" si="340"/>
        <v/>
      </c>
      <c r="QB13" s="134" t="str">
        <f t="shared" si="341"/>
        <v/>
      </c>
      <c r="QC13" s="134" t="str">
        <f t="shared" si="342"/>
        <v/>
      </c>
      <c r="QD13" s="134" t="str">
        <f>IF(MT13=MW13,"",IF(MV13="","",IF(MV13&gt;=KONVERSI!$A$7,'KI3'!MW13&amp;" dalam"&amp;PJ13&amp;PK13&amp;PL13&amp;PM13&amp;PN13&amp;PO13&amp;PP13&amp;PQ13&amp;PR13&amp;PS13&amp;PT13&amp;PU13&amp;PV13&amp;PW13&amp;PX13&amp;PY13&amp;PZ13&amp;QA13&amp;QB13&amp;QC13,KONVERSI!$C$18&amp;" dalam"&amp;PJ13&amp;PK13&amp;PL13&amp;PM13&amp;PN13&amp;PO13&amp;PP13&amp;PQ13&amp;PR13&amp;PS13&amp;PT13&amp;PU13&amp;PV13&amp;PW13&amp;PX13&amp;PY13&amp;PZ13&amp;QA13&amp;QB13&amp;QC13)))</f>
        <v/>
      </c>
      <c r="QE13" s="134" t="str">
        <f t="shared" si="343"/>
        <v/>
      </c>
      <c r="QF13" s="236">
        <f t="shared" si="172"/>
        <v>1</v>
      </c>
      <c r="QG13" s="134" t="str">
        <f t="shared" si="173"/>
        <v>Sangat baik dalam prinsip perancangan, pembuatan dan penyajian produk kerajinan kerang, kaca, keramik dan botol plastik yang kreatif dan inovati.  </v>
      </c>
    </row>
    <row r="14" ht="27.6" customHeight="1" spans="1:449">
      <c r="A14" s="136"/>
      <c r="B14" s="177">
        <v>6</v>
      </c>
      <c r="C14" s="178" t="str">
        <f>siswa!C10</f>
        <v>ENGGAR WIDI CAHYONO</v>
      </c>
      <c r="D14" s="174">
        <f>siswa!D10</f>
        <v>2754</v>
      </c>
      <c r="E14" s="175">
        <v>84</v>
      </c>
      <c r="F14" s="175">
        <v>84</v>
      </c>
      <c r="G14" s="248"/>
      <c r="H14" s="176"/>
      <c r="I14" s="176"/>
      <c r="J14" s="175">
        <v>82</v>
      </c>
      <c r="K14" s="176"/>
      <c r="L14" s="223">
        <f t="shared" si="174"/>
        <v>83.2</v>
      </c>
      <c r="M14" s="250">
        <v>84</v>
      </c>
      <c r="N14" s="250">
        <v>84</v>
      </c>
      <c r="O14" s="248"/>
      <c r="P14" s="176"/>
      <c r="Q14" s="176"/>
      <c r="R14" s="250">
        <v>84</v>
      </c>
      <c r="S14" s="176"/>
      <c r="T14" s="223">
        <f t="shared" si="175"/>
        <v>84</v>
      </c>
      <c r="U14" s="248"/>
      <c r="V14" s="248"/>
      <c r="W14" s="248"/>
      <c r="X14" s="176"/>
      <c r="Y14" s="176"/>
      <c r="Z14" s="250"/>
      <c r="AA14" s="176"/>
      <c r="AB14" s="223">
        <f t="shared" si="176"/>
        <v>0</v>
      </c>
      <c r="AC14" s="248"/>
      <c r="AD14" s="248"/>
      <c r="AE14" s="248"/>
      <c r="AF14" s="248"/>
      <c r="AG14" s="176"/>
      <c r="AH14" s="250"/>
      <c r="AI14" s="176"/>
      <c r="AJ14" s="223">
        <f t="shared" si="177"/>
        <v>0</v>
      </c>
      <c r="AK14" s="181"/>
      <c r="AL14" s="176"/>
      <c r="AM14" s="176"/>
      <c r="AN14" s="176"/>
      <c r="AO14" s="176"/>
      <c r="AP14" s="176"/>
      <c r="AQ14" s="176"/>
      <c r="AR14" s="223">
        <f t="shared" si="178"/>
        <v>0</v>
      </c>
      <c r="AS14" s="181"/>
      <c r="AT14" s="176"/>
      <c r="AU14" s="176"/>
      <c r="AV14" s="176"/>
      <c r="AW14" s="176"/>
      <c r="AX14" s="176"/>
      <c r="AY14" s="176"/>
      <c r="AZ14" s="223">
        <f t="shared" si="179"/>
        <v>0</v>
      </c>
      <c r="BA14" s="181"/>
      <c r="BB14" s="176"/>
      <c r="BC14" s="176"/>
      <c r="BD14" s="176"/>
      <c r="BE14" s="176"/>
      <c r="BF14" s="176"/>
      <c r="BG14" s="176"/>
      <c r="BH14" s="223">
        <f t="shared" si="180"/>
        <v>0</v>
      </c>
      <c r="BI14" s="181"/>
      <c r="BJ14" s="176"/>
      <c r="BK14" s="176"/>
      <c r="BL14" s="176"/>
      <c r="BM14" s="176"/>
      <c r="BN14" s="176"/>
      <c r="BO14" s="176"/>
      <c r="BP14" s="223">
        <f t="shared" si="181"/>
        <v>0</v>
      </c>
      <c r="BQ14" s="181"/>
      <c r="BR14" s="176"/>
      <c r="BS14" s="176"/>
      <c r="BT14" s="176"/>
      <c r="BU14" s="176"/>
      <c r="BV14" s="176"/>
      <c r="BW14" s="176"/>
      <c r="BX14" s="223">
        <f t="shared" si="182"/>
        <v>0</v>
      </c>
      <c r="BY14" s="181"/>
      <c r="BZ14" s="176"/>
      <c r="CA14" s="176"/>
      <c r="CB14" s="176"/>
      <c r="CC14" s="176"/>
      <c r="CD14" s="176"/>
      <c r="CE14" s="176"/>
      <c r="CF14" s="223">
        <f t="shared" si="183"/>
        <v>0</v>
      </c>
      <c r="CG14" s="181"/>
      <c r="CH14" s="176"/>
      <c r="CI14" s="176"/>
      <c r="CJ14" s="176"/>
      <c r="CK14" s="176"/>
      <c r="CL14" s="176"/>
      <c r="CM14" s="176"/>
      <c r="CN14" s="223">
        <f t="shared" si="184"/>
        <v>0</v>
      </c>
      <c r="CO14" s="181"/>
      <c r="CP14" s="176"/>
      <c r="CQ14" s="176"/>
      <c r="CR14" s="176"/>
      <c r="CS14" s="176"/>
      <c r="CT14" s="176"/>
      <c r="CU14" s="176"/>
      <c r="CV14" s="223">
        <f t="shared" si="185"/>
        <v>0</v>
      </c>
      <c r="CW14" s="181"/>
      <c r="CX14" s="176"/>
      <c r="CY14" s="176"/>
      <c r="CZ14" s="176"/>
      <c r="DA14" s="176"/>
      <c r="DB14" s="176"/>
      <c r="DC14" s="176"/>
      <c r="DD14" s="223">
        <f t="shared" si="186"/>
        <v>0</v>
      </c>
      <c r="DE14" s="181"/>
      <c r="DF14" s="176"/>
      <c r="DG14" s="176"/>
      <c r="DH14" s="176"/>
      <c r="DI14" s="176"/>
      <c r="DJ14" s="176"/>
      <c r="DK14" s="176"/>
      <c r="DL14" s="223">
        <f t="shared" si="187"/>
        <v>0</v>
      </c>
      <c r="DM14" s="181"/>
      <c r="DN14" s="176"/>
      <c r="DO14" s="176"/>
      <c r="DP14" s="176"/>
      <c r="DQ14" s="176"/>
      <c r="DR14" s="176"/>
      <c r="DS14" s="176"/>
      <c r="DT14" s="223">
        <f t="shared" si="188"/>
        <v>0</v>
      </c>
      <c r="DU14" s="181"/>
      <c r="DV14" s="176"/>
      <c r="DW14" s="176"/>
      <c r="DX14" s="176"/>
      <c r="DY14" s="176"/>
      <c r="DZ14" s="176"/>
      <c r="EA14" s="176"/>
      <c r="EB14" s="223">
        <f t="shared" si="189"/>
        <v>0</v>
      </c>
      <c r="EC14" s="181"/>
      <c r="ED14" s="176"/>
      <c r="EE14" s="176"/>
      <c r="EF14" s="176"/>
      <c r="EG14" s="176"/>
      <c r="EH14" s="176"/>
      <c r="EI14" s="176"/>
      <c r="EJ14" s="223">
        <f t="shared" si="190"/>
        <v>0</v>
      </c>
      <c r="EK14" s="181"/>
      <c r="EL14" s="176"/>
      <c r="EM14" s="176"/>
      <c r="EN14" s="176"/>
      <c r="EO14" s="176"/>
      <c r="EP14" s="176"/>
      <c r="EQ14" s="176"/>
      <c r="ER14" s="223">
        <f t="shared" si="191"/>
        <v>0</v>
      </c>
      <c r="ES14" s="181"/>
      <c r="ET14" s="176"/>
      <c r="EU14" s="176"/>
      <c r="EV14" s="176"/>
      <c r="EW14" s="176"/>
      <c r="EX14" s="176"/>
      <c r="EY14" s="176"/>
      <c r="EZ14" s="223">
        <f t="shared" si="192"/>
        <v>0</v>
      </c>
      <c r="FA14" s="181"/>
      <c r="FB14" s="176"/>
      <c r="FC14" s="176"/>
      <c r="FD14" s="176"/>
      <c r="FE14" s="176"/>
      <c r="FF14" s="176"/>
      <c r="FG14" s="176"/>
      <c r="FH14" s="223">
        <f t="shared" si="193"/>
        <v>0</v>
      </c>
      <c r="FI14" s="291">
        <f t="shared" si="194"/>
        <v>84</v>
      </c>
      <c r="FJ14" s="250">
        <v>88</v>
      </c>
      <c r="FK14" s="250"/>
      <c r="FL14" s="291">
        <f t="shared" si="195"/>
        <v>85</v>
      </c>
      <c r="FM14" s="312" t="str">
        <f>IFERROR(IF(FL14="","",IF(FL14&gt;=KONVERSI!$A$5,KONVERSI!$D$5,IF(FL14&gt;=KONVERSI!$A$6,KONVERSI!$D$6,IF(FL14&gt;=KONVERSI!$A$7,KONVERSI!$D$7,KONVERSI!$D$8)))),"")</f>
        <v>B</v>
      </c>
      <c r="FN14" s="232" t="str">
        <f t="shared" si="196"/>
        <v>Tuntas</v>
      </c>
      <c r="FO14" s="313"/>
      <c r="FP14" s="314">
        <f t="shared" si="197"/>
        <v>84</v>
      </c>
      <c r="FQ14" s="194">
        <f t="shared" si="33"/>
        <v>84</v>
      </c>
      <c r="FR14" s="194">
        <f t="shared" si="34"/>
        <v>84</v>
      </c>
      <c r="FS14" s="194" t="str">
        <f t="shared" si="35"/>
        <v/>
      </c>
      <c r="FT14" s="194" t="str">
        <f t="shared" si="36"/>
        <v/>
      </c>
      <c r="FU14" s="194" t="str">
        <f t="shared" si="37"/>
        <v/>
      </c>
      <c r="FV14" s="194">
        <f t="shared" si="38"/>
        <v>83.2</v>
      </c>
      <c r="FW14" s="194">
        <f t="shared" si="39"/>
        <v>84</v>
      </c>
      <c r="FX14" s="194">
        <f t="shared" si="344"/>
        <v>84</v>
      </c>
      <c r="FY14" s="194" t="str">
        <f t="shared" si="40"/>
        <v/>
      </c>
      <c r="FZ14" s="194" t="str">
        <f t="shared" si="41"/>
        <v/>
      </c>
      <c r="GA14" s="194" t="str">
        <f t="shared" si="42"/>
        <v/>
      </c>
      <c r="GB14" s="194">
        <f t="shared" si="43"/>
        <v>84</v>
      </c>
      <c r="GC14" s="194" t="str">
        <f t="shared" si="44"/>
        <v/>
      </c>
      <c r="GD14" s="194" t="str">
        <f t="shared" si="45"/>
        <v/>
      </c>
      <c r="GE14" s="194" t="str">
        <f t="shared" si="46"/>
        <v/>
      </c>
      <c r="GF14" s="194" t="str">
        <f t="shared" si="47"/>
        <v/>
      </c>
      <c r="GG14" s="194" t="str">
        <f t="shared" si="48"/>
        <v/>
      </c>
      <c r="GH14" s="194" t="str">
        <f t="shared" si="49"/>
        <v/>
      </c>
      <c r="GI14" s="194" t="str">
        <f t="shared" si="50"/>
        <v/>
      </c>
      <c r="GJ14" s="194" t="str">
        <f t="shared" si="51"/>
        <v/>
      </c>
      <c r="GK14" s="194" t="str">
        <f t="shared" si="52"/>
        <v/>
      </c>
      <c r="GL14" s="194" t="str">
        <f t="shared" si="53"/>
        <v/>
      </c>
      <c r="GM14" s="194" t="str">
        <f t="shared" si="54"/>
        <v/>
      </c>
      <c r="GN14" s="194" t="str">
        <f t="shared" si="55"/>
        <v/>
      </c>
      <c r="GO14" s="194" t="str">
        <f t="shared" si="56"/>
        <v/>
      </c>
      <c r="GP14" s="194" t="str">
        <f t="shared" si="57"/>
        <v/>
      </c>
      <c r="GQ14" s="194" t="str">
        <f t="shared" si="58"/>
        <v/>
      </c>
      <c r="GR14" s="194" t="str">
        <f t="shared" si="59"/>
        <v/>
      </c>
      <c r="GS14" s="194" t="str">
        <f t="shared" si="60"/>
        <v/>
      </c>
      <c r="GT14" s="194" t="str">
        <f t="shared" si="61"/>
        <v/>
      </c>
      <c r="GU14" s="194" t="str">
        <f t="shared" si="62"/>
        <v/>
      </c>
      <c r="GV14" s="194" t="str">
        <f t="shared" si="63"/>
        <v/>
      </c>
      <c r="GW14" s="194" t="str">
        <f t="shared" si="64"/>
        <v/>
      </c>
      <c r="GX14" s="194" t="str">
        <f t="shared" si="65"/>
        <v/>
      </c>
      <c r="GY14" s="194" t="str">
        <f t="shared" si="66"/>
        <v/>
      </c>
      <c r="GZ14" s="194" t="str">
        <f t="shared" si="67"/>
        <v/>
      </c>
      <c r="HA14" s="194" t="str">
        <f t="shared" si="68"/>
        <v/>
      </c>
      <c r="HB14" s="194" t="str">
        <f t="shared" si="69"/>
        <v/>
      </c>
      <c r="HC14" s="194" t="str">
        <f t="shared" si="70"/>
        <v/>
      </c>
      <c r="HD14" s="194" t="str">
        <f t="shared" si="71"/>
        <v/>
      </c>
      <c r="HE14" s="194" t="str">
        <f t="shared" si="72"/>
        <v/>
      </c>
      <c r="HF14" s="194" t="str">
        <f t="shared" si="73"/>
        <v/>
      </c>
      <c r="HG14" s="194" t="str">
        <f t="shared" si="74"/>
        <v/>
      </c>
      <c r="HH14" s="194" t="str">
        <f t="shared" si="75"/>
        <v/>
      </c>
      <c r="HI14" s="194" t="str">
        <f t="shared" si="76"/>
        <v/>
      </c>
      <c r="HJ14" s="194" t="str">
        <f t="shared" si="77"/>
        <v/>
      </c>
      <c r="HK14" s="194" t="str">
        <f t="shared" si="78"/>
        <v/>
      </c>
      <c r="HL14" s="194" t="str">
        <f t="shared" si="79"/>
        <v/>
      </c>
      <c r="HM14" s="194" t="str">
        <f t="shared" si="80"/>
        <v/>
      </c>
      <c r="HN14" s="194" t="str">
        <f t="shared" si="81"/>
        <v/>
      </c>
      <c r="HO14" s="194" t="str">
        <f t="shared" si="82"/>
        <v/>
      </c>
      <c r="HP14" s="194" t="str">
        <f t="shared" si="83"/>
        <v/>
      </c>
      <c r="HQ14" s="194" t="str">
        <f t="shared" si="84"/>
        <v/>
      </c>
      <c r="HR14" s="194" t="str">
        <f t="shared" si="85"/>
        <v/>
      </c>
      <c r="HS14" s="194" t="str">
        <f t="shared" si="86"/>
        <v/>
      </c>
      <c r="HT14" s="194" t="str">
        <f t="shared" si="87"/>
        <v/>
      </c>
      <c r="HU14" s="194" t="str">
        <f t="shared" si="88"/>
        <v/>
      </c>
      <c r="HV14" s="194" t="str">
        <f t="shared" si="89"/>
        <v/>
      </c>
      <c r="HW14" s="194" t="str">
        <f t="shared" si="90"/>
        <v/>
      </c>
      <c r="HX14" s="194" t="str">
        <f t="shared" si="91"/>
        <v/>
      </c>
      <c r="HY14" s="194" t="str">
        <f t="shared" si="92"/>
        <v/>
      </c>
      <c r="HZ14" s="194" t="str">
        <f t="shared" si="93"/>
        <v/>
      </c>
      <c r="IA14" s="194" t="str">
        <f t="shared" si="94"/>
        <v/>
      </c>
      <c r="IB14" s="194" t="str">
        <f t="shared" si="95"/>
        <v/>
      </c>
      <c r="IC14" s="194" t="str">
        <f t="shared" si="96"/>
        <v/>
      </c>
      <c r="ID14" s="194" t="str">
        <f t="shared" si="97"/>
        <v/>
      </c>
      <c r="IE14" s="194" t="str">
        <f t="shared" si="98"/>
        <v/>
      </c>
      <c r="IF14" s="194" t="str">
        <f t="shared" si="99"/>
        <v/>
      </c>
      <c r="IG14" s="194" t="str">
        <f t="shared" si="100"/>
        <v/>
      </c>
      <c r="IH14" s="194" t="str">
        <f t="shared" si="101"/>
        <v/>
      </c>
      <c r="II14" s="194" t="str">
        <f t="shared" si="102"/>
        <v/>
      </c>
      <c r="IJ14" s="194" t="str">
        <f t="shared" si="103"/>
        <v/>
      </c>
      <c r="IK14" s="194" t="str">
        <f t="shared" si="104"/>
        <v/>
      </c>
      <c r="IL14" s="194" t="str">
        <f t="shared" si="105"/>
        <v/>
      </c>
      <c r="IM14" s="194" t="str">
        <f t="shared" si="106"/>
        <v/>
      </c>
      <c r="IN14" s="194" t="str">
        <f t="shared" si="107"/>
        <v/>
      </c>
      <c r="IO14" s="194" t="str">
        <f t="shared" si="108"/>
        <v/>
      </c>
      <c r="IP14" s="194" t="str">
        <f t="shared" si="109"/>
        <v/>
      </c>
      <c r="IQ14" s="194" t="str">
        <f t="shared" si="110"/>
        <v/>
      </c>
      <c r="IR14" s="194" t="str">
        <f t="shared" si="111"/>
        <v/>
      </c>
      <c r="IS14" s="194" t="str">
        <f t="shared" si="112"/>
        <v/>
      </c>
      <c r="IT14" s="194" t="str">
        <f t="shared" si="113"/>
        <v/>
      </c>
      <c r="IU14" s="194" t="str">
        <f t="shared" si="114"/>
        <v/>
      </c>
      <c r="IV14" s="194" t="str">
        <f t="shared" si="115"/>
        <v/>
      </c>
      <c r="IW14" s="194" t="str">
        <f t="shared" si="116"/>
        <v/>
      </c>
      <c r="IX14" s="194" t="str">
        <f t="shared" si="117"/>
        <v/>
      </c>
      <c r="IY14" s="194" t="str">
        <f t="shared" si="118"/>
        <v/>
      </c>
      <c r="IZ14" s="194" t="str">
        <f t="shared" si="119"/>
        <v/>
      </c>
      <c r="JA14" s="194" t="str">
        <f t="shared" si="120"/>
        <v/>
      </c>
      <c r="JB14" s="194" t="str">
        <f t="shared" si="121"/>
        <v/>
      </c>
      <c r="JC14" s="194" t="str">
        <f t="shared" si="122"/>
        <v/>
      </c>
      <c r="JD14" s="194" t="str">
        <f t="shared" si="123"/>
        <v/>
      </c>
      <c r="JE14" s="194" t="str">
        <f t="shared" si="124"/>
        <v/>
      </c>
      <c r="JF14" s="194" t="str">
        <f t="shared" si="125"/>
        <v/>
      </c>
      <c r="JG14" s="194" t="str">
        <f t="shared" si="126"/>
        <v/>
      </c>
      <c r="JH14" s="194" t="str">
        <f t="shared" si="127"/>
        <v/>
      </c>
      <c r="JI14" s="194" t="str">
        <f t="shared" si="128"/>
        <v/>
      </c>
      <c r="JJ14" s="194" t="str">
        <f t="shared" si="129"/>
        <v/>
      </c>
      <c r="JK14" s="194" t="str">
        <f t="shared" si="130"/>
        <v/>
      </c>
      <c r="JL14" s="194" t="str">
        <f t="shared" si="131"/>
        <v/>
      </c>
      <c r="JM14" s="194" t="str">
        <f t="shared" si="132"/>
        <v/>
      </c>
      <c r="JN14" s="194" t="str">
        <f t="shared" si="133"/>
        <v/>
      </c>
      <c r="JO14" s="194" t="str">
        <f t="shared" si="134"/>
        <v/>
      </c>
      <c r="JP14" s="194" t="str">
        <f t="shared" si="135"/>
        <v/>
      </c>
      <c r="JQ14" s="194" t="str">
        <f t="shared" si="136"/>
        <v/>
      </c>
      <c r="JR14" s="194" t="str">
        <f t="shared" si="137"/>
        <v/>
      </c>
      <c r="JS14" s="194" t="str">
        <f t="shared" si="138"/>
        <v/>
      </c>
      <c r="JT14" s="194" t="str">
        <f t="shared" si="139"/>
        <v/>
      </c>
      <c r="JU14" s="194" t="str">
        <f t="shared" si="140"/>
        <v/>
      </c>
      <c r="JV14" s="194" t="str">
        <f t="shared" si="141"/>
        <v/>
      </c>
      <c r="JW14" s="194" t="str">
        <f t="shared" si="142"/>
        <v/>
      </c>
      <c r="JX14" s="194" t="str">
        <f t="shared" si="143"/>
        <v/>
      </c>
      <c r="JY14" s="194" t="str">
        <f t="shared" si="144"/>
        <v/>
      </c>
      <c r="JZ14" s="194" t="str">
        <f t="shared" si="145"/>
        <v/>
      </c>
      <c r="KA14" s="194" t="str">
        <f t="shared" si="146"/>
        <v/>
      </c>
      <c r="KB14" s="194" t="str">
        <f t="shared" si="147"/>
        <v/>
      </c>
      <c r="KC14" s="194" t="str">
        <f t="shared" si="148"/>
        <v/>
      </c>
      <c r="KD14" s="194" t="str">
        <f t="shared" si="149"/>
        <v/>
      </c>
      <c r="KE14" s="194" t="str">
        <f t="shared" si="150"/>
        <v/>
      </c>
      <c r="KF14" s="194" t="str">
        <f t="shared" si="151"/>
        <v/>
      </c>
      <c r="KG14" s="194">
        <f>SUM(LE14:LX14)/COUNTA(RefKI3KI4!$B$5:$B$24)</f>
        <v>83.6</v>
      </c>
      <c r="KH14" s="232">
        <f t="shared" si="198"/>
        <v>0</v>
      </c>
      <c r="KI14" s="340" t="str">
        <f t="shared" si="199"/>
        <v>ok</v>
      </c>
      <c r="KJ14" s="340" t="str">
        <f t="shared" si="200"/>
        <v>ok</v>
      </c>
      <c r="KK14" s="340" t="str">
        <f t="shared" si="201"/>
        <v/>
      </c>
      <c r="KL14" s="340" t="str">
        <f t="shared" si="202"/>
        <v/>
      </c>
      <c r="KM14" s="340" t="str">
        <f t="shared" si="203"/>
        <v/>
      </c>
      <c r="KN14" s="340" t="str">
        <f t="shared" si="204"/>
        <v/>
      </c>
      <c r="KO14" s="340" t="str">
        <f t="shared" si="205"/>
        <v/>
      </c>
      <c r="KP14" s="340" t="str">
        <f t="shared" si="206"/>
        <v/>
      </c>
      <c r="KQ14" s="340" t="str">
        <f t="shared" si="207"/>
        <v/>
      </c>
      <c r="KR14" s="340" t="str">
        <f t="shared" si="208"/>
        <v/>
      </c>
      <c r="KS14" s="340" t="str">
        <f t="shared" si="209"/>
        <v/>
      </c>
      <c r="KT14" s="340" t="str">
        <f t="shared" si="210"/>
        <v/>
      </c>
      <c r="KU14" s="340" t="str">
        <f t="shared" si="211"/>
        <v/>
      </c>
      <c r="KV14" s="340" t="str">
        <f t="shared" si="212"/>
        <v/>
      </c>
      <c r="KW14" s="340" t="str">
        <f t="shared" si="213"/>
        <v/>
      </c>
      <c r="KX14" s="340" t="str">
        <f t="shared" si="214"/>
        <v/>
      </c>
      <c r="KY14" s="340" t="str">
        <f t="shared" si="215"/>
        <v/>
      </c>
      <c r="KZ14" s="340" t="str">
        <f t="shared" si="216"/>
        <v/>
      </c>
      <c r="LA14" s="340" t="str">
        <f t="shared" si="217"/>
        <v/>
      </c>
      <c r="LB14" s="340" t="str">
        <f t="shared" si="218"/>
        <v/>
      </c>
      <c r="LC14" s="340">
        <f t="shared" si="219"/>
        <v>0</v>
      </c>
      <c r="LD14" s="228">
        <v>6</v>
      </c>
      <c r="LE14" s="229">
        <f t="shared" si="220"/>
        <v>83.2</v>
      </c>
      <c r="LF14" s="229">
        <f t="shared" si="221"/>
        <v>84</v>
      </c>
      <c r="LG14" s="229" t="str">
        <f t="shared" si="222"/>
        <v/>
      </c>
      <c r="LH14" s="229" t="str">
        <f t="shared" si="223"/>
        <v/>
      </c>
      <c r="LI14" s="229" t="str">
        <f t="shared" si="224"/>
        <v/>
      </c>
      <c r="LJ14" s="229" t="str">
        <f t="shared" si="225"/>
        <v/>
      </c>
      <c r="LK14" s="229" t="str">
        <f t="shared" si="226"/>
        <v/>
      </c>
      <c r="LL14" s="229" t="str">
        <f t="shared" si="227"/>
        <v/>
      </c>
      <c r="LM14" s="229" t="str">
        <f t="shared" si="228"/>
        <v/>
      </c>
      <c r="LN14" s="229" t="str">
        <f t="shared" si="229"/>
        <v/>
      </c>
      <c r="LO14" s="229" t="str">
        <f t="shared" si="230"/>
        <v/>
      </c>
      <c r="LP14" s="229" t="str">
        <f t="shared" si="231"/>
        <v/>
      </c>
      <c r="LQ14" s="229" t="str">
        <f t="shared" si="232"/>
        <v/>
      </c>
      <c r="LR14" s="229" t="str">
        <f t="shared" si="233"/>
        <v/>
      </c>
      <c r="LS14" s="229" t="str">
        <f t="shared" si="234"/>
        <v/>
      </c>
      <c r="LT14" s="229" t="str">
        <f t="shared" si="235"/>
        <v/>
      </c>
      <c r="LU14" s="229" t="str">
        <f t="shared" si="236"/>
        <v/>
      </c>
      <c r="LV14" s="229" t="str">
        <f t="shared" si="237"/>
        <v/>
      </c>
      <c r="LW14" s="229" t="str">
        <f t="shared" si="238"/>
        <v/>
      </c>
      <c r="LX14" s="229" t="str">
        <f t="shared" si="239"/>
        <v/>
      </c>
      <c r="LY14" s="231">
        <f t="shared" si="240"/>
        <v>83.2</v>
      </c>
      <c r="LZ14" s="231">
        <f t="shared" si="241"/>
        <v>84</v>
      </c>
      <c r="MA14" s="231" t="str">
        <f t="shared" si="242"/>
        <v/>
      </c>
      <c r="MB14" s="231" t="str">
        <f t="shared" si="243"/>
        <v/>
      </c>
      <c r="MC14" s="231" t="str">
        <f t="shared" si="244"/>
        <v/>
      </c>
      <c r="MD14" s="231" t="str">
        <f t="shared" si="245"/>
        <v/>
      </c>
      <c r="ME14" s="231" t="str">
        <f t="shared" si="246"/>
        <v/>
      </c>
      <c r="MF14" s="231" t="str">
        <f t="shared" si="247"/>
        <v/>
      </c>
      <c r="MG14" s="231" t="str">
        <f t="shared" si="248"/>
        <v/>
      </c>
      <c r="MH14" s="231" t="str">
        <f t="shared" si="249"/>
        <v/>
      </c>
      <c r="MI14" s="231" t="str">
        <f t="shared" si="250"/>
        <v/>
      </c>
      <c r="MJ14" s="231" t="str">
        <f t="shared" si="251"/>
        <v/>
      </c>
      <c r="MK14" s="231" t="str">
        <f t="shared" si="252"/>
        <v/>
      </c>
      <c r="ML14" s="231" t="str">
        <f t="shared" si="253"/>
        <v/>
      </c>
      <c r="MM14" s="231" t="str">
        <f t="shared" si="254"/>
        <v/>
      </c>
      <c r="MN14" s="231" t="str">
        <f t="shared" si="255"/>
        <v/>
      </c>
      <c r="MO14" s="231" t="str">
        <f t="shared" si="256"/>
        <v/>
      </c>
      <c r="MP14" s="231" t="str">
        <f t="shared" si="257"/>
        <v/>
      </c>
      <c r="MQ14" s="231" t="str">
        <f t="shared" si="258"/>
        <v/>
      </c>
      <c r="MR14" s="231" t="str">
        <f t="shared" si="259"/>
        <v/>
      </c>
      <c r="MS14" s="231">
        <f t="shared" si="154"/>
        <v>84</v>
      </c>
      <c r="MT14" s="232" t="str">
        <f>IF(MS14="","",IF(MS14&gt;=KONVERSI!$A$5,KONVERSI!$E$5,IF(MS14&gt;=KONVERSI!$A$6,KONVERSI!$E$6,IF(MS14&gt;=KONVERSI!$A$7,KONVERSI!$E$7,KONVERSI!$E$8))))</f>
        <v>Baik</v>
      </c>
      <c r="MU14" s="233" t="str">
        <f t="shared" si="155"/>
        <v>Baik dalamprinsip perancangan, pembuatan dan penyajian produk kerajinan kerang, kaca, keramik dan botol plastik yang kreatif dan inovatif</v>
      </c>
      <c r="MV14" s="234">
        <f t="shared" si="260"/>
        <v>83.2</v>
      </c>
      <c r="MW14" s="232" t="str">
        <f>IF(MV14="","",IF(MV14&gt;=KONVERSI!$A$5,KONVERSI!$E$5,IF(MV14&gt;=KONVERSI!$A$6,KONVERSI!$E$6,IF(MV14&gt;=KONVERSI!$A$7,KONVERSI!$E$7,KONVERSI!$E$8))))</f>
        <v>Baik</v>
      </c>
      <c r="MX14" s="134" t="str">
        <f>IF(FI14&lt;$FN$4," "&amp;KONVERSI!$C$18&amp;INDEX($LY$8:$MR$8,MATCH(MV14,LY14:MR14,0))&amp;".",IF(KG14=0,"",IF(MV14&lt;&gt;0,MU14&amp;MW14&amp;".",MU14&amp;".")))</f>
        <v>Baik dalamprinsip perancangan, pembuatan dan penyajian produk kerajinan kerang, kaca, keramik dan botol plastik yang kreatif dan inovatifBaik.</v>
      </c>
      <c r="MY14" s="235" t="str">
        <f t="shared" si="261"/>
        <v>NO</v>
      </c>
      <c r="MZ14" s="235" t="str">
        <f t="shared" si="262"/>
        <v>OK</v>
      </c>
      <c r="NA14" s="235" t="str">
        <f t="shared" si="263"/>
        <v/>
      </c>
      <c r="NB14" s="235" t="str">
        <f t="shared" si="264"/>
        <v/>
      </c>
      <c r="NC14" s="235" t="str">
        <f t="shared" si="265"/>
        <v/>
      </c>
      <c r="ND14" s="235" t="str">
        <f t="shared" si="266"/>
        <v/>
      </c>
      <c r="NE14" s="235" t="str">
        <f t="shared" si="267"/>
        <v/>
      </c>
      <c r="NF14" s="235" t="str">
        <f t="shared" si="268"/>
        <v/>
      </c>
      <c r="NG14" s="235" t="str">
        <f t="shared" si="269"/>
        <v/>
      </c>
      <c r="NH14" s="235" t="str">
        <f t="shared" si="270"/>
        <v/>
      </c>
      <c r="NI14" s="235" t="str">
        <f t="shared" si="271"/>
        <v/>
      </c>
      <c r="NJ14" s="235" t="str">
        <f t="shared" si="272"/>
        <v/>
      </c>
      <c r="NK14" s="235" t="str">
        <f t="shared" si="273"/>
        <v/>
      </c>
      <c r="NL14" s="235" t="str">
        <f t="shared" si="274"/>
        <v/>
      </c>
      <c r="NM14" s="235" t="str">
        <f t="shared" si="275"/>
        <v/>
      </c>
      <c r="NN14" s="235" t="str">
        <f t="shared" si="276"/>
        <v/>
      </c>
      <c r="NO14" s="235" t="str">
        <f t="shared" si="277"/>
        <v/>
      </c>
      <c r="NP14" s="235" t="str">
        <f t="shared" si="278"/>
        <v/>
      </c>
      <c r="NQ14" s="235" t="str">
        <f t="shared" si="279"/>
        <v/>
      </c>
      <c r="NR14" s="235" t="str">
        <f t="shared" si="280"/>
        <v/>
      </c>
      <c r="NS14" s="134" t="str">
        <f t="shared" si="281"/>
        <v/>
      </c>
      <c r="NT14" s="134" t="str">
        <f t="shared" si="282"/>
        <v>prinsip perancangan, pembuatan dan penyajian produk kerajinan kerang, kaca, keramik dan botol plastik yang kreatif dan inovatif</v>
      </c>
      <c r="NU14" s="134" t="str">
        <f t="shared" si="283"/>
        <v/>
      </c>
      <c r="NV14" s="134" t="str">
        <f t="shared" si="284"/>
        <v/>
      </c>
      <c r="NW14" s="134" t="str">
        <f t="shared" si="285"/>
        <v/>
      </c>
      <c r="NX14" s="134" t="str">
        <f t="shared" si="286"/>
        <v/>
      </c>
      <c r="NY14" s="134" t="str">
        <f t="shared" si="287"/>
        <v/>
      </c>
      <c r="NZ14" s="134" t="str">
        <f t="shared" si="288"/>
        <v/>
      </c>
      <c r="OA14" s="134" t="str">
        <f t="shared" si="289"/>
        <v/>
      </c>
      <c r="OB14" s="134" t="str">
        <f t="shared" si="290"/>
        <v/>
      </c>
      <c r="OC14" s="134" t="str">
        <f t="shared" si="291"/>
        <v/>
      </c>
      <c r="OD14" s="134" t="str">
        <f t="shared" si="292"/>
        <v/>
      </c>
      <c r="OE14" s="134" t="str">
        <f t="shared" si="293"/>
        <v/>
      </c>
      <c r="OF14" s="134" t="str">
        <f t="shared" si="294"/>
        <v/>
      </c>
      <c r="OG14" s="134" t="str">
        <f t="shared" si="295"/>
        <v/>
      </c>
      <c r="OH14" s="134" t="str">
        <f t="shared" si="296"/>
        <v/>
      </c>
      <c r="OI14" s="134" t="str">
        <f t="shared" si="297"/>
        <v/>
      </c>
      <c r="OJ14" s="134" t="str">
        <f t="shared" si="298"/>
        <v/>
      </c>
      <c r="OK14" s="134" t="str">
        <f t="shared" si="299"/>
        <v/>
      </c>
      <c r="OL14" s="134" t="str">
        <f t="shared" si="300"/>
        <v/>
      </c>
      <c r="OM14" s="134" t="str">
        <f t="shared" si="301"/>
        <v>Baik dalam prinsip perancangan, pembuatan dan penyajian produk kerajinan kerang, kaca, keramik dan botol plastik yang kreatif dan inovatif</v>
      </c>
      <c r="ON14" s="134" t="str">
        <f t="shared" si="302"/>
        <v>Baik dalam prinsip perancangan, pembuatan dan penyajian produk kerajinan kerang, kaca, keramik dan botol plastik yang kreatif dan inovati.  </v>
      </c>
      <c r="OO14" s="236">
        <f t="shared" si="169"/>
        <v>1</v>
      </c>
      <c r="OP14" s="235" t="str">
        <f t="shared" si="303"/>
        <v>OK</v>
      </c>
      <c r="OQ14" s="235" t="str">
        <f t="shared" si="304"/>
        <v>NO</v>
      </c>
      <c r="OR14" s="235" t="str">
        <f t="shared" si="305"/>
        <v/>
      </c>
      <c r="OS14" s="235" t="str">
        <f t="shared" si="306"/>
        <v/>
      </c>
      <c r="OT14" s="235" t="str">
        <f t="shared" si="307"/>
        <v/>
      </c>
      <c r="OU14" s="235" t="str">
        <f t="shared" si="308"/>
        <v/>
      </c>
      <c r="OV14" s="235" t="str">
        <f t="shared" si="309"/>
        <v/>
      </c>
      <c r="OW14" s="235" t="str">
        <f t="shared" si="310"/>
        <v/>
      </c>
      <c r="OX14" s="235" t="str">
        <f t="shared" si="311"/>
        <v/>
      </c>
      <c r="OY14" s="235" t="str">
        <f t="shared" si="312"/>
        <v/>
      </c>
      <c r="OZ14" s="235" t="str">
        <f t="shared" si="313"/>
        <v/>
      </c>
      <c r="PA14" s="235" t="str">
        <f t="shared" si="314"/>
        <v/>
      </c>
      <c r="PB14" s="235" t="str">
        <f t="shared" si="315"/>
        <v/>
      </c>
      <c r="PC14" s="235" t="str">
        <f t="shared" si="316"/>
        <v/>
      </c>
      <c r="PD14" s="235" t="str">
        <f t="shared" si="317"/>
        <v/>
      </c>
      <c r="PE14" s="235" t="str">
        <f t="shared" si="318"/>
        <v/>
      </c>
      <c r="PF14" s="235" t="str">
        <f t="shared" si="319"/>
        <v/>
      </c>
      <c r="PG14" s="235" t="str">
        <f t="shared" si="320"/>
        <v/>
      </c>
      <c r="PH14" s="235" t="str">
        <f t="shared" si="321"/>
        <v/>
      </c>
      <c r="PI14" s="235" t="str">
        <f t="shared" si="322"/>
        <v/>
      </c>
      <c r="PJ14" s="134" t="str">
        <f t="shared" si="323"/>
        <v>jenis, sifat, karakter dan teknik pengolahan kerang, kaca, keramik dan botol plastik</v>
      </c>
      <c r="PK14" s="134" t="str">
        <f t="shared" si="324"/>
        <v/>
      </c>
      <c r="PL14" s="134" t="str">
        <f t="shared" si="325"/>
        <v/>
      </c>
      <c r="PM14" s="134" t="str">
        <f t="shared" si="326"/>
        <v/>
      </c>
      <c r="PN14" s="134" t="str">
        <f t="shared" si="327"/>
        <v/>
      </c>
      <c r="PO14" s="134" t="str">
        <f t="shared" si="328"/>
        <v/>
      </c>
      <c r="PP14" s="134" t="str">
        <f t="shared" si="329"/>
        <v/>
      </c>
      <c r="PQ14" s="134" t="str">
        <f t="shared" si="330"/>
        <v/>
      </c>
      <c r="PR14" s="134" t="str">
        <f t="shared" si="331"/>
        <v/>
      </c>
      <c r="PS14" s="134" t="str">
        <f t="shared" si="332"/>
        <v/>
      </c>
      <c r="PT14" s="134" t="str">
        <f t="shared" si="333"/>
        <v/>
      </c>
      <c r="PU14" s="134" t="str">
        <f t="shared" si="334"/>
        <v/>
      </c>
      <c r="PV14" s="134" t="str">
        <f t="shared" si="335"/>
        <v/>
      </c>
      <c r="PW14" s="134" t="str">
        <f t="shared" si="336"/>
        <v/>
      </c>
      <c r="PX14" s="134" t="str">
        <f t="shared" si="337"/>
        <v/>
      </c>
      <c r="PY14" s="134" t="str">
        <f t="shared" si="338"/>
        <v/>
      </c>
      <c r="PZ14" s="134" t="str">
        <f t="shared" si="339"/>
        <v/>
      </c>
      <c r="QA14" s="134" t="str">
        <f t="shared" si="340"/>
        <v/>
      </c>
      <c r="QB14" s="134" t="str">
        <f t="shared" si="341"/>
        <v/>
      </c>
      <c r="QC14" s="134" t="str">
        <f t="shared" si="342"/>
        <v/>
      </c>
      <c r="QD14" s="134" t="str">
        <f>IF(MT14=MW14,"",IF(MV14="","",IF(MV14&gt;=KONVERSI!$A$7,'KI3'!MW14&amp;" dalam"&amp;PJ14&amp;PK14&amp;PL14&amp;PM14&amp;PN14&amp;PO14&amp;PP14&amp;PQ14&amp;PR14&amp;PS14&amp;PT14&amp;PU14&amp;PV14&amp;PW14&amp;PX14&amp;PY14&amp;PZ14&amp;QA14&amp;QB14&amp;QC14,KONVERSI!$C$18&amp;" dalam"&amp;PJ14&amp;PK14&amp;PL14&amp;PM14&amp;PN14&amp;PO14&amp;PP14&amp;PQ14&amp;PR14&amp;PS14&amp;PT14&amp;PU14&amp;PV14&amp;PW14&amp;PX14&amp;PY14&amp;PZ14&amp;QA14&amp;QB14&amp;QC14)))</f>
        <v/>
      </c>
      <c r="QE14" s="134" t="str">
        <f t="shared" si="343"/>
        <v/>
      </c>
      <c r="QF14" s="236">
        <f t="shared" si="172"/>
        <v>1</v>
      </c>
      <c r="QG14" s="134" t="str">
        <f t="shared" si="173"/>
        <v>Baik dalam prinsip perancangan, pembuatan dan penyajian produk kerajinan kerang, kaca, keramik dan botol plastik yang kreatif dan inovati.  </v>
      </c>
    </row>
    <row r="15" ht="27.6" customHeight="1" spans="1:449">
      <c r="A15" s="136"/>
      <c r="B15" s="177">
        <v>7</v>
      </c>
      <c r="C15" s="178" t="str">
        <f>siswa!C11</f>
        <v>ESTER IMELDA MANURUNG</v>
      </c>
      <c r="D15" s="174">
        <f>siswa!D11</f>
        <v>2755</v>
      </c>
      <c r="E15" s="175">
        <v>88</v>
      </c>
      <c r="F15" s="175">
        <v>100</v>
      </c>
      <c r="G15" s="248"/>
      <c r="H15" s="176"/>
      <c r="I15" s="176"/>
      <c r="J15" s="175">
        <v>82</v>
      </c>
      <c r="K15" s="176"/>
      <c r="L15" s="223">
        <f t="shared" si="174"/>
        <v>89.2</v>
      </c>
      <c r="M15" s="250">
        <v>84</v>
      </c>
      <c r="N15" s="250">
        <v>100</v>
      </c>
      <c r="O15" s="248"/>
      <c r="P15" s="176"/>
      <c r="Q15" s="176"/>
      <c r="R15" s="250">
        <v>84</v>
      </c>
      <c r="S15" s="176"/>
      <c r="T15" s="223">
        <f t="shared" si="175"/>
        <v>88.8</v>
      </c>
      <c r="U15" s="248"/>
      <c r="V15" s="248"/>
      <c r="W15" s="248"/>
      <c r="X15" s="176"/>
      <c r="Y15" s="176"/>
      <c r="Z15" s="250"/>
      <c r="AA15" s="176"/>
      <c r="AB15" s="223">
        <f t="shared" si="176"/>
        <v>0</v>
      </c>
      <c r="AC15" s="248"/>
      <c r="AD15" s="248"/>
      <c r="AE15" s="248"/>
      <c r="AF15" s="248"/>
      <c r="AG15" s="176"/>
      <c r="AH15" s="250"/>
      <c r="AI15" s="176"/>
      <c r="AJ15" s="223">
        <f t="shared" si="177"/>
        <v>0</v>
      </c>
      <c r="AK15" s="181"/>
      <c r="AL15" s="176"/>
      <c r="AM15" s="176"/>
      <c r="AN15" s="176"/>
      <c r="AO15" s="176"/>
      <c r="AP15" s="176"/>
      <c r="AQ15" s="176"/>
      <c r="AR15" s="223">
        <f t="shared" si="178"/>
        <v>0</v>
      </c>
      <c r="AS15" s="181"/>
      <c r="AT15" s="176"/>
      <c r="AU15" s="176"/>
      <c r="AV15" s="176"/>
      <c r="AW15" s="176"/>
      <c r="AX15" s="176"/>
      <c r="AY15" s="176"/>
      <c r="AZ15" s="223">
        <f t="shared" si="179"/>
        <v>0</v>
      </c>
      <c r="BA15" s="181"/>
      <c r="BB15" s="176"/>
      <c r="BC15" s="176"/>
      <c r="BD15" s="176"/>
      <c r="BE15" s="176"/>
      <c r="BF15" s="176"/>
      <c r="BG15" s="176"/>
      <c r="BH15" s="223">
        <f t="shared" si="180"/>
        <v>0</v>
      </c>
      <c r="BI15" s="181"/>
      <c r="BJ15" s="176"/>
      <c r="BK15" s="176"/>
      <c r="BL15" s="176"/>
      <c r="BM15" s="176"/>
      <c r="BN15" s="176"/>
      <c r="BO15" s="176"/>
      <c r="BP15" s="223">
        <f t="shared" si="181"/>
        <v>0</v>
      </c>
      <c r="BQ15" s="181"/>
      <c r="BR15" s="176"/>
      <c r="BS15" s="176"/>
      <c r="BT15" s="176"/>
      <c r="BU15" s="176"/>
      <c r="BV15" s="176"/>
      <c r="BW15" s="176"/>
      <c r="BX15" s="223">
        <f t="shared" si="182"/>
        <v>0</v>
      </c>
      <c r="BY15" s="181"/>
      <c r="BZ15" s="176"/>
      <c r="CA15" s="176"/>
      <c r="CB15" s="176"/>
      <c r="CC15" s="176"/>
      <c r="CD15" s="176"/>
      <c r="CE15" s="176"/>
      <c r="CF15" s="223">
        <f t="shared" si="183"/>
        <v>0</v>
      </c>
      <c r="CG15" s="181"/>
      <c r="CH15" s="176"/>
      <c r="CI15" s="176"/>
      <c r="CJ15" s="176"/>
      <c r="CK15" s="176"/>
      <c r="CL15" s="176"/>
      <c r="CM15" s="176"/>
      <c r="CN15" s="223">
        <f t="shared" si="184"/>
        <v>0</v>
      </c>
      <c r="CO15" s="181"/>
      <c r="CP15" s="176"/>
      <c r="CQ15" s="176"/>
      <c r="CR15" s="176"/>
      <c r="CS15" s="176"/>
      <c r="CT15" s="176"/>
      <c r="CU15" s="176"/>
      <c r="CV15" s="223">
        <f t="shared" si="185"/>
        <v>0</v>
      </c>
      <c r="CW15" s="181"/>
      <c r="CX15" s="176"/>
      <c r="CY15" s="176"/>
      <c r="CZ15" s="176"/>
      <c r="DA15" s="176"/>
      <c r="DB15" s="176"/>
      <c r="DC15" s="176"/>
      <c r="DD15" s="223">
        <f t="shared" si="186"/>
        <v>0</v>
      </c>
      <c r="DE15" s="181"/>
      <c r="DF15" s="176"/>
      <c r="DG15" s="176"/>
      <c r="DH15" s="176"/>
      <c r="DI15" s="176"/>
      <c r="DJ15" s="176"/>
      <c r="DK15" s="176"/>
      <c r="DL15" s="223">
        <f t="shared" si="187"/>
        <v>0</v>
      </c>
      <c r="DM15" s="181"/>
      <c r="DN15" s="176"/>
      <c r="DO15" s="176"/>
      <c r="DP15" s="176"/>
      <c r="DQ15" s="176"/>
      <c r="DR15" s="176"/>
      <c r="DS15" s="176"/>
      <c r="DT15" s="223">
        <f t="shared" si="188"/>
        <v>0</v>
      </c>
      <c r="DU15" s="181"/>
      <c r="DV15" s="176"/>
      <c r="DW15" s="176"/>
      <c r="DX15" s="176"/>
      <c r="DY15" s="176"/>
      <c r="DZ15" s="176"/>
      <c r="EA15" s="176"/>
      <c r="EB15" s="223">
        <f t="shared" si="189"/>
        <v>0</v>
      </c>
      <c r="EC15" s="181"/>
      <c r="ED15" s="176"/>
      <c r="EE15" s="176"/>
      <c r="EF15" s="176"/>
      <c r="EG15" s="176"/>
      <c r="EH15" s="176"/>
      <c r="EI15" s="176"/>
      <c r="EJ15" s="223">
        <f t="shared" si="190"/>
        <v>0</v>
      </c>
      <c r="EK15" s="181"/>
      <c r="EL15" s="176"/>
      <c r="EM15" s="176"/>
      <c r="EN15" s="176"/>
      <c r="EO15" s="176"/>
      <c r="EP15" s="176"/>
      <c r="EQ15" s="176"/>
      <c r="ER15" s="223">
        <f t="shared" si="191"/>
        <v>0</v>
      </c>
      <c r="ES15" s="181"/>
      <c r="ET15" s="176"/>
      <c r="EU15" s="176"/>
      <c r="EV15" s="176"/>
      <c r="EW15" s="176"/>
      <c r="EX15" s="176"/>
      <c r="EY15" s="176"/>
      <c r="EZ15" s="223">
        <f t="shared" si="192"/>
        <v>0</v>
      </c>
      <c r="FA15" s="181"/>
      <c r="FB15" s="176"/>
      <c r="FC15" s="176"/>
      <c r="FD15" s="176"/>
      <c r="FE15" s="176"/>
      <c r="FF15" s="176"/>
      <c r="FG15" s="176"/>
      <c r="FH15" s="223">
        <f t="shared" si="193"/>
        <v>0</v>
      </c>
      <c r="FI15" s="291">
        <f t="shared" si="194"/>
        <v>89</v>
      </c>
      <c r="FJ15" s="250">
        <v>84</v>
      </c>
      <c r="FK15" s="250"/>
      <c r="FL15" s="291">
        <f t="shared" si="195"/>
        <v>87</v>
      </c>
      <c r="FM15" s="312" t="str">
        <f>IFERROR(IF(FL15="","",IF(FL15&gt;=KONVERSI!$A$5,KONVERSI!$D$5,IF(FL15&gt;=KONVERSI!$A$6,KONVERSI!$D$6,IF(FL15&gt;=KONVERSI!$A$7,KONVERSI!$D$7,KONVERSI!$D$8)))),"")</f>
        <v>B</v>
      </c>
      <c r="FN15" s="232" t="str">
        <f t="shared" si="196"/>
        <v>Tuntas</v>
      </c>
      <c r="FO15" s="313"/>
      <c r="FP15" s="314">
        <f t="shared" si="197"/>
        <v>93</v>
      </c>
      <c r="FQ15" s="194">
        <f t="shared" si="33"/>
        <v>88</v>
      </c>
      <c r="FR15" s="194">
        <f t="shared" si="34"/>
        <v>100</v>
      </c>
      <c r="FS15" s="194" t="str">
        <f t="shared" si="35"/>
        <v/>
      </c>
      <c r="FT15" s="194" t="str">
        <f t="shared" si="36"/>
        <v/>
      </c>
      <c r="FU15" s="194" t="str">
        <f t="shared" si="37"/>
        <v/>
      </c>
      <c r="FV15" s="194">
        <f t="shared" si="38"/>
        <v>89.2</v>
      </c>
      <c r="FW15" s="194">
        <f t="shared" si="39"/>
        <v>84</v>
      </c>
      <c r="FX15" s="194">
        <f t="shared" si="344"/>
        <v>100</v>
      </c>
      <c r="FY15" s="194" t="str">
        <f t="shared" si="40"/>
        <v/>
      </c>
      <c r="FZ15" s="194" t="str">
        <f t="shared" si="41"/>
        <v/>
      </c>
      <c r="GA15" s="194" t="str">
        <f t="shared" si="42"/>
        <v/>
      </c>
      <c r="GB15" s="194">
        <f t="shared" si="43"/>
        <v>88.8</v>
      </c>
      <c r="GC15" s="194" t="str">
        <f t="shared" si="44"/>
        <v/>
      </c>
      <c r="GD15" s="194" t="str">
        <f t="shared" si="45"/>
        <v/>
      </c>
      <c r="GE15" s="194" t="str">
        <f t="shared" si="46"/>
        <v/>
      </c>
      <c r="GF15" s="194" t="str">
        <f t="shared" si="47"/>
        <v/>
      </c>
      <c r="GG15" s="194" t="str">
        <f t="shared" si="48"/>
        <v/>
      </c>
      <c r="GH15" s="194" t="str">
        <f t="shared" si="49"/>
        <v/>
      </c>
      <c r="GI15" s="194" t="str">
        <f t="shared" si="50"/>
        <v/>
      </c>
      <c r="GJ15" s="194" t="str">
        <f t="shared" si="51"/>
        <v/>
      </c>
      <c r="GK15" s="194" t="str">
        <f t="shared" si="52"/>
        <v/>
      </c>
      <c r="GL15" s="194" t="str">
        <f t="shared" si="53"/>
        <v/>
      </c>
      <c r="GM15" s="194" t="str">
        <f t="shared" si="54"/>
        <v/>
      </c>
      <c r="GN15" s="194" t="str">
        <f t="shared" si="55"/>
        <v/>
      </c>
      <c r="GO15" s="194" t="str">
        <f t="shared" si="56"/>
        <v/>
      </c>
      <c r="GP15" s="194" t="str">
        <f t="shared" si="57"/>
        <v/>
      </c>
      <c r="GQ15" s="194" t="str">
        <f t="shared" si="58"/>
        <v/>
      </c>
      <c r="GR15" s="194" t="str">
        <f t="shared" si="59"/>
        <v/>
      </c>
      <c r="GS15" s="194" t="str">
        <f t="shared" si="60"/>
        <v/>
      </c>
      <c r="GT15" s="194" t="str">
        <f t="shared" si="61"/>
        <v/>
      </c>
      <c r="GU15" s="194" t="str">
        <f t="shared" si="62"/>
        <v/>
      </c>
      <c r="GV15" s="194" t="str">
        <f t="shared" si="63"/>
        <v/>
      </c>
      <c r="GW15" s="194" t="str">
        <f t="shared" si="64"/>
        <v/>
      </c>
      <c r="GX15" s="194" t="str">
        <f t="shared" si="65"/>
        <v/>
      </c>
      <c r="GY15" s="194" t="str">
        <f t="shared" si="66"/>
        <v/>
      </c>
      <c r="GZ15" s="194" t="str">
        <f t="shared" si="67"/>
        <v/>
      </c>
      <c r="HA15" s="194" t="str">
        <f t="shared" si="68"/>
        <v/>
      </c>
      <c r="HB15" s="194" t="str">
        <f t="shared" si="69"/>
        <v/>
      </c>
      <c r="HC15" s="194" t="str">
        <f t="shared" si="70"/>
        <v/>
      </c>
      <c r="HD15" s="194" t="str">
        <f t="shared" si="71"/>
        <v/>
      </c>
      <c r="HE15" s="194" t="str">
        <f t="shared" si="72"/>
        <v/>
      </c>
      <c r="HF15" s="194" t="str">
        <f t="shared" si="73"/>
        <v/>
      </c>
      <c r="HG15" s="194" t="str">
        <f t="shared" si="74"/>
        <v/>
      </c>
      <c r="HH15" s="194" t="str">
        <f t="shared" si="75"/>
        <v/>
      </c>
      <c r="HI15" s="194" t="str">
        <f t="shared" si="76"/>
        <v/>
      </c>
      <c r="HJ15" s="194" t="str">
        <f t="shared" si="77"/>
        <v/>
      </c>
      <c r="HK15" s="194" t="str">
        <f t="shared" si="78"/>
        <v/>
      </c>
      <c r="HL15" s="194" t="str">
        <f t="shared" si="79"/>
        <v/>
      </c>
      <c r="HM15" s="194" t="str">
        <f t="shared" si="80"/>
        <v/>
      </c>
      <c r="HN15" s="194" t="str">
        <f t="shared" si="81"/>
        <v/>
      </c>
      <c r="HO15" s="194" t="str">
        <f t="shared" si="82"/>
        <v/>
      </c>
      <c r="HP15" s="194" t="str">
        <f t="shared" si="83"/>
        <v/>
      </c>
      <c r="HQ15" s="194" t="str">
        <f t="shared" si="84"/>
        <v/>
      </c>
      <c r="HR15" s="194" t="str">
        <f t="shared" si="85"/>
        <v/>
      </c>
      <c r="HS15" s="194" t="str">
        <f t="shared" si="86"/>
        <v/>
      </c>
      <c r="HT15" s="194" t="str">
        <f t="shared" si="87"/>
        <v/>
      </c>
      <c r="HU15" s="194" t="str">
        <f t="shared" si="88"/>
        <v/>
      </c>
      <c r="HV15" s="194" t="str">
        <f t="shared" si="89"/>
        <v/>
      </c>
      <c r="HW15" s="194" t="str">
        <f t="shared" si="90"/>
        <v/>
      </c>
      <c r="HX15" s="194" t="str">
        <f t="shared" si="91"/>
        <v/>
      </c>
      <c r="HY15" s="194" t="str">
        <f t="shared" si="92"/>
        <v/>
      </c>
      <c r="HZ15" s="194" t="str">
        <f t="shared" si="93"/>
        <v/>
      </c>
      <c r="IA15" s="194" t="str">
        <f t="shared" si="94"/>
        <v/>
      </c>
      <c r="IB15" s="194" t="str">
        <f t="shared" si="95"/>
        <v/>
      </c>
      <c r="IC15" s="194" t="str">
        <f t="shared" si="96"/>
        <v/>
      </c>
      <c r="ID15" s="194" t="str">
        <f t="shared" si="97"/>
        <v/>
      </c>
      <c r="IE15" s="194" t="str">
        <f t="shared" si="98"/>
        <v/>
      </c>
      <c r="IF15" s="194" t="str">
        <f t="shared" si="99"/>
        <v/>
      </c>
      <c r="IG15" s="194" t="str">
        <f t="shared" si="100"/>
        <v/>
      </c>
      <c r="IH15" s="194" t="str">
        <f t="shared" si="101"/>
        <v/>
      </c>
      <c r="II15" s="194" t="str">
        <f t="shared" si="102"/>
        <v/>
      </c>
      <c r="IJ15" s="194" t="str">
        <f t="shared" si="103"/>
        <v/>
      </c>
      <c r="IK15" s="194" t="str">
        <f t="shared" si="104"/>
        <v/>
      </c>
      <c r="IL15" s="194" t="str">
        <f t="shared" si="105"/>
        <v/>
      </c>
      <c r="IM15" s="194" t="str">
        <f t="shared" si="106"/>
        <v/>
      </c>
      <c r="IN15" s="194" t="str">
        <f t="shared" si="107"/>
        <v/>
      </c>
      <c r="IO15" s="194" t="str">
        <f t="shared" si="108"/>
        <v/>
      </c>
      <c r="IP15" s="194" t="str">
        <f t="shared" si="109"/>
        <v/>
      </c>
      <c r="IQ15" s="194" t="str">
        <f t="shared" si="110"/>
        <v/>
      </c>
      <c r="IR15" s="194" t="str">
        <f t="shared" si="111"/>
        <v/>
      </c>
      <c r="IS15" s="194" t="str">
        <f t="shared" si="112"/>
        <v/>
      </c>
      <c r="IT15" s="194" t="str">
        <f t="shared" si="113"/>
        <v/>
      </c>
      <c r="IU15" s="194" t="str">
        <f t="shared" si="114"/>
        <v/>
      </c>
      <c r="IV15" s="194" t="str">
        <f t="shared" si="115"/>
        <v/>
      </c>
      <c r="IW15" s="194" t="str">
        <f t="shared" si="116"/>
        <v/>
      </c>
      <c r="IX15" s="194" t="str">
        <f t="shared" si="117"/>
        <v/>
      </c>
      <c r="IY15" s="194" t="str">
        <f t="shared" si="118"/>
        <v/>
      </c>
      <c r="IZ15" s="194" t="str">
        <f t="shared" si="119"/>
        <v/>
      </c>
      <c r="JA15" s="194" t="str">
        <f t="shared" si="120"/>
        <v/>
      </c>
      <c r="JB15" s="194" t="str">
        <f t="shared" si="121"/>
        <v/>
      </c>
      <c r="JC15" s="194" t="str">
        <f t="shared" si="122"/>
        <v/>
      </c>
      <c r="JD15" s="194" t="str">
        <f t="shared" si="123"/>
        <v/>
      </c>
      <c r="JE15" s="194" t="str">
        <f t="shared" si="124"/>
        <v/>
      </c>
      <c r="JF15" s="194" t="str">
        <f t="shared" si="125"/>
        <v/>
      </c>
      <c r="JG15" s="194" t="str">
        <f t="shared" si="126"/>
        <v/>
      </c>
      <c r="JH15" s="194" t="str">
        <f t="shared" si="127"/>
        <v/>
      </c>
      <c r="JI15" s="194" t="str">
        <f t="shared" si="128"/>
        <v/>
      </c>
      <c r="JJ15" s="194" t="str">
        <f t="shared" si="129"/>
        <v/>
      </c>
      <c r="JK15" s="194" t="str">
        <f t="shared" si="130"/>
        <v/>
      </c>
      <c r="JL15" s="194" t="str">
        <f t="shared" si="131"/>
        <v/>
      </c>
      <c r="JM15" s="194" t="str">
        <f t="shared" si="132"/>
        <v/>
      </c>
      <c r="JN15" s="194" t="str">
        <f t="shared" si="133"/>
        <v/>
      </c>
      <c r="JO15" s="194" t="str">
        <f t="shared" si="134"/>
        <v/>
      </c>
      <c r="JP15" s="194" t="str">
        <f t="shared" si="135"/>
        <v/>
      </c>
      <c r="JQ15" s="194" t="str">
        <f t="shared" si="136"/>
        <v/>
      </c>
      <c r="JR15" s="194" t="str">
        <f t="shared" si="137"/>
        <v/>
      </c>
      <c r="JS15" s="194" t="str">
        <f t="shared" si="138"/>
        <v/>
      </c>
      <c r="JT15" s="194" t="str">
        <f t="shared" si="139"/>
        <v/>
      </c>
      <c r="JU15" s="194" t="str">
        <f t="shared" si="140"/>
        <v/>
      </c>
      <c r="JV15" s="194" t="str">
        <f t="shared" si="141"/>
        <v/>
      </c>
      <c r="JW15" s="194" t="str">
        <f t="shared" si="142"/>
        <v/>
      </c>
      <c r="JX15" s="194" t="str">
        <f t="shared" si="143"/>
        <v/>
      </c>
      <c r="JY15" s="194" t="str">
        <f t="shared" si="144"/>
        <v/>
      </c>
      <c r="JZ15" s="194" t="str">
        <f t="shared" si="145"/>
        <v/>
      </c>
      <c r="KA15" s="194" t="str">
        <f t="shared" si="146"/>
        <v/>
      </c>
      <c r="KB15" s="194" t="str">
        <f t="shared" si="147"/>
        <v/>
      </c>
      <c r="KC15" s="194" t="str">
        <f t="shared" si="148"/>
        <v/>
      </c>
      <c r="KD15" s="194" t="str">
        <f t="shared" si="149"/>
        <v/>
      </c>
      <c r="KE15" s="194" t="str">
        <f t="shared" si="150"/>
        <v/>
      </c>
      <c r="KF15" s="194" t="str">
        <f t="shared" si="151"/>
        <v/>
      </c>
      <c r="KG15" s="194">
        <f>SUM(LE15:LX15)/COUNTA(RefKI3KI4!$B$5:$B$24)</f>
        <v>89</v>
      </c>
      <c r="KH15" s="232">
        <f t="shared" si="198"/>
        <v>0</v>
      </c>
      <c r="KI15" s="340" t="str">
        <f t="shared" si="199"/>
        <v>ok</v>
      </c>
      <c r="KJ15" s="340" t="str">
        <f t="shared" si="200"/>
        <v>ok</v>
      </c>
      <c r="KK15" s="340" t="str">
        <f t="shared" si="201"/>
        <v/>
      </c>
      <c r="KL15" s="340" t="str">
        <f t="shared" si="202"/>
        <v/>
      </c>
      <c r="KM15" s="340" t="str">
        <f t="shared" si="203"/>
        <v/>
      </c>
      <c r="KN15" s="340" t="str">
        <f t="shared" si="204"/>
        <v/>
      </c>
      <c r="KO15" s="340" t="str">
        <f t="shared" si="205"/>
        <v/>
      </c>
      <c r="KP15" s="340" t="str">
        <f t="shared" si="206"/>
        <v/>
      </c>
      <c r="KQ15" s="340" t="str">
        <f t="shared" si="207"/>
        <v/>
      </c>
      <c r="KR15" s="340" t="str">
        <f t="shared" si="208"/>
        <v/>
      </c>
      <c r="KS15" s="340" t="str">
        <f t="shared" si="209"/>
        <v/>
      </c>
      <c r="KT15" s="340" t="str">
        <f t="shared" si="210"/>
        <v/>
      </c>
      <c r="KU15" s="340" t="str">
        <f t="shared" si="211"/>
        <v/>
      </c>
      <c r="KV15" s="340" t="str">
        <f t="shared" si="212"/>
        <v/>
      </c>
      <c r="KW15" s="340" t="str">
        <f t="shared" si="213"/>
        <v/>
      </c>
      <c r="KX15" s="340" t="str">
        <f t="shared" si="214"/>
        <v/>
      </c>
      <c r="KY15" s="340" t="str">
        <f t="shared" si="215"/>
        <v/>
      </c>
      <c r="KZ15" s="340" t="str">
        <f t="shared" si="216"/>
        <v/>
      </c>
      <c r="LA15" s="340" t="str">
        <f t="shared" si="217"/>
        <v/>
      </c>
      <c r="LB15" s="340" t="str">
        <f t="shared" si="218"/>
        <v/>
      </c>
      <c r="LC15" s="340">
        <f t="shared" si="219"/>
        <v>0</v>
      </c>
      <c r="LD15" s="228">
        <v>7</v>
      </c>
      <c r="LE15" s="229">
        <f t="shared" si="220"/>
        <v>89.2</v>
      </c>
      <c r="LF15" s="229">
        <f t="shared" si="221"/>
        <v>88.8</v>
      </c>
      <c r="LG15" s="229" t="str">
        <f t="shared" si="222"/>
        <v/>
      </c>
      <c r="LH15" s="229" t="str">
        <f t="shared" si="223"/>
        <v/>
      </c>
      <c r="LI15" s="229" t="str">
        <f t="shared" si="224"/>
        <v/>
      </c>
      <c r="LJ15" s="229" t="str">
        <f t="shared" si="225"/>
        <v/>
      </c>
      <c r="LK15" s="229" t="str">
        <f t="shared" si="226"/>
        <v/>
      </c>
      <c r="LL15" s="229" t="str">
        <f t="shared" si="227"/>
        <v/>
      </c>
      <c r="LM15" s="229" t="str">
        <f t="shared" si="228"/>
        <v/>
      </c>
      <c r="LN15" s="229" t="str">
        <f t="shared" si="229"/>
        <v/>
      </c>
      <c r="LO15" s="229" t="str">
        <f t="shared" si="230"/>
        <v/>
      </c>
      <c r="LP15" s="229" t="str">
        <f t="shared" si="231"/>
        <v/>
      </c>
      <c r="LQ15" s="229" t="str">
        <f t="shared" si="232"/>
        <v/>
      </c>
      <c r="LR15" s="229" t="str">
        <f t="shared" si="233"/>
        <v/>
      </c>
      <c r="LS15" s="229" t="str">
        <f t="shared" si="234"/>
        <v/>
      </c>
      <c r="LT15" s="229" t="str">
        <f t="shared" si="235"/>
        <v/>
      </c>
      <c r="LU15" s="229" t="str">
        <f t="shared" si="236"/>
        <v/>
      </c>
      <c r="LV15" s="229" t="str">
        <f t="shared" si="237"/>
        <v/>
      </c>
      <c r="LW15" s="229" t="str">
        <f t="shared" si="238"/>
        <v/>
      </c>
      <c r="LX15" s="229" t="str">
        <f t="shared" si="239"/>
        <v/>
      </c>
      <c r="LY15" s="231">
        <f t="shared" si="240"/>
        <v>89.2</v>
      </c>
      <c r="LZ15" s="231">
        <f t="shared" si="241"/>
        <v>88.8</v>
      </c>
      <c r="MA15" s="231" t="str">
        <f t="shared" si="242"/>
        <v/>
      </c>
      <c r="MB15" s="231" t="str">
        <f t="shared" si="243"/>
        <v/>
      </c>
      <c r="MC15" s="231" t="str">
        <f t="shared" si="244"/>
        <v/>
      </c>
      <c r="MD15" s="231" t="str">
        <f t="shared" si="245"/>
        <v/>
      </c>
      <c r="ME15" s="231" t="str">
        <f t="shared" si="246"/>
        <v/>
      </c>
      <c r="MF15" s="231" t="str">
        <f t="shared" si="247"/>
        <v/>
      </c>
      <c r="MG15" s="231" t="str">
        <f t="shared" si="248"/>
        <v/>
      </c>
      <c r="MH15" s="231" t="str">
        <f t="shared" si="249"/>
        <v/>
      </c>
      <c r="MI15" s="231" t="str">
        <f t="shared" si="250"/>
        <v/>
      </c>
      <c r="MJ15" s="231" t="str">
        <f t="shared" si="251"/>
        <v/>
      </c>
      <c r="MK15" s="231" t="str">
        <f t="shared" si="252"/>
        <v/>
      </c>
      <c r="ML15" s="231" t="str">
        <f t="shared" si="253"/>
        <v/>
      </c>
      <c r="MM15" s="231" t="str">
        <f t="shared" si="254"/>
        <v/>
      </c>
      <c r="MN15" s="231" t="str">
        <f t="shared" si="255"/>
        <v/>
      </c>
      <c r="MO15" s="231" t="str">
        <f t="shared" si="256"/>
        <v/>
      </c>
      <c r="MP15" s="231" t="str">
        <f t="shared" si="257"/>
        <v/>
      </c>
      <c r="MQ15" s="231" t="str">
        <f t="shared" si="258"/>
        <v/>
      </c>
      <c r="MR15" s="231" t="str">
        <f t="shared" si="259"/>
        <v/>
      </c>
      <c r="MS15" s="231">
        <f t="shared" si="154"/>
        <v>89.2</v>
      </c>
      <c r="MT15" s="232" t="str">
        <f>IF(MS15="","",IF(MS15&gt;=KONVERSI!$A$5,KONVERSI!$E$5,IF(MS15&gt;=KONVERSI!$A$6,KONVERSI!$E$6,IF(MS15&gt;=KONVERSI!$A$7,KONVERSI!$E$7,KONVERSI!$E$8))))</f>
        <v>Baik</v>
      </c>
      <c r="MU15" s="233" t="str">
        <f t="shared" si="155"/>
        <v>Baik dalamjenis, sifat, karakter dan teknik pengolahan kerang, kaca, keramik dan botol plastik</v>
      </c>
      <c r="MV15" s="234">
        <f t="shared" si="260"/>
        <v>88.8</v>
      </c>
      <c r="MW15" s="232" t="str">
        <f>IF(MV15="","",IF(MV15&gt;=KONVERSI!$A$5,KONVERSI!$E$5,IF(MV15&gt;=KONVERSI!$A$6,KONVERSI!$E$6,IF(MV15&gt;=KONVERSI!$A$7,KONVERSI!$E$7,KONVERSI!$E$8))))</f>
        <v>Baik</v>
      </c>
      <c r="MX15" s="134" t="str">
        <f>IF(FI15&lt;$FN$4," "&amp;KONVERSI!$C$18&amp;INDEX($LY$8:$MR$8,MATCH(MV15,LY15:MR15,0))&amp;".",IF(KG15=0,"",IF(MV15&lt;&gt;0,MU15&amp;MW15&amp;".",MU15&amp;".")))</f>
        <v>Baik dalamjenis, sifat, karakter dan teknik pengolahan kerang, kaca, keramik dan botol plastikBaik.</v>
      </c>
      <c r="MY15" s="235" t="str">
        <f t="shared" si="261"/>
        <v>OK</v>
      </c>
      <c r="MZ15" s="235" t="str">
        <f t="shared" si="262"/>
        <v>NO</v>
      </c>
      <c r="NA15" s="235" t="str">
        <f t="shared" si="263"/>
        <v/>
      </c>
      <c r="NB15" s="235" t="str">
        <f t="shared" si="264"/>
        <v/>
      </c>
      <c r="NC15" s="235" t="str">
        <f t="shared" si="265"/>
        <v/>
      </c>
      <c r="ND15" s="235" t="str">
        <f t="shared" si="266"/>
        <v/>
      </c>
      <c r="NE15" s="235" t="str">
        <f t="shared" si="267"/>
        <v/>
      </c>
      <c r="NF15" s="235" t="str">
        <f t="shared" si="268"/>
        <v/>
      </c>
      <c r="NG15" s="235" t="str">
        <f t="shared" si="269"/>
        <v/>
      </c>
      <c r="NH15" s="235" t="str">
        <f t="shared" si="270"/>
        <v/>
      </c>
      <c r="NI15" s="235" t="str">
        <f t="shared" si="271"/>
        <v/>
      </c>
      <c r="NJ15" s="235" t="str">
        <f t="shared" si="272"/>
        <v/>
      </c>
      <c r="NK15" s="235" t="str">
        <f t="shared" si="273"/>
        <v/>
      </c>
      <c r="NL15" s="235" t="str">
        <f t="shared" si="274"/>
        <v/>
      </c>
      <c r="NM15" s="235" t="str">
        <f t="shared" si="275"/>
        <v/>
      </c>
      <c r="NN15" s="235" t="str">
        <f t="shared" si="276"/>
        <v/>
      </c>
      <c r="NO15" s="235" t="str">
        <f t="shared" si="277"/>
        <v/>
      </c>
      <c r="NP15" s="235" t="str">
        <f t="shared" si="278"/>
        <v/>
      </c>
      <c r="NQ15" s="235" t="str">
        <f t="shared" si="279"/>
        <v/>
      </c>
      <c r="NR15" s="235" t="str">
        <f t="shared" si="280"/>
        <v/>
      </c>
      <c r="NS15" s="134" t="str">
        <f t="shared" si="281"/>
        <v>jenis, sifat, karakter dan teknik pengolahan kerang, kaca, keramik dan botol plastik</v>
      </c>
      <c r="NT15" s="134" t="str">
        <f t="shared" si="282"/>
        <v/>
      </c>
      <c r="NU15" s="134" t="str">
        <f t="shared" si="283"/>
        <v/>
      </c>
      <c r="NV15" s="134" t="str">
        <f t="shared" si="284"/>
        <v/>
      </c>
      <c r="NW15" s="134" t="str">
        <f t="shared" si="285"/>
        <v/>
      </c>
      <c r="NX15" s="134" t="str">
        <f t="shared" si="286"/>
        <v/>
      </c>
      <c r="NY15" s="134" t="str">
        <f t="shared" si="287"/>
        <v/>
      </c>
      <c r="NZ15" s="134" t="str">
        <f t="shared" si="288"/>
        <v/>
      </c>
      <c r="OA15" s="134" t="str">
        <f t="shared" si="289"/>
        <v/>
      </c>
      <c r="OB15" s="134" t="str">
        <f t="shared" si="290"/>
        <v/>
      </c>
      <c r="OC15" s="134" t="str">
        <f t="shared" si="291"/>
        <v/>
      </c>
      <c r="OD15" s="134" t="str">
        <f t="shared" si="292"/>
        <v/>
      </c>
      <c r="OE15" s="134" t="str">
        <f t="shared" si="293"/>
        <v/>
      </c>
      <c r="OF15" s="134" t="str">
        <f t="shared" si="294"/>
        <v/>
      </c>
      <c r="OG15" s="134" t="str">
        <f t="shared" si="295"/>
        <v/>
      </c>
      <c r="OH15" s="134" t="str">
        <f t="shared" si="296"/>
        <v/>
      </c>
      <c r="OI15" s="134" t="str">
        <f t="shared" si="297"/>
        <v/>
      </c>
      <c r="OJ15" s="134" t="str">
        <f t="shared" si="298"/>
        <v/>
      </c>
      <c r="OK15" s="134" t="str">
        <f t="shared" si="299"/>
        <v/>
      </c>
      <c r="OL15" s="134" t="str">
        <f t="shared" si="300"/>
        <v/>
      </c>
      <c r="OM15" s="134" t="str">
        <f t="shared" si="301"/>
        <v>Baik dalam jenis, sifat, karakter dan teknik pengolahan kerang, kaca, keramik dan botol plastik</v>
      </c>
      <c r="ON15" s="134" t="str">
        <f t="shared" si="302"/>
        <v>Baik dalam jenis, sifat, karakter dan teknik pengolahan kerang, kaca, keramik dan botol plasti.  </v>
      </c>
      <c r="OO15" s="236">
        <f t="shared" si="169"/>
        <v>1</v>
      </c>
      <c r="OP15" s="235" t="str">
        <f t="shared" si="303"/>
        <v>NO</v>
      </c>
      <c r="OQ15" s="235" t="str">
        <f t="shared" si="304"/>
        <v>OK</v>
      </c>
      <c r="OR15" s="235" t="str">
        <f t="shared" si="305"/>
        <v/>
      </c>
      <c r="OS15" s="235" t="str">
        <f t="shared" si="306"/>
        <v/>
      </c>
      <c r="OT15" s="235" t="str">
        <f t="shared" si="307"/>
        <v/>
      </c>
      <c r="OU15" s="235" t="str">
        <f t="shared" si="308"/>
        <v/>
      </c>
      <c r="OV15" s="235" t="str">
        <f t="shared" si="309"/>
        <v/>
      </c>
      <c r="OW15" s="235" t="str">
        <f t="shared" si="310"/>
        <v/>
      </c>
      <c r="OX15" s="235" t="str">
        <f t="shared" si="311"/>
        <v/>
      </c>
      <c r="OY15" s="235" t="str">
        <f t="shared" si="312"/>
        <v/>
      </c>
      <c r="OZ15" s="235" t="str">
        <f t="shared" si="313"/>
        <v/>
      </c>
      <c r="PA15" s="235" t="str">
        <f t="shared" si="314"/>
        <v/>
      </c>
      <c r="PB15" s="235" t="str">
        <f t="shared" si="315"/>
        <v/>
      </c>
      <c r="PC15" s="235" t="str">
        <f t="shared" si="316"/>
        <v/>
      </c>
      <c r="PD15" s="235" t="str">
        <f t="shared" si="317"/>
        <v/>
      </c>
      <c r="PE15" s="235" t="str">
        <f t="shared" si="318"/>
        <v/>
      </c>
      <c r="PF15" s="235" t="str">
        <f t="shared" si="319"/>
        <v/>
      </c>
      <c r="PG15" s="235" t="str">
        <f t="shared" si="320"/>
        <v/>
      </c>
      <c r="PH15" s="235" t="str">
        <f t="shared" si="321"/>
        <v/>
      </c>
      <c r="PI15" s="235" t="str">
        <f t="shared" si="322"/>
        <v/>
      </c>
      <c r="PJ15" s="134" t="str">
        <f t="shared" si="323"/>
        <v/>
      </c>
      <c r="PK15" s="134" t="str">
        <f t="shared" si="324"/>
        <v>prinsip perancangan, pembuatan dan penyajian produk kerajinan kerang, kaca, keramik dan botol plastik yang kreatif dan inovatif</v>
      </c>
      <c r="PL15" s="134" t="str">
        <f t="shared" si="325"/>
        <v/>
      </c>
      <c r="PM15" s="134" t="str">
        <f t="shared" si="326"/>
        <v/>
      </c>
      <c r="PN15" s="134" t="str">
        <f t="shared" si="327"/>
        <v/>
      </c>
      <c r="PO15" s="134" t="str">
        <f t="shared" si="328"/>
        <v/>
      </c>
      <c r="PP15" s="134" t="str">
        <f t="shared" si="329"/>
        <v/>
      </c>
      <c r="PQ15" s="134" t="str">
        <f t="shared" si="330"/>
        <v/>
      </c>
      <c r="PR15" s="134" t="str">
        <f t="shared" si="331"/>
        <v/>
      </c>
      <c r="PS15" s="134" t="str">
        <f t="shared" si="332"/>
        <v/>
      </c>
      <c r="PT15" s="134" t="str">
        <f t="shared" si="333"/>
        <v/>
      </c>
      <c r="PU15" s="134" t="str">
        <f t="shared" si="334"/>
        <v/>
      </c>
      <c r="PV15" s="134" t="str">
        <f t="shared" si="335"/>
        <v/>
      </c>
      <c r="PW15" s="134" t="str">
        <f t="shared" si="336"/>
        <v/>
      </c>
      <c r="PX15" s="134" t="str">
        <f t="shared" si="337"/>
        <v/>
      </c>
      <c r="PY15" s="134" t="str">
        <f t="shared" si="338"/>
        <v/>
      </c>
      <c r="PZ15" s="134" t="str">
        <f t="shared" si="339"/>
        <v/>
      </c>
      <c r="QA15" s="134" t="str">
        <f t="shared" si="340"/>
        <v/>
      </c>
      <c r="QB15" s="134" t="str">
        <f t="shared" si="341"/>
        <v/>
      </c>
      <c r="QC15" s="134" t="str">
        <f t="shared" si="342"/>
        <v/>
      </c>
      <c r="QD15" s="134" t="str">
        <f>IF(MT15=MW15,"",IF(MV15="","",IF(MV15&gt;=KONVERSI!$A$7,'KI3'!MW15&amp;" dalam"&amp;PJ15&amp;PK15&amp;PL15&amp;PM15&amp;PN15&amp;PO15&amp;PP15&amp;PQ15&amp;PR15&amp;PS15&amp;PT15&amp;PU15&amp;PV15&amp;PW15&amp;PX15&amp;PY15&amp;PZ15&amp;QA15&amp;QB15&amp;QC15,KONVERSI!$C$18&amp;" dalam"&amp;PJ15&amp;PK15&amp;PL15&amp;PM15&amp;PN15&amp;PO15&amp;PP15&amp;PQ15&amp;PR15&amp;PS15&amp;PT15&amp;PU15&amp;PV15&amp;PW15&amp;PX15&amp;PY15&amp;PZ15&amp;QA15&amp;QB15&amp;QC15)))</f>
        <v/>
      </c>
      <c r="QE15" s="134" t="str">
        <f t="shared" si="343"/>
        <v/>
      </c>
      <c r="QF15" s="236">
        <f t="shared" si="172"/>
        <v>1</v>
      </c>
      <c r="QG15" s="134" t="str">
        <f t="shared" si="173"/>
        <v>Baik dalam jenis, sifat, karakter dan teknik pengolahan kerang, kaca, keramik dan botol plasti.  </v>
      </c>
    </row>
    <row r="16" ht="27.6" customHeight="1" spans="1:449">
      <c r="A16" s="136"/>
      <c r="B16" s="177">
        <v>8</v>
      </c>
      <c r="C16" s="178" t="str">
        <f>siswa!C12</f>
        <v>EUIS AGUSTINA W</v>
      </c>
      <c r="D16" s="174">
        <f>siswa!D12</f>
        <v>2756</v>
      </c>
      <c r="E16" s="175">
        <v>84</v>
      </c>
      <c r="F16" s="175">
        <v>84</v>
      </c>
      <c r="G16" s="248"/>
      <c r="H16" s="176"/>
      <c r="I16" s="176"/>
      <c r="J16" s="175">
        <v>88</v>
      </c>
      <c r="K16" s="176"/>
      <c r="L16" s="223">
        <f t="shared" si="174"/>
        <v>85.6</v>
      </c>
      <c r="M16" s="250">
        <v>88</v>
      </c>
      <c r="N16" s="250">
        <v>88</v>
      </c>
      <c r="O16" s="248"/>
      <c r="P16" s="176"/>
      <c r="Q16" s="176"/>
      <c r="R16" s="250">
        <v>88</v>
      </c>
      <c r="S16" s="176"/>
      <c r="T16" s="223">
        <f t="shared" si="175"/>
        <v>88</v>
      </c>
      <c r="U16" s="248"/>
      <c r="V16" s="248"/>
      <c r="W16" s="248"/>
      <c r="X16" s="176"/>
      <c r="Y16" s="176"/>
      <c r="Z16" s="250"/>
      <c r="AA16" s="176"/>
      <c r="AB16" s="223">
        <f t="shared" si="176"/>
        <v>0</v>
      </c>
      <c r="AC16" s="248"/>
      <c r="AD16" s="248"/>
      <c r="AE16" s="248"/>
      <c r="AF16" s="248"/>
      <c r="AG16" s="176"/>
      <c r="AH16" s="250"/>
      <c r="AI16" s="176"/>
      <c r="AJ16" s="223">
        <f t="shared" si="177"/>
        <v>0</v>
      </c>
      <c r="AK16" s="181"/>
      <c r="AL16" s="176"/>
      <c r="AM16" s="176"/>
      <c r="AN16" s="176"/>
      <c r="AO16" s="176"/>
      <c r="AP16" s="176"/>
      <c r="AQ16" s="176"/>
      <c r="AR16" s="223">
        <f t="shared" si="178"/>
        <v>0</v>
      </c>
      <c r="AS16" s="181"/>
      <c r="AT16" s="176"/>
      <c r="AU16" s="176"/>
      <c r="AV16" s="176"/>
      <c r="AW16" s="176"/>
      <c r="AX16" s="176"/>
      <c r="AY16" s="176"/>
      <c r="AZ16" s="223">
        <f t="shared" si="179"/>
        <v>0</v>
      </c>
      <c r="BA16" s="181"/>
      <c r="BB16" s="176"/>
      <c r="BC16" s="176"/>
      <c r="BD16" s="176"/>
      <c r="BE16" s="176"/>
      <c r="BF16" s="176"/>
      <c r="BG16" s="176"/>
      <c r="BH16" s="223">
        <f t="shared" si="180"/>
        <v>0</v>
      </c>
      <c r="BI16" s="181"/>
      <c r="BJ16" s="176"/>
      <c r="BK16" s="176"/>
      <c r="BL16" s="176"/>
      <c r="BM16" s="176"/>
      <c r="BN16" s="176"/>
      <c r="BO16" s="176"/>
      <c r="BP16" s="223">
        <f t="shared" si="181"/>
        <v>0</v>
      </c>
      <c r="BQ16" s="181"/>
      <c r="BR16" s="176"/>
      <c r="BS16" s="176"/>
      <c r="BT16" s="176"/>
      <c r="BU16" s="176"/>
      <c r="BV16" s="176"/>
      <c r="BW16" s="176"/>
      <c r="BX16" s="223">
        <f t="shared" si="182"/>
        <v>0</v>
      </c>
      <c r="BY16" s="181"/>
      <c r="BZ16" s="176"/>
      <c r="CA16" s="176"/>
      <c r="CB16" s="176"/>
      <c r="CC16" s="176"/>
      <c r="CD16" s="176"/>
      <c r="CE16" s="176"/>
      <c r="CF16" s="223">
        <f t="shared" si="183"/>
        <v>0</v>
      </c>
      <c r="CG16" s="181"/>
      <c r="CH16" s="176"/>
      <c r="CI16" s="176"/>
      <c r="CJ16" s="176"/>
      <c r="CK16" s="176"/>
      <c r="CL16" s="176"/>
      <c r="CM16" s="176"/>
      <c r="CN16" s="223">
        <f t="shared" si="184"/>
        <v>0</v>
      </c>
      <c r="CO16" s="181"/>
      <c r="CP16" s="176"/>
      <c r="CQ16" s="176"/>
      <c r="CR16" s="176"/>
      <c r="CS16" s="176"/>
      <c r="CT16" s="176"/>
      <c r="CU16" s="176"/>
      <c r="CV16" s="223">
        <f t="shared" si="185"/>
        <v>0</v>
      </c>
      <c r="CW16" s="181"/>
      <c r="CX16" s="176"/>
      <c r="CY16" s="176"/>
      <c r="CZ16" s="176"/>
      <c r="DA16" s="176"/>
      <c r="DB16" s="176"/>
      <c r="DC16" s="176"/>
      <c r="DD16" s="223">
        <f t="shared" si="186"/>
        <v>0</v>
      </c>
      <c r="DE16" s="181"/>
      <c r="DF16" s="176"/>
      <c r="DG16" s="176"/>
      <c r="DH16" s="176"/>
      <c r="DI16" s="176"/>
      <c r="DJ16" s="176"/>
      <c r="DK16" s="176"/>
      <c r="DL16" s="223">
        <f t="shared" si="187"/>
        <v>0</v>
      </c>
      <c r="DM16" s="181"/>
      <c r="DN16" s="176"/>
      <c r="DO16" s="176"/>
      <c r="DP16" s="176"/>
      <c r="DQ16" s="176"/>
      <c r="DR16" s="176"/>
      <c r="DS16" s="176"/>
      <c r="DT16" s="223">
        <f t="shared" si="188"/>
        <v>0</v>
      </c>
      <c r="DU16" s="181"/>
      <c r="DV16" s="176"/>
      <c r="DW16" s="176"/>
      <c r="DX16" s="176"/>
      <c r="DY16" s="176"/>
      <c r="DZ16" s="176"/>
      <c r="EA16" s="176"/>
      <c r="EB16" s="223">
        <f t="shared" si="189"/>
        <v>0</v>
      </c>
      <c r="EC16" s="181"/>
      <c r="ED16" s="176"/>
      <c r="EE16" s="176"/>
      <c r="EF16" s="176"/>
      <c r="EG16" s="176"/>
      <c r="EH16" s="176"/>
      <c r="EI16" s="176"/>
      <c r="EJ16" s="223">
        <f t="shared" si="190"/>
        <v>0</v>
      </c>
      <c r="EK16" s="181"/>
      <c r="EL16" s="176"/>
      <c r="EM16" s="176"/>
      <c r="EN16" s="176"/>
      <c r="EO16" s="176"/>
      <c r="EP16" s="176"/>
      <c r="EQ16" s="176"/>
      <c r="ER16" s="223">
        <f t="shared" si="191"/>
        <v>0</v>
      </c>
      <c r="ES16" s="181"/>
      <c r="ET16" s="176"/>
      <c r="EU16" s="176"/>
      <c r="EV16" s="176"/>
      <c r="EW16" s="176"/>
      <c r="EX16" s="176"/>
      <c r="EY16" s="176"/>
      <c r="EZ16" s="223">
        <f t="shared" si="192"/>
        <v>0</v>
      </c>
      <c r="FA16" s="181"/>
      <c r="FB16" s="176"/>
      <c r="FC16" s="176"/>
      <c r="FD16" s="176"/>
      <c r="FE16" s="176"/>
      <c r="FF16" s="176"/>
      <c r="FG16" s="176"/>
      <c r="FH16" s="223">
        <f t="shared" si="193"/>
        <v>0</v>
      </c>
      <c r="FI16" s="291">
        <f t="shared" si="194"/>
        <v>87</v>
      </c>
      <c r="FJ16" s="250">
        <v>84</v>
      </c>
      <c r="FK16" s="250"/>
      <c r="FL16" s="291">
        <f t="shared" si="195"/>
        <v>86</v>
      </c>
      <c r="FM16" s="312" t="str">
        <f>IFERROR(IF(FL16="","",IF(FL16&gt;=KONVERSI!$A$5,KONVERSI!$D$5,IF(FL16&gt;=KONVERSI!$A$6,KONVERSI!$D$6,IF(FL16&gt;=KONVERSI!$A$7,KONVERSI!$D$7,KONVERSI!$D$8)))),"")</f>
        <v>B</v>
      </c>
      <c r="FN16" s="232" t="str">
        <f t="shared" si="196"/>
        <v>Tuntas</v>
      </c>
      <c r="FO16" s="313"/>
      <c r="FP16" s="314">
        <f t="shared" si="197"/>
        <v>86</v>
      </c>
      <c r="FQ16" s="194">
        <f t="shared" si="33"/>
        <v>84</v>
      </c>
      <c r="FR16" s="194">
        <f t="shared" si="34"/>
        <v>84</v>
      </c>
      <c r="FS16" s="194" t="str">
        <f t="shared" si="35"/>
        <v/>
      </c>
      <c r="FT16" s="194" t="str">
        <f t="shared" si="36"/>
        <v/>
      </c>
      <c r="FU16" s="194" t="str">
        <f t="shared" si="37"/>
        <v/>
      </c>
      <c r="FV16" s="194">
        <f t="shared" si="38"/>
        <v>85.6</v>
      </c>
      <c r="FW16" s="194">
        <f t="shared" si="39"/>
        <v>88</v>
      </c>
      <c r="FX16" s="194">
        <f t="shared" si="344"/>
        <v>88</v>
      </c>
      <c r="FY16" s="194" t="str">
        <f t="shared" si="40"/>
        <v/>
      </c>
      <c r="FZ16" s="194" t="str">
        <f t="shared" si="41"/>
        <v/>
      </c>
      <c r="GA16" s="194" t="str">
        <f t="shared" si="42"/>
        <v/>
      </c>
      <c r="GB16" s="194">
        <f t="shared" si="43"/>
        <v>88</v>
      </c>
      <c r="GC16" s="194" t="str">
        <f t="shared" si="44"/>
        <v/>
      </c>
      <c r="GD16" s="194" t="str">
        <f t="shared" si="45"/>
        <v/>
      </c>
      <c r="GE16" s="194" t="str">
        <f t="shared" si="46"/>
        <v/>
      </c>
      <c r="GF16" s="194" t="str">
        <f t="shared" si="47"/>
        <v/>
      </c>
      <c r="GG16" s="194" t="str">
        <f t="shared" si="48"/>
        <v/>
      </c>
      <c r="GH16" s="194" t="str">
        <f t="shared" si="49"/>
        <v/>
      </c>
      <c r="GI16" s="194" t="str">
        <f t="shared" si="50"/>
        <v/>
      </c>
      <c r="GJ16" s="194" t="str">
        <f t="shared" si="51"/>
        <v/>
      </c>
      <c r="GK16" s="194" t="str">
        <f t="shared" si="52"/>
        <v/>
      </c>
      <c r="GL16" s="194" t="str">
        <f t="shared" si="53"/>
        <v/>
      </c>
      <c r="GM16" s="194" t="str">
        <f t="shared" si="54"/>
        <v/>
      </c>
      <c r="GN16" s="194" t="str">
        <f t="shared" si="55"/>
        <v/>
      </c>
      <c r="GO16" s="194" t="str">
        <f t="shared" si="56"/>
        <v/>
      </c>
      <c r="GP16" s="194" t="str">
        <f t="shared" si="57"/>
        <v/>
      </c>
      <c r="GQ16" s="194" t="str">
        <f t="shared" si="58"/>
        <v/>
      </c>
      <c r="GR16" s="194" t="str">
        <f t="shared" si="59"/>
        <v/>
      </c>
      <c r="GS16" s="194" t="str">
        <f t="shared" si="60"/>
        <v/>
      </c>
      <c r="GT16" s="194" t="str">
        <f t="shared" si="61"/>
        <v/>
      </c>
      <c r="GU16" s="194" t="str">
        <f t="shared" si="62"/>
        <v/>
      </c>
      <c r="GV16" s="194" t="str">
        <f t="shared" si="63"/>
        <v/>
      </c>
      <c r="GW16" s="194" t="str">
        <f t="shared" si="64"/>
        <v/>
      </c>
      <c r="GX16" s="194" t="str">
        <f t="shared" si="65"/>
        <v/>
      </c>
      <c r="GY16" s="194" t="str">
        <f t="shared" si="66"/>
        <v/>
      </c>
      <c r="GZ16" s="194" t="str">
        <f t="shared" si="67"/>
        <v/>
      </c>
      <c r="HA16" s="194" t="str">
        <f t="shared" si="68"/>
        <v/>
      </c>
      <c r="HB16" s="194" t="str">
        <f t="shared" si="69"/>
        <v/>
      </c>
      <c r="HC16" s="194" t="str">
        <f t="shared" si="70"/>
        <v/>
      </c>
      <c r="HD16" s="194" t="str">
        <f t="shared" si="71"/>
        <v/>
      </c>
      <c r="HE16" s="194" t="str">
        <f t="shared" si="72"/>
        <v/>
      </c>
      <c r="HF16" s="194" t="str">
        <f t="shared" si="73"/>
        <v/>
      </c>
      <c r="HG16" s="194" t="str">
        <f t="shared" si="74"/>
        <v/>
      </c>
      <c r="HH16" s="194" t="str">
        <f t="shared" si="75"/>
        <v/>
      </c>
      <c r="HI16" s="194" t="str">
        <f t="shared" si="76"/>
        <v/>
      </c>
      <c r="HJ16" s="194" t="str">
        <f t="shared" si="77"/>
        <v/>
      </c>
      <c r="HK16" s="194" t="str">
        <f t="shared" si="78"/>
        <v/>
      </c>
      <c r="HL16" s="194" t="str">
        <f t="shared" si="79"/>
        <v/>
      </c>
      <c r="HM16" s="194" t="str">
        <f t="shared" si="80"/>
        <v/>
      </c>
      <c r="HN16" s="194" t="str">
        <f t="shared" si="81"/>
        <v/>
      </c>
      <c r="HO16" s="194" t="str">
        <f t="shared" si="82"/>
        <v/>
      </c>
      <c r="HP16" s="194" t="str">
        <f t="shared" si="83"/>
        <v/>
      </c>
      <c r="HQ16" s="194" t="str">
        <f t="shared" si="84"/>
        <v/>
      </c>
      <c r="HR16" s="194" t="str">
        <f t="shared" si="85"/>
        <v/>
      </c>
      <c r="HS16" s="194" t="str">
        <f t="shared" si="86"/>
        <v/>
      </c>
      <c r="HT16" s="194" t="str">
        <f t="shared" si="87"/>
        <v/>
      </c>
      <c r="HU16" s="194" t="str">
        <f t="shared" si="88"/>
        <v/>
      </c>
      <c r="HV16" s="194" t="str">
        <f t="shared" si="89"/>
        <v/>
      </c>
      <c r="HW16" s="194" t="str">
        <f t="shared" si="90"/>
        <v/>
      </c>
      <c r="HX16" s="194" t="str">
        <f t="shared" si="91"/>
        <v/>
      </c>
      <c r="HY16" s="194" t="str">
        <f t="shared" si="92"/>
        <v/>
      </c>
      <c r="HZ16" s="194" t="str">
        <f t="shared" si="93"/>
        <v/>
      </c>
      <c r="IA16" s="194" t="str">
        <f t="shared" si="94"/>
        <v/>
      </c>
      <c r="IB16" s="194" t="str">
        <f t="shared" si="95"/>
        <v/>
      </c>
      <c r="IC16" s="194" t="str">
        <f t="shared" si="96"/>
        <v/>
      </c>
      <c r="ID16" s="194" t="str">
        <f t="shared" si="97"/>
        <v/>
      </c>
      <c r="IE16" s="194" t="str">
        <f t="shared" si="98"/>
        <v/>
      </c>
      <c r="IF16" s="194" t="str">
        <f t="shared" si="99"/>
        <v/>
      </c>
      <c r="IG16" s="194" t="str">
        <f t="shared" si="100"/>
        <v/>
      </c>
      <c r="IH16" s="194" t="str">
        <f t="shared" si="101"/>
        <v/>
      </c>
      <c r="II16" s="194" t="str">
        <f t="shared" si="102"/>
        <v/>
      </c>
      <c r="IJ16" s="194" t="str">
        <f t="shared" si="103"/>
        <v/>
      </c>
      <c r="IK16" s="194" t="str">
        <f t="shared" si="104"/>
        <v/>
      </c>
      <c r="IL16" s="194" t="str">
        <f t="shared" si="105"/>
        <v/>
      </c>
      <c r="IM16" s="194" t="str">
        <f t="shared" si="106"/>
        <v/>
      </c>
      <c r="IN16" s="194" t="str">
        <f t="shared" si="107"/>
        <v/>
      </c>
      <c r="IO16" s="194" t="str">
        <f t="shared" si="108"/>
        <v/>
      </c>
      <c r="IP16" s="194" t="str">
        <f t="shared" si="109"/>
        <v/>
      </c>
      <c r="IQ16" s="194" t="str">
        <f t="shared" si="110"/>
        <v/>
      </c>
      <c r="IR16" s="194" t="str">
        <f t="shared" si="111"/>
        <v/>
      </c>
      <c r="IS16" s="194" t="str">
        <f t="shared" si="112"/>
        <v/>
      </c>
      <c r="IT16" s="194" t="str">
        <f t="shared" si="113"/>
        <v/>
      </c>
      <c r="IU16" s="194" t="str">
        <f t="shared" si="114"/>
        <v/>
      </c>
      <c r="IV16" s="194" t="str">
        <f t="shared" si="115"/>
        <v/>
      </c>
      <c r="IW16" s="194" t="str">
        <f t="shared" si="116"/>
        <v/>
      </c>
      <c r="IX16" s="194" t="str">
        <f t="shared" si="117"/>
        <v/>
      </c>
      <c r="IY16" s="194" t="str">
        <f t="shared" si="118"/>
        <v/>
      </c>
      <c r="IZ16" s="194" t="str">
        <f t="shared" si="119"/>
        <v/>
      </c>
      <c r="JA16" s="194" t="str">
        <f t="shared" si="120"/>
        <v/>
      </c>
      <c r="JB16" s="194" t="str">
        <f t="shared" si="121"/>
        <v/>
      </c>
      <c r="JC16" s="194" t="str">
        <f t="shared" si="122"/>
        <v/>
      </c>
      <c r="JD16" s="194" t="str">
        <f t="shared" si="123"/>
        <v/>
      </c>
      <c r="JE16" s="194" t="str">
        <f t="shared" si="124"/>
        <v/>
      </c>
      <c r="JF16" s="194" t="str">
        <f t="shared" si="125"/>
        <v/>
      </c>
      <c r="JG16" s="194" t="str">
        <f t="shared" si="126"/>
        <v/>
      </c>
      <c r="JH16" s="194" t="str">
        <f t="shared" si="127"/>
        <v/>
      </c>
      <c r="JI16" s="194" t="str">
        <f t="shared" si="128"/>
        <v/>
      </c>
      <c r="JJ16" s="194" t="str">
        <f t="shared" si="129"/>
        <v/>
      </c>
      <c r="JK16" s="194" t="str">
        <f t="shared" si="130"/>
        <v/>
      </c>
      <c r="JL16" s="194" t="str">
        <f t="shared" si="131"/>
        <v/>
      </c>
      <c r="JM16" s="194" t="str">
        <f t="shared" si="132"/>
        <v/>
      </c>
      <c r="JN16" s="194" t="str">
        <f t="shared" si="133"/>
        <v/>
      </c>
      <c r="JO16" s="194" t="str">
        <f t="shared" si="134"/>
        <v/>
      </c>
      <c r="JP16" s="194" t="str">
        <f t="shared" si="135"/>
        <v/>
      </c>
      <c r="JQ16" s="194" t="str">
        <f t="shared" si="136"/>
        <v/>
      </c>
      <c r="JR16" s="194" t="str">
        <f t="shared" si="137"/>
        <v/>
      </c>
      <c r="JS16" s="194" t="str">
        <f t="shared" si="138"/>
        <v/>
      </c>
      <c r="JT16" s="194" t="str">
        <f t="shared" si="139"/>
        <v/>
      </c>
      <c r="JU16" s="194" t="str">
        <f t="shared" si="140"/>
        <v/>
      </c>
      <c r="JV16" s="194" t="str">
        <f t="shared" si="141"/>
        <v/>
      </c>
      <c r="JW16" s="194" t="str">
        <f t="shared" si="142"/>
        <v/>
      </c>
      <c r="JX16" s="194" t="str">
        <f t="shared" si="143"/>
        <v/>
      </c>
      <c r="JY16" s="194" t="str">
        <f t="shared" si="144"/>
        <v/>
      </c>
      <c r="JZ16" s="194" t="str">
        <f t="shared" si="145"/>
        <v/>
      </c>
      <c r="KA16" s="194" t="str">
        <f t="shared" si="146"/>
        <v/>
      </c>
      <c r="KB16" s="194" t="str">
        <f t="shared" si="147"/>
        <v/>
      </c>
      <c r="KC16" s="194" t="str">
        <f t="shared" si="148"/>
        <v/>
      </c>
      <c r="KD16" s="194" t="str">
        <f t="shared" si="149"/>
        <v/>
      </c>
      <c r="KE16" s="194" t="str">
        <f t="shared" si="150"/>
        <v/>
      </c>
      <c r="KF16" s="194" t="str">
        <f t="shared" si="151"/>
        <v/>
      </c>
      <c r="KG16" s="194">
        <f>SUM(LE16:LX16)/COUNTA(RefKI3KI4!$B$5:$B$24)</f>
        <v>86.8</v>
      </c>
      <c r="KH16" s="232">
        <f t="shared" si="198"/>
        <v>0</v>
      </c>
      <c r="KI16" s="340" t="str">
        <f t="shared" si="199"/>
        <v>ok</v>
      </c>
      <c r="KJ16" s="340" t="str">
        <f t="shared" si="200"/>
        <v>ok</v>
      </c>
      <c r="KK16" s="340" t="str">
        <f t="shared" si="201"/>
        <v/>
      </c>
      <c r="KL16" s="340" t="str">
        <f t="shared" si="202"/>
        <v/>
      </c>
      <c r="KM16" s="340" t="str">
        <f t="shared" si="203"/>
        <v/>
      </c>
      <c r="KN16" s="340" t="str">
        <f t="shared" si="204"/>
        <v/>
      </c>
      <c r="KO16" s="340" t="str">
        <f t="shared" si="205"/>
        <v/>
      </c>
      <c r="KP16" s="340" t="str">
        <f t="shared" si="206"/>
        <v/>
      </c>
      <c r="KQ16" s="340" t="str">
        <f t="shared" si="207"/>
        <v/>
      </c>
      <c r="KR16" s="340" t="str">
        <f t="shared" si="208"/>
        <v/>
      </c>
      <c r="KS16" s="340" t="str">
        <f t="shared" si="209"/>
        <v/>
      </c>
      <c r="KT16" s="340" t="str">
        <f t="shared" si="210"/>
        <v/>
      </c>
      <c r="KU16" s="340" t="str">
        <f t="shared" si="211"/>
        <v/>
      </c>
      <c r="KV16" s="340" t="str">
        <f t="shared" si="212"/>
        <v/>
      </c>
      <c r="KW16" s="340" t="str">
        <f t="shared" si="213"/>
        <v/>
      </c>
      <c r="KX16" s="340" t="str">
        <f t="shared" si="214"/>
        <v/>
      </c>
      <c r="KY16" s="340" t="str">
        <f t="shared" si="215"/>
        <v/>
      </c>
      <c r="KZ16" s="340" t="str">
        <f t="shared" si="216"/>
        <v/>
      </c>
      <c r="LA16" s="340" t="str">
        <f t="shared" si="217"/>
        <v/>
      </c>
      <c r="LB16" s="340" t="str">
        <f t="shared" si="218"/>
        <v/>
      </c>
      <c r="LC16" s="340">
        <f t="shared" si="219"/>
        <v>0</v>
      </c>
      <c r="LD16" s="228">
        <v>8</v>
      </c>
      <c r="LE16" s="229">
        <f t="shared" si="220"/>
        <v>85.6</v>
      </c>
      <c r="LF16" s="229">
        <f t="shared" si="221"/>
        <v>88</v>
      </c>
      <c r="LG16" s="229" t="str">
        <f t="shared" si="222"/>
        <v/>
      </c>
      <c r="LH16" s="229" t="str">
        <f t="shared" si="223"/>
        <v/>
      </c>
      <c r="LI16" s="229" t="str">
        <f t="shared" si="224"/>
        <v/>
      </c>
      <c r="LJ16" s="229" t="str">
        <f t="shared" si="225"/>
        <v/>
      </c>
      <c r="LK16" s="229" t="str">
        <f t="shared" si="226"/>
        <v/>
      </c>
      <c r="LL16" s="229" t="str">
        <f t="shared" si="227"/>
        <v/>
      </c>
      <c r="LM16" s="229" t="str">
        <f t="shared" si="228"/>
        <v/>
      </c>
      <c r="LN16" s="229" t="str">
        <f t="shared" si="229"/>
        <v/>
      </c>
      <c r="LO16" s="229" t="str">
        <f t="shared" si="230"/>
        <v/>
      </c>
      <c r="LP16" s="229" t="str">
        <f t="shared" si="231"/>
        <v/>
      </c>
      <c r="LQ16" s="229" t="str">
        <f t="shared" si="232"/>
        <v/>
      </c>
      <c r="LR16" s="229" t="str">
        <f t="shared" si="233"/>
        <v/>
      </c>
      <c r="LS16" s="229" t="str">
        <f t="shared" si="234"/>
        <v/>
      </c>
      <c r="LT16" s="229" t="str">
        <f t="shared" si="235"/>
        <v/>
      </c>
      <c r="LU16" s="229" t="str">
        <f t="shared" si="236"/>
        <v/>
      </c>
      <c r="LV16" s="229" t="str">
        <f t="shared" si="237"/>
        <v/>
      </c>
      <c r="LW16" s="229" t="str">
        <f t="shared" si="238"/>
        <v/>
      </c>
      <c r="LX16" s="229" t="str">
        <f t="shared" si="239"/>
        <v/>
      </c>
      <c r="LY16" s="231">
        <f t="shared" si="240"/>
        <v>85.6</v>
      </c>
      <c r="LZ16" s="231">
        <f t="shared" si="241"/>
        <v>88</v>
      </c>
      <c r="MA16" s="231" t="str">
        <f t="shared" si="242"/>
        <v/>
      </c>
      <c r="MB16" s="231" t="str">
        <f t="shared" si="243"/>
        <v/>
      </c>
      <c r="MC16" s="231" t="str">
        <f t="shared" si="244"/>
        <v/>
      </c>
      <c r="MD16" s="231" t="str">
        <f t="shared" si="245"/>
        <v/>
      </c>
      <c r="ME16" s="231" t="str">
        <f t="shared" si="246"/>
        <v/>
      </c>
      <c r="MF16" s="231" t="str">
        <f t="shared" si="247"/>
        <v/>
      </c>
      <c r="MG16" s="231" t="str">
        <f t="shared" si="248"/>
        <v/>
      </c>
      <c r="MH16" s="231" t="str">
        <f t="shared" si="249"/>
        <v/>
      </c>
      <c r="MI16" s="231" t="str">
        <f t="shared" si="250"/>
        <v/>
      </c>
      <c r="MJ16" s="231" t="str">
        <f t="shared" si="251"/>
        <v/>
      </c>
      <c r="MK16" s="231" t="str">
        <f t="shared" si="252"/>
        <v/>
      </c>
      <c r="ML16" s="231" t="str">
        <f t="shared" si="253"/>
        <v/>
      </c>
      <c r="MM16" s="231" t="str">
        <f t="shared" si="254"/>
        <v/>
      </c>
      <c r="MN16" s="231" t="str">
        <f t="shared" si="255"/>
        <v/>
      </c>
      <c r="MO16" s="231" t="str">
        <f t="shared" si="256"/>
        <v/>
      </c>
      <c r="MP16" s="231" t="str">
        <f t="shared" si="257"/>
        <v/>
      </c>
      <c r="MQ16" s="231" t="str">
        <f t="shared" si="258"/>
        <v/>
      </c>
      <c r="MR16" s="231" t="str">
        <f t="shared" si="259"/>
        <v/>
      </c>
      <c r="MS16" s="231">
        <f t="shared" si="154"/>
        <v>88</v>
      </c>
      <c r="MT16" s="232" t="str">
        <f>IF(MS16="","",IF(MS16&gt;=KONVERSI!$A$5,KONVERSI!$E$5,IF(MS16&gt;=KONVERSI!$A$6,KONVERSI!$E$6,IF(MS16&gt;=KONVERSI!$A$7,KONVERSI!$E$7,KONVERSI!$E$8))))</f>
        <v>Baik</v>
      </c>
      <c r="MU16" s="233" t="str">
        <f t="shared" si="155"/>
        <v>Baik dalamprinsip perancangan, pembuatan dan penyajian produk kerajinan kerang, kaca, keramik dan botol plastik yang kreatif dan inovatif</v>
      </c>
      <c r="MV16" s="234">
        <f t="shared" si="260"/>
        <v>85.6</v>
      </c>
      <c r="MW16" s="232" t="str">
        <f>IF(MV16="","",IF(MV16&gt;=KONVERSI!$A$5,KONVERSI!$E$5,IF(MV16&gt;=KONVERSI!$A$6,KONVERSI!$E$6,IF(MV16&gt;=KONVERSI!$A$7,KONVERSI!$E$7,KONVERSI!$E$8))))</f>
        <v>Baik</v>
      </c>
      <c r="MX16" s="134" t="str">
        <f>IF(FI16&lt;$FN$4," "&amp;KONVERSI!$C$18&amp;INDEX($LY$8:$MR$8,MATCH(MV16,LY16:MR16,0))&amp;".",IF(KG16=0,"",IF(MV16&lt;&gt;0,MU16&amp;MW16&amp;".",MU16&amp;".")))</f>
        <v>Baik dalamprinsip perancangan, pembuatan dan penyajian produk kerajinan kerang, kaca, keramik dan botol plastik yang kreatif dan inovatifBaik.</v>
      </c>
      <c r="MY16" s="235" t="str">
        <f t="shared" si="261"/>
        <v>NO</v>
      </c>
      <c r="MZ16" s="235" t="str">
        <f t="shared" si="262"/>
        <v>OK</v>
      </c>
      <c r="NA16" s="235" t="str">
        <f t="shared" si="263"/>
        <v/>
      </c>
      <c r="NB16" s="235" t="str">
        <f t="shared" si="264"/>
        <v/>
      </c>
      <c r="NC16" s="235" t="str">
        <f t="shared" si="265"/>
        <v/>
      </c>
      <c r="ND16" s="235" t="str">
        <f t="shared" si="266"/>
        <v/>
      </c>
      <c r="NE16" s="235" t="str">
        <f t="shared" si="267"/>
        <v/>
      </c>
      <c r="NF16" s="235" t="str">
        <f t="shared" si="268"/>
        <v/>
      </c>
      <c r="NG16" s="235" t="str">
        <f t="shared" si="269"/>
        <v/>
      </c>
      <c r="NH16" s="235" t="str">
        <f t="shared" si="270"/>
        <v/>
      </c>
      <c r="NI16" s="235" t="str">
        <f t="shared" si="271"/>
        <v/>
      </c>
      <c r="NJ16" s="235" t="str">
        <f t="shared" si="272"/>
        <v/>
      </c>
      <c r="NK16" s="235" t="str">
        <f t="shared" si="273"/>
        <v/>
      </c>
      <c r="NL16" s="235" t="str">
        <f t="shared" si="274"/>
        <v/>
      </c>
      <c r="NM16" s="235" t="str">
        <f t="shared" si="275"/>
        <v/>
      </c>
      <c r="NN16" s="235" t="str">
        <f t="shared" si="276"/>
        <v/>
      </c>
      <c r="NO16" s="235" t="str">
        <f t="shared" si="277"/>
        <v/>
      </c>
      <c r="NP16" s="235" t="str">
        <f t="shared" si="278"/>
        <v/>
      </c>
      <c r="NQ16" s="235" t="str">
        <f t="shared" si="279"/>
        <v/>
      </c>
      <c r="NR16" s="235" t="str">
        <f t="shared" si="280"/>
        <v/>
      </c>
      <c r="NS16" s="134" t="str">
        <f t="shared" si="281"/>
        <v/>
      </c>
      <c r="NT16" s="134" t="str">
        <f t="shared" si="282"/>
        <v>prinsip perancangan, pembuatan dan penyajian produk kerajinan kerang, kaca, keramik dan botol plastik yang kreatif dan inovatif</v>
      </c>
      <c r="NU16" s="134" t="str">
        <f t="shared" si="283"/>
        <v/>
      </c>
      <c r="NV16" s="134" t="str">
        <f t="shared" si="284"/>
        <v/>
      </c>
      <c r="NW16" s="134" t="str">
        <f t="shared" si="285"/>
        <v/>
      </c>
      <c r="NX16" s="134" t="str">
        <f t="shared" si="286"/>
        <v/>
      </c>
      <c r="NY16" s="134" t="str">
        <f t="shared" si="287"/>
        <v/>
      </c>
      <c r="NZ16" s="134" t="str">
        <f t="shared" si="288"/>
        <v/>
      </c>
      <c r="OA16" s="134" t="str">
        <f t="shared" si="289"/>
        <v/>
      </c>
      <c r="OB16" s="134" t="str">
        <f t="shared" si="290"/>
        <v/>
      </c>
      <c r="OC16" s="134" t="str">
        <f t="shared" si="291"/>
        <v/>
      </c>
      <c r="OD16" s="134" t="str">
        <f t="shared" si="292"/>
        <v/>
      </c>
      <c r="OE16" s="134" t="str">
        <f t="shared" si="293"/>
        <v/>
      </c>
      <c r="OF16" s="134" t="str">
        <f t="shared" si="294"/>
        <v/>
      </c>
      <c r="OG16" s="134" t="str">
        <f t="shared" si="295"/>
        <v/>
      </c>
      <c r="OH16" s="134" t="str">
        <f t="shared" si="296"/>
        <v/>
      </c>
      <c r="OI16" s="134" t="str">
        <f t="shared" si="297"/>
        <v/>
      </c>
      <c r="OJ16" s="134" t="str">
        <f t="shared" si="298"/>
        <v/>
      </c>
      <c r="OK16" s="134" t="str">
        <f t="shared" si="299"/>
        <v/>
      </c>
      <c r="OL16" s="134" t="str">
        <f t="shared" si="300"/>
        <v/>
      </c>
      <c r="OM16" s="134" t="str">
        <f t="shared" si="301"/>
        <v>Baik dalam prinsip perancangan, pembuatan dan penyajian produk kerajinan kerang, kaca, keramik dan botol plastik yang kreatif dan inovatif</v>
      </c>
      <c r="ON16" s="134" t="str">
        <f t="shared" si="302"/>
        <v>Baik dalam prinsip perancangan, pembuatan dan penyajian produk kerajinan kerang, kaca, keramik dan botol plastik yang kreatif dan inovati.  </v>
      </c>
      <c r="OO16" s="236">
        <f t="shared" si="169"/>
        <v>1</v>
      </c>
      <c r="OP16" s="235" t="str">
        <f t="shared" si="303"/>
        <v>OK</v>
      </c>
      <c r="OQ16" s="235" t="str">
        <f t="shared" si="304"/>
        <v>NO</v>
      </c>
      <c r="OR16" s="235" t="str">
        <f t="shared" si="305"/>
        <v/>
      </c>
      <c r="OS16" s="235" t="str">
        <f t="shared" si="306"/>
        <v/>
      </c>
      <c r="OT16" s="235" t="str">
        <f t="shared" si="307"/>
        <v/>
      </c>
      <c r="OU16" s="235" t="str">
        <f t="shared" si="308"/>
        <v/>
      </c>
      <c r="OV16" s="235" t="str">
        <f t="shared" si="309"/>
        <v/>
      </c>
      <c r="OW16" s="235" t="str">
        <f t="shared" si="310"/>
        <v/>
      </c>
      <c r="OX16" s="235" t="str">
        <f t="shared" si="311"/>
        <v/>
      </c>
      <c r="OY16" s="235" t="str">
        <f t="shared" si="312"/>
        <v/>
      </c>
      <c r="OZ16" s="235" t="str">
        <f t="shared" si="313"/>
        <v/>
      </c>
      <c r="PA16" s="235" t="str">
        <f t="shared" si="314"/>
        <v/>
      </c>
      <c r="PB16" s="235" t="str">
        <f t="shared" si="315"/>
        <v/>
      </c>
      <c r="PC16" s="235" t="str">
        <f t="shared" si="316"/>
        <v/>
      </c>
      <c r="PD16" s="235" t="str">
        <f t="shared" si="317"/>
        <v/>
      </c>
      <c r="PE16" s="235" t="str">
        <f t="shared" si="318"/>
        <v/>
      </c>
      <c r="PF16" s="235" t="str">
        <f t="shared" si="319"/>
        <v/>
      </c>
      <c r="PG16" s="235" t="str">
        <f t="shared" si="320"/>
        <v/>
      </c>
      <c r="PH16" s="235" t="str">
        <f t="shared" si="321"/>
        <v/>
      </c>
      <c r="PI16" s="235" t="str">
        <f t="shared" si="322"/>
        <v/>
      </c>
      <c r="PJ16" s="134" t="str">
        <f t="shared" si="323"/>
        <v>jenis, sifat, karakter dan teknik pengolahan kerang, kaca, keramik dan botol plastik</v>
      </c>
      <c r="PK16" s="134" t="str">
        <f t="shared" si="324"/>
        <v/>
      </c>
      <c r="PL16" s="134" t="str">
        <f t="shared" si="325"/>
        <v/>
      </c>
      <c r="PM16" s="134" t="str">
        <f t="shared" si="326"/>
        <v/>
      </c>
      <c r="PN16" s="134" t="str">
        <f t="shared" si="327"/>
        <v/>
      </c>
      <c r="PO16" s="134" t="str">
        <f t="shared" si="328"/>
        <v/>
      </c>
      <c r="PP16" s="134" t="str">
        <f t="shared" si="329"/>
        <v/>
      </c>
      <c r="PQ16" s="134" t="str">
        <f t="shared" si="330"/>
        <v/>
      </c>
      <c r="PR16" s="134" t="str">
        <f t="shared" si="331"/>
        <v/>
      </c>
      <c r="PS16" s="134" t="str">
        <f t="shared" si="332"/>
        <v/>
      </c>
      <c r="PT16" s="134" t="str">
        <f t="shared" si="333"/>
        <v/>
      </c>
      <c r="PU16" s="134" t="str">
        <f t="shared" si="334"/>
        <v/>
      </c>
      <c r="PV16" s="134" t="str">
        <f t="shared" si="335"/>
        <v/>
      </c>
      <c r="PW16" s="134" t="str">
        <f t="shared" si="336"/>
        <v/>
      </c>
      <c r="PX16" s="134" t="str">
        <f t="shared" si="337"/>
        <v/>
      </c>
      <c r="PY16" s="134" t="str">
        <f t="shared" si="338"/>
        <v/>
      </c>
      <c r="PZ16" s="134" t="str">
        <f t="shared" si="339"/>
        <v/>
      </c>
      <c r="QA16" s="134" t="str">
        <f t="shared" si="340"/>
        <v/>
      </c>
      <c r="QB16" s="134" t="str">
        <f t="shared" si="341"/>
        <v/>
      </c>
      <c r="QC16" s="134" t="str">
        <f t="shared" si="342"/>
        <v/>
      </c>
      <c r="QD16" s="134" t="str">
        <f>IF(MT16=MW16,"",IF(MV16="","",IF(MV16&gt;=KONVERSI!$A$7,'KI3'!MW16&amp;" dalam"&amp;PJ16&amp;PK16&amp;PL16&amp;PM16&amp;PN16&amp;PO16&amp;PP16&amp;PQ16&amp;PR16&amp;PS16&amp;PT16&amp;PU16&amp;PV16&amp;PW16&amp;PX16&amp;PY16&amp;PZ16&amp;QA16&amp;QB16&amp;QC16,KONVERSI!$C$18&amp;" dalam"&amp;PJ16&amp;PK16&amp;PL16&amp;PM16&amp;PN16&amp;PO16&amp;PP16&amp;PQ16&amp;PR16&amp;PS16&amp;PT16&amp;PU16&amp;PV16&amp;PW16&amp;PX16&amp;PY16&amp;PZ16&amp;QA16&amp;QB16&amp;QC16)))</f>
        <v/>
      </c>
      <c r="QE16" s="134" t="str">
        <f t="shared" si="343"/>
        <v/>
      </c>
      <c r="QF16" s="236">
        <f t="shared" si="172"/>
        <v>1</v>
      </c>
      <c r="QG16" s="134" t="str">
        <f t="shared" si="173"/>
        <v>Baik dalam prinsip perancangan, pembuatan dan penyajian produk kerajinan kerang, kaca, keramik dan botol plastik yang kreatif dan inovati.  </v>
      </c>
    </row>
    <row r="17" ht="27.6" customHeight="1" spans="1:449">
      <c r="A17" s="136"/>
      <c r="B17" s="177">
        <v>9</v>
      </c>
      <c r="C17" s="178" t="str">
        <f>siswa!C13</f>
        <v>FACHRI ANDHIKA PUTRA</v>
      </c>
      <c r="D17" s="174">
        <f>siswa!D13</f>
        <v>2757</v>
      </c>
      <c r="E17" s="175">
        <v>86</v>
      </c>
      <c r="F17" s="175">
        <v>86</v>
      </c>
      <c r="G17" s="248"/>
      <c r="H17" s="176"/>
      <c r="I17" s="176"/>
      <c r="J17" s="175">
        <v>100</v>
      </c>
      <c r="K17" s="176"/>
      <c r="L17" s="223">
        <f t="shared" si="174"/>
        <v>91.6</v>
      </c>
      <c r="M17" s="250">
        <v>88</v>
      </c>
      <c r="N17" s="250">
        <v>88</v>
      </c>
      <c r="O17" s="248"/>
      <c r="P17" s="176"/>
      <c r="Q17" s="176"/>
      <c r="R17" s="250">
        <v>86</v>
      </c>
      <c r="S17" s="176"/>
      <c r="T17" s="223">
        <f t="shared" si="175"/>
        <v>87.2</v>
      </c>
      <c r="U17" s="248"/>
      <c r="V17" s="248"/>
      <c r="W17" s="248"/>
      <c r="X17" s="176"/>
      <c r="Y17" s="176"/>
      <c r="Z17" s="250"/>
      <c r="AA17" s="176"/>
      <c r="AB17" s="223">
        <f t="shared" si="176"/>
        <v>0</v>
      </c>
      <c r="AC17" s="248"/>
      <c r="AD17" s="248"/>
      <c r="AE17" s="248"/>
      <c r="AF17" s="248"/>
      <c r="AG17" s="176"/>
      <c r="AH17" s="250"/>
      <c r="AI17" s="176"/>
      <c r="AJ17" s="223">
        <f t="shared" si="177"/>
        <v>0</v>
      </c>
      <c r="AK17" s="181"/>
      <c r="AL17" s="176"/>
      <c r="AM17" s="176"/>
      <c r="AN17" s="176"/>
      <c r="AO17" s="176"/>
      <c r="AP17" s="176"/>
      <c r="AQ17" s="176"/>
      <c r="AR17" s="223">
        <f t="shared" si="178"/>
        <v>0</v>
      </c>
      <c r="AS17" s="181"/>
      <c r="AT17" s="176"/>
      <c r="AU17" s="176"/>
      <c r="AV17" s="176"/>
      <c r="AW17" s="176"/>
      <c r="AX17" s="176"/>
      <c r="AY17" s="176"/>
      <c r="AZ17" s="223">
        <f t="shared" si="179"/>
        <v>0</v>
      </c>
      <c r="BA17" s="181"/>
      <c r="BB17" s="176"/>
      <c r="BC17" s="176"/>
      <c r="BD17" s="176"/>
      <c r="BE17" s="176"/>
      <c r="BF17" s="176"/>
      <c r="BG17" s="176"/>
      <c r="BH17" s="223">
        <f t="shared" si="180"/>
        <v>0</v>
      </c>
      <c r="BI17" s="181"/>
      <c r="BJ17" s="176"/>
      <c r="BK17" s="176"/>
      <c r="BL17" s="176"/>
      <c r="BM17" s="176"/>
      <c r="BN17" s="176"/>
      <c r="BO17" s="176"/>
      <c r="BP17" s="223">
        <f t="shared" si="181"/>
        <v>0</v>
      </c>
      <c r="BQ17" s="181"/>
      <c r="BR17" s="176"/>
      <c r="BS17" s="176"/>
      <c r="BT17" s="176"/>
      <c r="BU17" s="176"/>
      <c r="BV17" s="176"/>
      <c r="BW17" s="176"/>
      <c r="BX17" s="223">
        <f t="shared" si="182"/>
        <v>0</v>
      </c>
      <c r="BY17" s="181"/>
      <c r="BZ17" s="176"/>
      <c r="CA17" s="176"/>
      <c r="CB17" s="176"/>
      <c r="CC17" s="176"/>
      <c r="CD17" s="176"/>
      <c r="CE17" s="176"/>
      <c r="CF17" s="223">
        <f t="shared" si="183"/>
        <v>0</v>
      </c>
      <c r="CG17" s="181"/>
      <c r="CH17" s="176"/>
      <c r="CI17" s="176"/>
      <c r="CJ17" s="176"/>
      <c r="CK17" s="176"/>
      <c r="CL17" s="176"/>
      <c r="CM17" s="176"/>
      <c r="CN17" s="223">
        <f t="shared" si="184"/>
        <v>0</v>
      </c>
      <c r="CO17" s="181"/>
      <c r="CP17" s="176"/>
      <c r="CQ17" s="176"/>
      <c r="CR17" s="176"/>
      <c r="CS17" s="176"/>
      <c r="CT17" s="176"/>
      <c r="CU17" s="176"/>
      <c r="CV17" s="223">
        <f t="shared" si="185"/>
        <v>0</v>
      </c>
      <c r="CW17" s="181"/>
      <c r="CX17" s="176"/>
      <c r="CY17" s="176"/>
      <c r="CZ17" s="176"/>
      <c r="DA17" s="176"/>
      <c r="DB17" s="176"/>
      <c r="DC17" s="176"/>
      <c r="DD17" s="223">
        <f t="shared" si="186"/>
        <v>0</v>
      </c>
      <c r="DE17" s="181"/>
      <c r="DF17" s="176"/>
      <c r="DG17" s="176"/>
      <c r="DH17" s="176"/>
      <c r="DI17" s="176"/>
      <c r="DJ17" s="176"/>
      <c r="DK17" s="176"/>
      <c r="DL17" s="223">
        <f t="shared" si="187"/>
        <v>0</v>
      </c>
      <c r="DM17" s="181"/>
      <c r="DN17" s="176"/>
      <c r="DO17" s="176"/>
      <c r="DP17" s="176"/>
      <c r="DQ17" s="176"/>
      <c r="DR17" s="176"/>
      <c r="DS17" s="176"/>
      <c r="DT17" s="223">
        <f t="shared" si="188"/>
        <v>0</v>
      </c>
      <c r="DU17" s="181"/>
      <c r="DV17" s="176"/>
      <c r="DW17" s="176"/>
      <c r="DX17" s="176"/>
      <c r="DY17" s="176"/>
      <c r="DZ17" s="176"/>
      <c r="EA17" s="176"/>
      <c r="EB17" s="223">
        <f t="shared" si="189"/>
        <v>0</v>
      </c>
      <c r="EC17" s="181"/>
      <c r="ED17" s="176"/>
      <c r="EE17" s="176"/>
      <c r="EF17" s="176"/>
      <c r="EG17" s="176"/>
      <c r="EH17" s="176"/>
      <c r="EI17" s="176"/>
      <c r="EJ17" s="223">
        <f t="shared" si="190"/>
        <v>0</v>
      </c>
      <c r="EK17" s="181"/>
      <c r="EL17" s="176"/>
      <c r="EM17" s="176"/>
      <c r="EN17" s="176"/>
      <c r="EO17" s="176"/>
      <c r="EP17" s="176"/>
      <c r="EQ17" s="176"/>
      <c r="ER17" s="223">
        <f t="shared" si="191"/>
        <v>0</v>
      </c>
      <c r="ES17" s="181"/>
      <c r="ET17" s="176"/>
      <c r="EU17" s="176"/>
      <c r="EV17" s="176"/>
      <c r="EW17" s="176"/>
      <c r="EX17" s="176"/>
      <c r="EY17" s="176"/>
      <c r="EZ17" s="223">
        <f t="shared" si="192"/>
        <v>0</v>
      </c>
      <c r="FA17" s="181"/>
      <c r="FB17" s="176"/>
      <c r="FC17" s="176"/>
      <c r="FD17" s="176"/>
      <c r="FE17" s="176"/>
      <c r="FF17" s="176"/>
      <c r="FG17" s="176"/>
      <c r="FH17" s="223">
        <f t="shared" si="193"/>
        <v>0</v>
      </c>
      <c r="FI17" s="291">
        <f t="shared" si="194"/>
        <v>89</v>
      </c>
      <c r="FJ17" s="250">
        <v>88</v>
      </c>
      <c r="FK17" s="250"/>
      <c r="FL17" s="291">
        <f t="shared" si="195"/>
        <v>89</v>
      </c>
      <c r="FM17" s="312" t="str">
        <f>IFERROR(IF(FL17="","",IF(FL17&gt;=KONVERSI!$A$5,KONVERSI!$D$5,IF(FL17&gt;=KONVERSI!$A$6,KONVERSI!$D$6,IF(FL17&gt;=KONVERSI!$A$7,KONVERSI!$D$7,KONVERSI!$D$8)))),"")</f>
        <v>B</v>
      </c>
      <c r="FN17" s="232" t="str">
        <f t="shared" si="196"/>
        <v>Tuntas</v>
      </c>
      <c r="FO17" s="313"/>
      <c r="FP17" s="314">
        <f t="shared" si="197"/>
        <v>87</v>
      </c>
      <c r="FQ17" s="194">
        <f t="shared" si="33"/>
        <v>86</v>
      </c>
      <c r="FR17" s="194">
        <f t="shared" si="34"/>
        <v>86</v>
      </c>
      <c r="FS17" s="194" t="str">
        <f t="shared" si="35"/>
        <v/>
      </c>
      <c r="FT17" s="194" t="str">
        <f t="shared" si="36"/>
        <v/>
      </c>
      <c r="FU17" s="194" t="str">
        <f t="shared" si="37"/>
        <v/>
      </c>
      <c r="FV17" s="194">
        <f t="shared" si="38"/>
        <v>91.6</v>
      </c>
      <c r="FW17" s="194">
        <f t="shared" si="39"/>
        <v>88</v>
      </c>
      <c r="FX17" s="194">
        <f t="shared" si="344"/>
        <v>88</v>
      </c>
      <c r="FY17" s="194" t="str">
        <f t="shared" si="40"/>
        <v/>
      </c>
      <c r="FZ17" s="194" t="str">
        <f t="shared" si="41"/>
        <v/>
      </c>
      <c r="GA17" s="194" t="str">
        <f t="shared" si="42"/>
        <v/>
      </c>
      <c r="GB17" s="194">
        <f t="shared" si="43"/>
        <v>87.2</v>
      </c>
      <c r="GC17" s="194" t="str">
        <f t="shared" si="44"/>
        <v/>
      </c>
      <c r="GD17" s="194" t="str">
        <f t="shared" si="45"/>
        <v/>
      </c>
      <c r="GE17" s="194" t="str">
        <f t="shared" si="46"/>
        <v/>
      </c>
      <c r="GF17" s="194" t="str">
        <f t="shared" si="47"/>
        <v/>
      </c>
      <c r="GG17" s="194" t="str">
        <f t="shared" si="48"/>
        <v/>
      </c>
      <c r="GH17" s="194" t="str">
        <f t="shared" si="49"/>
        <v/>
      </c>
      <c r="GI17" s="194" t="str">
        <f t="shared" si="50"/>
        <v/>
      </c>
      <c r="GJ17" s="194" t="str">
        <f t="shared" si="51"/>
        <v/>
      </c>
      <c r="GK17" s="194" t="str">
        <f t="shared" si="52"/>
        <v/>
      </c>
      <c r="GL17" s="194" t="str">
        <f t="shared" si="53"/>
        <v/>
      </c>
      <c r="GM17" s="194" t="str">
        <f t="shared" si="54"/>
        <v/>
      </c>
      <c r="GN17" s="194" t="str">
        <f t="shared" si="55"/>
        <v/>
      </c>
      <c r="GO17" s="194" t="str">
        <f t="shared" si="56"/>
        <v/>
      </c>
      <c r="GP17" s="194" t="str">
        <f t="shared" si="57"/>
        <v/>
      </c>
      <c r="GQ17" s="194" t="str">
        <f t="shared" si="58"/>
        <v/>
      </c>
      <c r="GR17" s="194" t="str">
        <f t="shared" si="59"/>
        <v/>
      </c>
      <c r="GS17" s="194" t="str">
        <f t="shared" si="60"/>
        <v/>
      </c>
      <c r="GT17" s="194" t="str">
        <f t="shared" si="61"/>
        <v/>
      </c>
      <c r="GU17" s="194" t="str">
        <f t="shared" si="62"/>
        <v/>
      </c>
      <c r="GV17" s="194" t="str">
        <f t="shared" si="63"/>
        <v/>
      </c>
      <c r="GW17" s="194" t="str">
        <f t="shared" si="64"/>
        <v/>
      </c>
      <c r="GX17" s="194" t="str">
        <f t="shared" si="65"/>
        <v/>
      </c>
      <c r="GY17" s="194" t="str">
        <f t="shared" si="66"/>
        <v/>
      </c>
      <c r="GZ17" s="194" t="str">
        <f t="shared" si="67"/>
        <v/>
      </c>
      <c r="HA17" s="194" t="str">
        <f t="shared" si="68"/>
        <v/>
      </c>
      <c r="HB17" s="194" t="str">
        <f t="shared" si="69"/>
        <v/>
      </c>
      <c r="HC17" s="194" t="str">
        <f t="shared" si="70"/>
        <v/>
      </c>
      <c r="HD17" s="194" t="str">
        <f t="shared" si="71"/>
        <v/>
      </c>
      <c r="HE17" s="194" t="str">
        <f t="shared" si="72"/>
        <v/>
      </c>
      <c r="HF17" s="194" t="str">
        <f t="shared" si="73"/>
        <v/>
      </c>
      <c r="HG17" s="194" t="str">
        <f t="shared" si="74"/>
        <v/>
      </c>
      <c r="HH17" s="194" t="str">
        <f t="shared" si="75"/>
        <v/>
      </c>
      <c r="HI17" s="194" t="str">
        <f t="shared" si="76"/>
        <v/>
      </c>
      <c r="HJ17" s="194" t="str">
        <f t="shared" si="77"/>
        <v/>
      </c>
      <c r="HK17" s="194" t="str">
        <f t="shared" si="78"/>
        <v/>
      </c>
      <c r="HL17" s="194" t="str">
        <f t="shared" si="79"/>
        <v/>
      </c>
      <c r="HM17" s="194" t="str">
        <f t="shared" si="80"/>
        <v/>
      </c>
      <c r="HN17" s="194" t="str">
        <f t="shared" si="81"/>
        <v/>
      </c>
      <c r="HO17" s="194" t="str">
        <f t="shared" si="82"/>
        <v/>
      </c>
      <c r="HP17" s="194" t="str">
        <f t="shared" si="83"/>
        <v/>
      </c>
      <c r="HQ17" s="194" t="str">
        <f t="shared" si="84"/>
        <v/>
      </c>
      <c r="HR17" s="194" t="str">
        <f t="shared" si="85"/>
        <v/>
      </c>
      <c r="HS17" s="194" t="str">
        <f t="shared" si="86"/>
        <v/>
      </c>
      <c r="HT17" s="194" t="str">
        <f t="shared" si="87"/>
        <v/>
      </c>
      <c r="HU17" s="194" t="str">
        <f t="shared" si="88"/>
        <v/>
      </c>
      <c r="HV17" s="194" t="str">
        <f t="shared" si="89"/>
        <v/>
      </c>
      <c r="HW17" s="194" t="str">
        <f t="shared" si="90"/>
        <v/>
      </c>
      <c r="HX17" s="194" t="str">
        <f t="shared" si="91"/>
        <v/>
      </c>
      <c r="HY17" s="194" t="str">
        <f t="shared" si="92"/>
        <v/>
      </c>
      <c r="HZ17" s="194" t="str">
        <f t="shared" si="93"/>
        <v/>
      </c>
      <c r="IA17" s="194" t="str">
        <f t="shared" si="94"/>
        <v/>
      </c>
      <c r="IB17" s="194" t="str">
        <f t="shared" si="95"/>
        <v/>
      </c>
      <c r="IC17" s="194" t="str">
        <f t="shared" si="96"/>
        <v/>
      </c>
      <c r="ID17" s="194" t="str">
        <f t="shared" si="97"/>
        <v/>
      </c>
      <c r="IE17" s="194" t="str">
        <f t="shared" si="98"/>
        <v/>
      </c>
      <c r="IF17" s="194" t="str">
        <f t="shared" si="99"/>
        <v/>
      </c>
      <c r="IG17" s="194" t="str">
        <f t="shared" si="100"/>
        <v/>
      </c>
      <c r="IH17" s="194" t="str">
        <f t="shared" si="101"/>
        <v/>
      </c>
      <c r="II17" s="194" t="str">
        <f t="shared" si="102"/>
        <v/>
      </c>
      <c r="IJ17" s="194" t="str">
        <f t="shared" si="103"/>
        <v/>
      </c>
      <c r="IK17" s="194" t="str">
        <f t="shared" si="104"/>
        <v/>
      </c>
      <c r="IL17" s="194" t="str">
        <f t="shared" si="105"/>
        <v/>
      </c>
      <c r="IM17" s="194" t="str">
        <f t="shared" si="106"/>
        <v/>
      </c>
      <c r="IN17" s="194" t="str">
        <f t="shared" si="107"/>
        <v/>
      </c>
      <c r="IO17" s="194" t="str">
        <f t="shared" si="108"/>
        <v/>
      </c>
      <c r="IP17" s="194" t="str">
        <f t="shared" si="109"/>
        <v/>
      </c>
      <c r="IQ17" s="194" t="str">
        <f t="shared" si="110"/>
        <v/>
      </c>
      <c r="IR17" s="194" t="str">
        <f t="shared" si="111"/>
        <v/>
      </c>
      <c r="IS17" s="194" t="str">
        <f t="shared" si="112"/>
        <v/>
      </c>
      <c r="IT17" s="194" t="str">
        <f t="shared" si="113"/>
        <v/>
      </c>
      <c r="IU17" s="194" t="str">
        <f t="shared" si="114"/>
        <v/>
      </c>
      <c r="IV17" s="194" t="str">
        <f t="shared" si="115"/>
        <v/>
      </c>
      <c r="IW17" s="194" t="str">
        <f t="shared" si="116"/>
        <v/>
      </c>
      <c r="IX17" s="194" t="str">
        <f t="shared" si="117"/>
        <v/>
      </c>
      <c r="IY17" s="194" t="str">
        <f t="shared" si="118"/>
        <v/>
      </c>
      <c r="IZ17" s="194" t="str">
        <f t="shared" si="119"/>
        <v/>
      </c>
      <c r="JA17" s="194" t="str">
        <f t="shared" si="120"/>
        <v/>
      </c>
      <c r="JB17" s="194" t="str">
        <f t="shared" si="121"/>
        <v/>
      </c>
      <c r="JC17" s="194" t="str">
        <f t="shared" si="122"/>
        <v/>
      </c>
      <c r="JD17" s="194" t="str">
        <f t="shared" si="123"/>
        <v/>
      </c>
      <c r="JE17" s="194" t="str">
        <f t="shared" si="124"/>
        <v/>
      </c>
      <c r="JF17" s="194" t="str">
        <f t="shared" si="125"/>
        <v/>
      </c>
      <c r="JG17" s="194" t="str">
        <f t="shared" si="126"/>
        <v/>
      </c>
      <c r="JH17" s="194" t="str">
        <f t="shared" si="127"/>
        <v/>
      </c>
      <c r="JI17" s="194" t="str">
        <f t="shared" si="128"/>
        <v/>
      </c>
      <c r="JJ17" s="194" t="str">
        <f t="shared" si="129"/>
        <v/>
      </c>
      <c r="JK17" s="194" t="str">
        <f t="shared" si="130"/>
        <v/>
      </c>
      <c r="JL17" s="194" t="str">
        <f t="shared" si="131"/>
        <v/>
      </c>
      <c r="JM17" s="194" t="str">
        <f t="shared" si="132"/>
        <v/>
      </c>
      <c r="JN17" s="194" t="str">
        <f t="shared" si="133"/>
        <v/>
      </c>
      <c r="JO17" s="194" t="str">
        <f t="shared" si="134"/>
        <v/>
      </c>
      <c r="JP17" s="194" t="str">
        <f t="shared" si="135"/>
        <v/>
      </c>
      <c r="JQ17" s="194" t="str">
        <f t="shared" si="136"/>
        <v/>
      </c>
      <c r="JR17" s="194" t="str">
        <f t="shared" si="137"/>
        <v/>
      </c>
      <c r="JS17" s="194" t="str">
        <f t="shared" si="138"/>
        <v/>
      </c>
      <c r="JT17" s="194" t="str">
        <f t="shared" si="139"/>
        <v/>
      </c>
      <c r="JU17" s="194" t="str">
        <f t="shared" si="140"/>
        <v/>
      </c>
      <c r="JV17" s="194" t="str">
        <f t="shared" si="141"/>
        <v/>
      </c>
      <c r="JW17" s="194" t="str">
        <f t="shared" si="142"/>
        <v/>
      </c>
      <c r="JX17" s="194" t="str">
        <f t="shared" si="143"/>
        <v/>
      </c>
      <c r="JY17" s="194" t="str">
        <f t="shared" si="144"/>
        <v/>
      </c>
      <c r="JZ17" s="194" t="str">
        <f t="shared" si="145"/>
        <v/>
      </c>
      <c r="KA17" s="194" t="str">
        <f t="shared" si="146"/>
        <v/>
      </c>
      <c r="KB17" s="194" t="str">
        <f t="shared" si="147"/>
        <v/>
      </c>
      <c r="KC17" s="194" t="str">
        <f t="shared" si="148"/>
        <v/>
      </c>
      <c r="KD17" s="194" t="str">
        <f t="shared" si="149"/>
        <v/>
      </c>
      <c r="KE17" s="194" t="str">
        <f t="shared" si="150"/>
        <v/>
      </c>
      <c r="KF17" s="194" t="str">
        <f t="shared" si="151"/>
        <v/>
      </c>
      <c r="KG17" s="194">
        <f>SUM(LE17:LX17)/COUNTA(RefKI3KI4!$B$5:$B$24)</f>
        <v>89.4</v>
      </c>
      <c r="KH17" s="232">
        <f t="shared" si="198"/>
        <v>0</v>
      </c>
      <c r="KI17" s="340" t="str">
        <f t="shared" si="199"/>
        <v>ok</v>
      </c>
      <c r="KJ17" s="340" t="str">
        <f t="shared" si="200"/>
        <v>ok</v>
      </c>
      <c r="KK17" s="340" t="str">
        <f t="shared" si="201"/>
        <v/>
      </c>
      <c r="KL17" s="340" t="str">
        <f t="shared" si="202"/>
        <v/>
      </c>
      <c r="KM17" s="340" t="str">
        <f t="shared" si="203"/>
        <v/>
      </c>
      <c r="KN17" s="340" t="str">
        <f t="shared" si="204"/>
        <v/>
      </c>
      <c r="KO17" s="340" t="str">
        <f t="shared" si="205"/>
        <v/>
      </c>
      <c r="KP17" s="340" t="str">
        <f t="shared" si="206"/>
        <v/>
      </c>
      <c r="KQ17" s="340" t="str">
        <f t="shared" si="207"/>
        <v/>
      </c>
      <c r="KR17" s="340" t="str">
        <f t="shared" si="208"/>
        <v/>
      </c>
      <c r="KS17" s="340" t="str">
        <f t="shared" si="209"/>
        <v/>
      </c>
      <c r="KT17" s="340" t="str">
        <f t="shared" si="210"/>
        <v/>
      </c>
      <c r="KU17" s="340" t="str">
        <f t="shared" si="211"/>
        <v/>
      </c>
      <c r="KV17" s="340" t="str">
        <f t="shared" si="212"/>
        <v/>
      </c>
      <c r="KW17" s="340" t="str">
        <f t="shared" si="213"/>
        <v/>
      </c>
      <c r="KX17" s="340" t="str">
        <f t="shared" si="214"/>
        <v/>
      </c>
      <c r="KY17" s="340" t="str">
        <f t="shared" si="215"/>
        <v/>
      </c>
      <c r="KZ17" s="340" t="str">
        <f t="shared" si="216"/>
        <v/>
      </c>
      <c r="LA17" s="340" t="str">
        <f t="shared" si="217"/>
        <v/>
      </c>
      <c r="LB17" s="340" t="str">
        <f t="shared" si="218"/>
        <v/>
      </c>
      <c r="LC17" s="340">
        <f t="shared" si="219"/>
        <v>0</v>
      </c>
      <c r="LD17" s="228">
        <v>9</v>
      </c>
      <c r="LE17" s="229">
        <f t="shared" si="220"/>
        <v>91.6</v>
      </c>
      <c r="LF17" s="229">
        <f t="shared" si="221"/>
        <v>87.2</v>
      </c>
      <c r="LG17" s="229" t="str">
        <f t="shared" si="222"/>
        <v/>
      </c>
      <c r="LH17" s="229" t="str">
        <f t="shared" si="223"/>
        <v/>
      </c>
      <c r="LI17" s="229" t="str">
        <f t="shared" si="224"/>
        <v/>
      </c>
      <c r="LJ17" s="229" t="str">
        <f t="shared" si="225"/>
        <v/>
      </c>
      <c r="LK17" s="229" t="str">
        <f t="shared" si="226"/>
        <v/>
      </c>
      <c r="LL17" s="229" t="str">
        <f t="shared" si="227"/>
        <v/>
      </c>
      <c r="LM17" s="229" t="str">
        <f t="shared" si="228"/>
        <v/>
      </c>
      <c r="LN17" s="229" t="str">
        <f t="shared" si="229"/>
        <v/>
      </c>
      <c r="LO17" s="229" t="str">
        <f t="shared" si="230"/>
        <v/>
      </c>
      <c r="LP17" s="229" t="str">
        <f t="shared" si="231"/>
        <v/>
      </c>
      <c r="LQ17" s="229" t="str">
        <f t="shared" si="232"/>
        <v/>
      </c>
      <c r="LR17" s="229" t="str">
        <f t="shared" si="233"/>
        <v/>
      </c>
      <c r="LS17" s="229" t="str">
        <f t="shared" si="234"/>
        <v/>
      </c>
      <c r="LT17" s="229" t="str">
        <f t="shared" si="235"/>
        <v/>
      </c>
      <c r="LU17" s="229" t="str">
        <f t="shared" si="236"/>
        <v/>
      </c>
      <c r="LV17" s="229" t="str">
        <f t="shared" si="237"/>
        <v/>
      </c>
      <c r="LW17" s="229" t="str">
        <f t="shared" si="238"/>
        <v/>
      </c>
      <c r="LX17" s="229" t="str">
        <f t="shared" si="239"/>
        <v/>
      </c>
      <c r="LY17" s="231">
        <f t="shared" si="240"/>
        <v>91.6</v>
      </c>
      <c r="LZ17" s="231">
        <f t="shared" si="241"/>
        <v>87.2</v>
      </c>
      <c r="MA17" s="231" t="str">
        <f t="shared" si="242"/>
        <v/>
      </c>
      <c r="MB17" s="231" t="str">
        <f t="shared" si="243"/>
        <v/>
      </c>
      <c r="MC17" s="231" t="str">
        <f t="shared" si="244"/>
        <v/>
      </c>
      <c r="MD17" s="231" t="str">
        <f t="shared" si="245"/>
        <v/>
      </c>
      <c r="ME17" s="231" t="str">
        <f t="shared" si="246"/>
        <v/>
      </c>
      <c r="MF17" s="231" t="str">
        <f t="shared" si="247"/>
        <v/>
      </c>
      <c r="MG17" s="231" t="str">
        <f t="shared" si="248"/>
        <v/>
      </c>
      <c r="MH17" s="231" t="str">
        <f t="shared" si="249"/>
        <v/>
      </c>
      <c r="MI17" s="231" t="str">
        <f t="shared" si="250"/>
        <v/>
      </c>
      <c r="MJ17" s="231" t="str">
        <f t="shared" si="251"/>
        <v/>
      </c>
      <c r="MK17" s="231" t="str">
        <f t="shared" si="252"/>
        <v/>
      </c>
      <c r="ML17" s="231" t="str">
        <f t="shared" si="253"/>
        <v/>
      </c>
      <c r="MM17" s="231" t="str">
        <f t="shared" si="254"/>
        <v/>
      </c>
      <c r="MN17" s="231" t="str">
        <f t="shared" si="255"/>
        <v/>
      </c>
      <c r="MO17" s="231" t="str">
        <f t="shared" si="256"/>
        <v/>
      </c>
      <c r="MP17" s="231" t="str">
        <f t="shared" si="257"/>
        <v/>
      </c>
      <c r="MQ17" s="231" t="str">
        <f t="shared" si="258"/>
        <v/>
      </c>
      <c r="MR17" s="231" t="str">
        <f t="shared" si="259"/>
        <v/>
      </c>
      <c r="MS17" s="231">
        <f t="shared" si="154"/>
        <v>91.6</v>
      </c>
      <c r="MT17" s="232" t="str">
        <f>IF(MS17="","",IF(MS17&gt;=KONVERSI!$A$5,KONVERSI!$E$5,IF(MS17&gt;=KONVERSI!$A$6,KONVERSI!$E$6,IF(MS17&gt;=KONVERSI!$A$7,KONVERSI!$E$7,KONVERSI!$E$8))))</f>
        <v>Baik</v>
      </c>
      <c r="MU17" s="233" t="str">
        <f t="shared" si="155"/>
        <v>Baik dalamjenis, sifat, karakter dan teknik pengolahan kerang, kaca, keramik dan botol plastik</v>
      </c>
      <c r="MV17" s="234">
        <f t="shared" si="260"/>
        <v>87.2</v>
      </c>
      <c r="MW17" s="232" t="str">
        <f>IF(MV17="","",IF(MV17&gt;=KONVERSI!$A$5,KONVERSI!$E$5,IF(MV17&gt;=KONVERSI!$A$6,KONVERSI!$E$6,IF(MV17&gt;=KONVERSI!$A$7,KONVERSI!$E$7,KONVERSI!$E$8))))</f>
        <v>Baik</v>
      </c>
      <c r="MX17" s="134" t="str">
        <f>IF(FI17&lt;$FN$4," "&amp;KONVERSI!$C$18&amp;INDEX($LY$8:$MR$8,MATCH(MV17,LY17:MR17,0))&amp;".",IF(KG17=0,"",IF(MV17&lt;&gt;0,MU17&amp;MW17&amp;".",MU17&amp;".")))</f>
        <v>Baik dalamjenis, sifat, karakter dan teknik pengolahan kerang, kaca, keramik dan botol plastikBaik.</v>
      </c>
      <c r="MY17" s="235" t="str">
        <f t="shared" si="261"/>
        <v>OK</v>
      </c>
      <c r="MZ17" s="235" t="str">
        <f t="shared" si="262"/>
        <v>NO</v>
      </c>
      <c r="NA17" s="235" t="str">
        <f t="shared" si="263"/>
        <v/>
      </c>
      <c r="NB17" s="235" t="str">
        <f t="shared" si="264"/>
        <v/>
      </c>
      <c r="NC17" s="235" t="str">
        <f t="shared" si="265"/>
        <v/>
      </c>
      <c r="ND17" s="235" t="str">
        <f t="shared" si="266"/>
        <v/>
      </c>
      <c r="NE17" s="235" t="str">
        <f t="shared" si="267"/>
        <v/>
      </c>
      <c r="NF17" s="235" t="str">
        <f t="shared" si="268"/>
        <v/>
      </c>
      <c r="NG17" s="235" t="str">
        <f t="shared" si="269"/>
        <v/>
      </c>
      <c r="NH17" s="235" t="str">
        <f t="shared" si="270"/>
        <v/>
      </c>
      <c r="NI17" s="235" t="str">
        <f t="shared" si="271"/>
        <v/>
      </c>
      <c r="NJ17" s="235" t="str">
        <f t="shared" si="272"/>
        <v/>
      </c>
      <c r="NK17" s="235" t="str">
        <f t="shared" si="273"/>
        <v/>
      </c>
      <c r="NL17" s="235" t="str">
        <f t="shared" si="274"/>
        <v/>
      </c>
      <c r="NM17" s="235" t="str">
        <f t="shared" si="275"/>
        <v/>
      </c>
      <c r="NN17" s="235" t="str">
        <f t="shared" si="276"/>
        <v/>
      </c>
      <c r="NO17" s="235" t="str">
        <f t="shared" si="277"/>
        <v/>
      </c>
      <c r="NP17" s="235" t="str">
        <f t="shared" si="278"/>
        <v/>
      </c>
      <c r="NQ17" s="235" t="str">
        <f t="shared" si="279"/>
        <v/>
      </c>
      <c r="NR17" s="235" t="str">
        <f t="shared" si="280"/>
        <v/>
      </c>
      <c r="NS17" s="134" t="str">
        <f t="shared" si="281"/>
        <v>jenis, sifat, karakter dan teknik pengolahan kerang, kaca, keramik dan botol plastik</v>
      </c>
      <c r="NT17" s="134" t="str">
        <f t="shared" si="282"/>
        <v/>
      </c>
      <c r="NU17" s="134" t="str">
        <f t="shared" si="283"/>
        <v/>
      </c>
      <c r="NV17" s="134" t="str">
        <f t="shared" si="284"/>
        <v/>
      </c>
      <c r="NW17" s="134" t="str">
        <f t="shared" si="285"/>
        <v/>
      </c>
      <c r="NX17" s="134" t="str">
        <f t="shared" si="286"/>
        <v/>
      </c>
      <c r="NY17" s="134" t="str">
        <f t="shared" si="287"/>
        <v/>
      </c>
      <c r="NZ17" s="134" t="str">
        <f t="shared" si="288"/>
        <v/>
      </c>
      <c r="OA17" s="134" t="str">
        <f t="shared" si="289"/>
        <v/>
      </c>
      <c r="OB17" s="134" t="str">
        <f t="shared" si="290"/>
        <v/>
      </c>
      <c r="OC17" s="134" t="str">
        <f t="shared" si="291"/>
        <v/>
      </c>
      <c r="OD17" s="134" t="str">
        <f t="shared" si="292"/>
        <v/>
      </c>
      <c r="OE17" s="134" t="str">
        <f t="shared" si="293"/>
        <v/>
      </c>
      <c r="OF17" s="134" t="str">
        <f t="shared" si="294"/>
        <v/>
      </c>
      <c r="OG17" s="134" t="str">
        <f t="shared" si="295"/>
        <v/>
      </c>
      <c r="OH17" s="134" t="str">
        <f t="shared" si="296"/>
        <v/>
      </c>
      <c r="OI17" s="134" t="str">
        <f t="shared" si="297"/>
        <v/>
      </c>
      <c r="OJ17" s="134" t="str">
        <f t="shared" si="298"/>
        <v/>
      </c>
      <c r="OK17" s="134" t="str">
        <f t="shared" si="299"/>
        <v/>
      </c>
      <c r="OL17" s="134" t="str">
        <f t="shared" si="300"/>
        <v/>
      </c>
      <c r="OM17" s="134" t="str">
        <f t="shared" si="301"/>
        <v>Baik dalam jenis, sifat, karakter dan teknik pengolahan kerang, kaca, keramik dan botol plastik</v>
      </c>
      <c r="ON17" s="134" t="str">
        <f t="shared" si="302"/>
        <v>Baik dalam jenis, sifat, karakter dan teknik pengolahan kerang, kaca, keramik dan botol plasti.  </v>
      </c>
      <c r="OO17" s="236">
        <f t="shared" si="169"/>
        <v>1</v>
      </c>
      <c r="OP17" s="235" t="str">
        <f t="shared" si="303"/>
        <v>NO</v>
      </c>
      <c r="OQ17" s="235" t="str">
        <f t="shared" si="304"/>
        <v>OK</v>
      </c>
      <c r="OR17" s="235" t="str">
        <f t="shared" si="305"/>
        <v/>
      </c>
      <c r="OS17" s="235" t="str">
        <f t="shared" si="306"/>
        <v/>
      </c>
      <c r="OT17" s="235" t="str">
        <f t="shared" si="307"/>
        <v/>
      </c>
      <c r="OU17" s="235" t="str">
        <f t="shared" si="308"/>
        <v/>
      </c>
      <c r="OV17" s="235" t="str">
        <f t="shared" si="309"/>
        <v/>
      </c>
      <c r="OW17" s="235" t="str">
        <f t="shared" si="310"/>
        <v/>
      </c>
      <c r="OX17" s="235" t="str">
        <f t="shared" si="311"/>
        <v/>
      </c>
      <c r="OY17" s="235" t="str">
        <f t="shared" si="312"/>
        <v/>
      </c>
      <c r="OZ17" s="235" t="str">
        <f t="shared" si="313"/>
        <v/>
      </c>
      <c r="PA17" s="235" t="str">
        <f t="shared" si="314"/>
        <v/>
      </c>
      <c r="PB17" s="235" t="str">
        <f t="shared" si="315"/>
        <v/>
      </c>
      <c r="PC17" s="235" t="str">
        <f t="shared" si="316"/>
        <v/>
      </c>
      <c r="PD17" s="235" t="str">
        <f t="shared" si="317"/>
        <v/>
      </c>
      <c r="PE17" s="235" t="str">
        <f t="shared" si="318"/>
        <v/>
      </c>
      <c r="PF17" s="235" t="str">
        <f t="shared" si="319"/>
        <v/>
      </c>
      <c r="PG17" s="235" t="str">
        <f t="shared" si="320"/>
        <v/>
      </c>
      <c r="PH17" s="235" t="str">
        <f t="shared" si="321"/>
        <v/>
      </c>
      <c r="PI17" s="235" t="str">
        <f t="shared" si="322"/>
        <v/>
      </c>
      <c r="PJ17" s="134" t="str">
        <f t="shared" si="323"/>
        <v/>
      </c>
      <c r="PK17" s="134" t="str">
        <f t="shared" si="324"/>
        <v>prinsip perancangan, pembuatan dan penyajian produk kerajinan kerang, kaca, keramik dan botol plastik yang kreatif dan inovatif</v>
      </c>
      <c r="PL17" s="134" t="str">
        <f t="shared" si="325"/>
        <v/>
      </c>
      <c r="PM17" s="134" t="str">
        <f t="shared" si="326"/>
        <v/>
      </c>
      <c r="PN17" s="134" t="str">
        <f t="shared" si="327"/>
        <v/>
      </c>
      <c r="PO17" s="134" t="str">
        <f t="shared" si="328"/>
        <v/>
      </c>
      <c r="PP17" s="134" t="str">
        <f t="shared" si="329"/>
        <v/>
      </c>
      <c r="PQ17" s="134" t="str">
        <f t="shared" si="330"/>
        <v/>
      </c>
      <c r="PR17" s="134" t="str">
        <f t="shared" si="331"/>
        <v/>
      </c>
      <c r="PS17" s="134" t="str">
        <f t="shared" si="332"/>
        <v/>
      </c>
      <c r="PT17" s="134" t="str">
        <f t="shared" si="333"/>
        <v/>
      </c>
      <c r="PU17" s="134" t="str">
        <f t="shared" si="334"/>
        <v/>
      </c>
      <c r="PV17" s="134" t="str">
        <f t="shared" si="335"/>
        <v/>
      </c>
      <c r="PW17" s="134" t="str">
        <f t="shared" si="336"/>
        <v/>
      </c>
      <c r="PX17" s="134" t="str">
        <f t="shared" si="337"/>
        <v/>
      </c>
      <c r="PY17" s="134" t="str">
        <f t="shared" si="338"/>
        <v/>
      </c>
      <c r="PZ17" s="134" t="str">
        <f t="shared" si="339"/>
        <v/>
      </c>
      <c r="QA17" s="134" t="str">
        <f t="shared" si="340"/>
        <v/>
      </c>
      <c r="QB17" s="134" t="str">
        <f t="shared" si="341"/>
        <v/>
      </c>
      <c r="QC17" s="134" t="str">
        <f t="shared" si="342"/>
        <v/>
      </c>
      <c r="QD17" s="134" t="str">
        <f>IF(MT17=MW17,"",IF(MV17="","",IF(MV17&gt;=KONVERSI!$A$7,'KI3'!MW17&amp;" dalam"&amp;PJ17&amp;PK17&amp;PL17&amp;PM17&amp;PN17&amp;PO17&amp;PP17&amp;PQ17&amp;PR17&amp;PS17&amp;PT17&amp;PU17&amp;PV17&amp;PW17&amp;PX17&amp;PY17&amp;PZ17&amp;QA17&amp;QB17&amp;QC17,KONVERSI!$C$18&amp;" dalam"&amp;PJ17&amp;PK17&amp;PL17&amp;PM17&amp;PN17&amp;PO17&amp;PP17&amp;PQ17&amp;PR17&amp;PS17&amp;PT17&amp;PU17&amp;PV17&amp;PW17&amp;PX17&amp;PY17&amp;PZ17&amp;QA17&amp;QB17&amp;QC17)))</f>
        <v/>
      </c>
      <c r="QE17" s="134" t="str">
        <f t="shared" si="343"/>
        <v/>
      </c>
      <c r="QF17" s="236">
        <f t="shared" si="172"/>
        <v>1</v>
      </c>
      <c r="QG17" s="134" t="str">
        <f t="shared" si="173"/>
        <v>Baik dalam jenis, sifat, karakter dan teknik pengolahan kerang, kaca, keramik dan botol plasti.  </v>
      </c>
    </row>
    <row r="18" ht="27.6" customHeight="1" spans="1:449">
      <c r="A18" s="136"/>
      <c r="B18" s="177">
        <v>10</v>
      </c>
      <c r="C18" s="178" t="str">
        <f>siswa!C14</f>
        <v>FAIZ ADLY</v>
      </c>
      <c r="D18" s="174">
        <f>siswa!D14</f>
        <v>2759</v>
      </c>
      <c r="E18" s="175">
        <v>84</v>
      </c>
      <c r="F18" s="175">
        <v>84</v>
      </c>
      <c r="G18" s="248"/>
      <c r="H18" s="176"/>
      <c r="I18" s="176"/>
      <c r="J18" s="175">
        <v>100</v>
      </c>
      <c r="K18" s="176"/>
      <c r="L18" s="223">
        <f t="shared" si="174"/>
        <v>90.4</v>
      </c>
      <c r="M18" s="250">
        <v>82</v>
      </c>
      <c r="N18" s="250">
        <v>88</v>
      </c>
      <c r="O18" s="248"/>
      <c r="P18" s="176"/>
      <c r="Q18" s="176"/>
      <c r="R18" s="250">
        <v>82</v>
      </c>
      <c r="S18" s="176"/>
      <c r="T18" s="223">
        <f t="shared" si="175"/>
        <v>83.8</v>
      </c>
      <c r="U18" s="248"/>
      <c r="V18" s="248"/>
      <c r="W18" s="248"/>
      <c r="X18" s="176"/>
      <c r="Y18" s="176"/>
      <c r="Z18" s="250"/>
      <c r="AA18" s="176"/>
      <c r="AB18" s="223">
        <f t="shared" si="176"/>
        <v>0</v>
      </c>
      <c r="AC18" s="248"/>
      <c r="AD18" s="248"/>
      <c r="AE18" s="248"/>
      <c r="AF18" s="248"/>
      <c r="AG18" s="176"/>
      <c r="AH18" s="250"/>
      <c r="AI18" s="176"/>
      <c r="AJ18" s="223">
        <f t="shared" si="177"/>
        <v>0</v>
      </c>
      <c r="AK18" s="181"/>
      <c r="AL18" s="176"/>
      <c r="AM18" s="176"/>
      <c r="AN18" s="176"/>
      <c r="AO18" s="176"/>
      <c r="AP18" s="176"/>
      <c r="AQ18" s="176"/>
      <c r="AR18" s="223">
        <f t="shared" si="178"/>
        <v>0</v>
      </c>
      <c r="AS18" s="181"/>
      <c r="AT18" s="176"/>
      <c r="AU18" s="176"/>
      <c r="AV18" s="176"/>
      <c r="AW18" s="176"/>
      <c r="AX18" s="176"/>
      <c r="AY18" s="176"/>
      <c r="AZ18" s="223">
        <f t="shared" si="179"/>
        <v>0</v>
      </c>
      <c r="BA18" s="181"/>
      <c r="BB18" s="176"/>
      <c r="BC18" s="176"/>
      <c r="BD18" s="176"/>
      <c r="BE18" s="176"/>
      <c r="BF18" s="176"/>
      <c r="BG18" s="176"/>
      <c r="BH18" s="223">
        <f t="shared" si="180"/>
        <v>0</v>
      </c>
      <c r="BI18" s="181"/>
      <c r="BJ18" s="176"/>
      <c r="BK18" s="176"/>
      <c r="BL18" s="176"/>
      <c r="BM18" s="176"/>
      <c r="BN18" s="176"/>
      <c r="BO18" s="176"/>
      <c r="BP18" s="223">
        <f t="shared" si="181"/>
        <v>0</v>
      </c>
      <c r="BQ18" s="181"/>
      <c r="BR18" s="176"/>
      <c r="BS18" s="176"/>
      <c r="BT18" s="176"/>
      <c r="BU18" s="176"/>
      <c r="BV18" s="176"/>
      <c r="BW18" s="176"/>
      <c r="BX18" s="223">
        <f t="shared" si="182"/>
        <v>0</v>
      </c>
      <c r="BY18" s="181"/>
      <c r="BZ18" s="176"/>
      <c r="CA18" s="176"/>
      <c r="CB18" s="176"/>
      <c r="CC18" s="176"/>
      <c r="CD18" s="176"/>
      <c r="CE18" s="176"/>
      <c r="CF18" s="223">
        <f t="shared" si="183"/>
        <v>0</v>
      </c>
      <c r="CG18" s="181"/>
      <c r="CH18" s="176"/>
      <c r="CI18" s="176"/>
      <c r="CJ18" s="176"/>
      <c r="CK18" s="176"/>
      <c r="CL18" s="176"/>
      <c r="CM18" s="176"/>
      <c r="CN18" s="223">
        <f t="shared" si="184"/>
        <v>0</v>
      </c>
      <c r="CO18" s="181"/>
      <c r="CP18" s="176"/>
      <c r="CQ18" s="176"/>
      <c r="CR18" s="176"/>
      <c r="CS18" s="176"/>
      <c r="CT18" s="176"/>
      <c r="CU18" s="176"/>
      <c r="CV18" s="223">
        <f t="shared" si="185"/>
        <v>0</v>
      </c>
      <c r="CW18" s="181"/>
      <c r="CX18" s="176"/>
      <c r="CY18" s="176"/>
      <c r="CZ18" s="176"/>
      <c r="DA18" s="176"/>
      <c r="DB18" s="176"/>
      <c r="DC18" s="176"/>
      <c r="DD18" s="223">
        <f t="shared" si="186"/>
        <v>0</v>
      </c>
      <c r="DE18" s="181"/>
      <c r="DF18" s="176"/>
      <c r="DG18" s="176"/>
      <c r="DH18" s="176"/>
      <c r="DI18" s="176"/>
      <c r="DJ18" s="176"/>
      <c r="DK18" s="176"/>
      <c r="DL18" s="223">
        <f t="shared" si="187"/>
        <v>0</v>
      </c>
      <c r="DM18" s="181"/>
      <c r="DN18" s="176"/>
      <c r="DO18" s="176"/>
      <c r="DP18" s="176"/>
      <c r="DQ18" s="176"/>
      <c r="DR18" s="176"/>
      <c r="DS18" s="176"/>
      <c r="DT18" s="223">
        <f t="shared" si="188"/>
        <v>0</v>
      </c>
      <c r="DU18" s="181"/>
      <c r="DV18" s="176"/>
      <c r="DW18" s="176"/>
      <c r="DX18" s="176"/>
      <c r="DY18" s="176"/>
      <c r="DZ18" s="176"/>
      <c r="EA18" s="176"/>
      <c r="EB18" s="223">
        <f t="shared" si="189"/>
        <v>0</v>
      </c>
      <c r="EC18" s="181"/>
      <c r="ED18" s="176"/>
      <c r="EE18" s="176"/>
      <c r="EF18" s="176"/>
      <c r="EG18" s="176"/>
      <c r="EH18" s="176"/>
      <c r="EI18" s="176"/>
      <c r="EJ18" s="223">
        <f t="shared" si="190"/>
        <v>0</v>
      </c>
      <c r="EK18" s="181"/>
      <c r="EL18" s="176"/>
      <c r="EM18" s="176"/>
      <c r="EN18" s="176"/>
      <c r="EO18" s="176"/>
      <c r="EP18" s="176"/>
      <c r="EQ18" s="176"/>
      <c r="ER18" s="223">
        <f t="shared" si="191"/>
        <v>0</v>
      </c>
      <c r="ES18" s="181"/>
      <c r="ET18" s="176"/>
      <c r="EU18" s="176"/>
      <c r="EV18" s="176"/>
      <c r="EW18" s="176"/>
      <c r="EX18" s="176"/>
      <c r="EY18" s="176"/>
      <c r="EZ18" s="223">
        <f t="shared" si="192"/>
        <v>0</v>
      </c>
      <c r="FA18" s="181"/>
      <c r="FB18" s="176"/>
      <c r="FC18" s="176"/>
      <c r="FD18" s="176"/>
      <c r="FE18" s="176"/>
      <c r="FF18" s="176"/>
      <c r="FG18" s="176"/>
      <c r="FH18" s="223">
        <f t="shared" si="193"/>
        <v>0</v>
      </c>
      <c r="FI18" s="291">
        <f t="shared" si="194"/>
        <v>87</v>
      </c>
      <c r="FJ18" s="250">
        <v>74</v>
      </c>
      <c r="FK18" s="250"/>
      <c r="FL18" s="291">
        <f t="shared" si="195"/>
        <v>83</v>
      </c>
      <c r="FM18" s="312" t="str">
        <f>IFERROR(IF(FL18="","",IF(FL18&gt;=KONVERSI!$A$5,KONVERSI!$D$5,IF(FL18&gt;=KONVERSI!$A$6,KONVERSI!$D$6,IF(FL18&gt;=KONVERSI!$A$7,KONVERSI!$D$7,KONVERSI!$D$8)))),"")</f>
        <v>B</v>
      </c>
      <c r="FN18" s="232" t="str">
        <f t="shared" si="196"/>
        <v>Tuntas</v>
      </c>
      <c r="FO18" s="313"/>
      <c r="FP18" s="314">
        <f t="shared" si="197"/>
        <v>84.5</v>
      </c>
      <c r="FQ18" s="194">
        <f t="shared" si="33"/>
        <v>84</v>
      </c>
      <c r="FR18" s="194">
        <f t="shared" si="34"/>
        <v>84</v>
      </c>
      <c r="FS18" s="194" t="str">
        <f t="shared" si="35"/>
        <v/>
      </c>
      <c r="FT18" s="194" t="str">
        <f t="shared" si="36"/>
        <v/>
      </c>
      <c r="FU18" s="194" t="str">
        <f t="shared" si="37"/>
        <v/>
      </c>
      <c r="FV18" s="194">
        <f t="shared" si="38"/>
        <v>90.4</v>
      </c>
      <c r="FW18" s="194">
        <f t="shared" si="39"/>
        <v>82</v>
      </c>
      <c r="FX18" s="194">
        <f t="shared" si="344"/>
        <v>88</v>
      </c>
      <c r="FY18" s="194" t="str">
        <f t="shared" si="40"/>
        <v/>
      </c>
      <c r="FZ18" s="194" t="str">
        <f t="shared" si="41"/>
        <v/>
      </c>
      <c r="GA18" s="194" t="str">
        <f t="shared" si="42"/>
        <v/>
      </c>
      <c r="GB18" s="194">
        <f t="shared" si="43"/>
        <v>83.8</v>
      </c>
      <c r="GC18" s="194" t="str">
        <f t="shared" si="44"/>
        <v/>
      </c>
      <c r="GD18" s="194" t="str">
        <f t="shared" si="45"/>
        <v/>
      </c>
      <c r="GE18" s="194" t="str">
        <f t="shared" si="46"/>
        <v/>
      </c>
      <c r="GF18" s="194" t="str">
        <f t="shared" si="47"/>
        <v/>
      </c>
      <c r="GG18" s="194" t="str">
        <f t="shared" si="48"/>
        <v/>
      </c>
      <c r="GH18" s="194" t="str">
        <f t="shared" si="49"/>
        <v/>
      </c>
      <c r="GI18" s="194" t="str">
        <f t="shared" si="50"/>
        <v/>
      </c>
      <c r="GJ18" s="194" t="str">
        <f t="shared" si="51"/>
        <v/>
      </c>
      <c r="GK18" s="194" t="str">
        <f t="shared" si="52"/>
        <v/>
      </c>
      <c r="GL18" s="194" t="str">
        <f t="shared" si="53"/>
        <v/>
      </c>
      <c r="GM18" s="194" t="str">
        <f t="shared" si="54"/>
        <v/>
      </c>
      <c r="GN18" s="194" t="str">
        <f t="shared" si="55"/>
        <v/>
      </c>
      <c r="GO18" s="194" t="str">
        <f t="shared" si="56"/>
        <v/>
      </c>
      <c r="GP18" s="194" t="str">
        <f t="shared" si="57"/>
        <v/>
      </c>
      <c r="GQ18" s="194" t="str">
        <f t="shared" si="58"/>
        <v/>
      </c>
      <c r="GR18" s="194" t="str">
        <f t="shared" si="59"/>
        <v/>
      </c>
      <c r="GS18" s="194" t="str">
        <f t="shared" si="60"/>
        <v/>
      </c>
      <c r="GT18" s="194" t="str">
        <f t="shared" si="61"/>
        <v/>
      </c>
      <c r="GU18" s="194" t="str">
        <f t="shared" si="62"/>
        <v/>
      </c>
      <c r="GV18" s="194" t="str">
        <f t="shared" si="63"/>
        <v/>
      </c>
      <c r="GW18" s="194" t="str">
        <f t="shared" si="64"/>
        <v/>
      </c>
      <c r="GX18" s="194" t="str">
        <f t="shared" si="65"/>
        <v/>
      </c>
      <c r="GY18" s="194" t="str">
        <f t="shared" si="66"/>
        <v/>
      </c>
      <c r="GZ18" s="194" t="str">
        <f t="shared" si="67"/>
        <v/>
      </c>
      <c r="HA18" s="194" t="str">
        <f t="shared" si="68"/>
        <v/>
      </c>
      <c r="HB18" s="194" t="str">
        <f t="shared" si="69"/>
        <v/>
      </c>
      <c r="HC18" s="194" t="str">
        <f t="shared" si="70"/>
        <v/>
      </c>
      <c r="HD18" s="194" t="str">
        <f t="shared" si="71"/>
        <v/>
      </c>
      <c r="HE18" s="194" t="str">
        <f t="shared" si="72"/>
        <v/>
      </c>
      <c r="HF18" s="194" t="str">
        <f t="shared" si="73"/>
        <v/>
      </c>
      <c r="HG18" s="194" t="str">
        <f t="shared" si="74"/>
        <v/>
      </c>
      <c r="HH18" s="194" t="str">
        <f t="shared" si="75"/>
        <v/>
      </c>
      <c r="HI18" s="194" t="str">
        <f t="shared" si="76"/>
        <v/>
      </c>
      <c r="HJ18" s="194" t="str">
        <f t="shared" si="77"/>
        <v/>
      </c>
      <c r="HK18" s="194" t="str">
        <f t="shared" si="78"/>
        <v/>
      </c>
      <c r="HL18" s="194" t="str">
        <f t="shared" si="79"/>
        <v/>
      </c>
      <c r="HM18" s="194" t="str">
        <f t="shared" si="80"/>
        <v/>
      </c>
      <c r="HN18" s="194" t="str">
        <f t="shared" si="81"/>
        <v/>
      </c>
      <c r="HO18" s="194" t="str">
        <f t="shared" si="82"/>
        <v/>
      </c>
      <c r="HP18" s="194" t="str">
        <f t="shared" si="83"/>
        <v/>
      </c>
      <c r="HQ18" s="194" t="str">
        <f t="shared" si="84"/>
        <v/>
      </c>
      <c r="HR18" s="194" t="str">
        <f t="shared" si="85"/>
        <v/>
      </c>
      <c r="HS18" s="194" t="str">
        <f t="shared" si="86"/>
        <v/>
      </c>
      <c r="HT18" s="194" t="str">
        <f t="shared" si="87"/>
        <v/>
      </c>
      <c r="HU18" s="194" t="str">
        <f t="shared" si="88"/>
        <v/>
      </c>
      <c r="HV18" s="194" t="str">
        <f t="shared" si="89"/>
        <v/>
      </c>
      <c r="HW18" s="194" t="str">
        <f t="shared" si="90"/>
        <v/>
      </c>
      <c r="HX18" s="194" t="str">
        <f t="shared" si="91"/>
        <v/>
      </c>
      <c r="HY18" s="194" t="str">
        <f t="shared" si="92"/>
        <v/>
      </c>
      <c r="HZ18" s="194" t="str">
        <f t="shared" si="93"/>
        <v/>
      </c>
      <c r="IA18" s="194" t="str">
        <f t="shared" si="94"/>
        <v/>
      </c>
      <c r="IB18" s="194" t="str">
        <f t="shared" si="95"/>
        <v/>
      </c>
      <c r="IC18" s="194" t="str">
        <f t="shared" si="96"/>
        <v/>
      </c>
      <c r="ID18" s="194" t="str">
        <f t="shared" si="97"/>
        <v/>
      </c>
      <c r="IE18" s="194" t="str">
        <f t="shared" si="98"/>
        <v/>
      </c>
      <c r="IF18" s="194" t="str">
        <f t="shared" si="99"/>
        <v/>
      </c>
      <c r="IG18" s="194" t="str">
        <f t="shared" si="100"/>
        <v/>
      </c>
      <c r="IH18" s="194" t="str">
        <f t="shared" si="101"/>
        <v/>
      </c>
      <c r="II18" s="194" t="str">
        <f t="shared" si="102"/>
        <v/>
      </c>
      <c r="IJ18" s="194" t="str">
        <f t="shared" si="103"/>
        <v/>
      </c>
      <c r="IK18" s="194" t="str">
        <f t="shared" si="104"/>
        <v/>
      </c>
      <c r="IL18" s="194" t="str">
        <f t="shared" si="105"/>
        <v/>
      </c>
      <c r="IM18" s="194" t="str">
        <f t="shared" si="106"/>
        <v/>
      </c>
      <c r="IN18" s="194" t="str">
        <f t="shared" si="107"/>
        <v/>
      </c>
      <c r="IO18" s="194" t="str">
        <f t="shared" si="108"/>
        <v/>
      </c>
      <c r="IP18" s="194" t="str">
        <f t="shared" si="109"/>
        <v/>
      </c>
      <c r="IQ18" s="194" t="str">
        <f t="shared" si="110"/>
        <v/>
      </c>
      <c r="IR18" s="194" t="str">
        <f t="shared" si="111"/>
        <v/>
      </c>
      <c r="IS18" s="194" t="str">
        <f t="shared" si="112"/>
        <v/>
      </c>
      <c r="IT18" s="194" t="str">
        <f t="shared" si="113"/>
        <v/>
      </c>
      <c r="IU18" s="194" t="str">
        <f t="shared" si="114"/>
        <v/>
      </c>
      <c r="IV18" s="194" t="str">
        <f t="shared" si="115"/>
        <v/>
      </c>
      <c r="IW18" s="194" t="str">
        <f t="shared" si="116"/>
        <v/>
      </c>
      <c r="IX18" s="194" t="str">
        <f t="shared" si="117"/>
        <v/>
      </c>
      <c r="IY18" s="194" t="str">
        <f t="shared" si="118"/>
        <v/>
      </c>
      <c r="IZ18" s="194" t="str">
        <f t="shared" si="119"/>
        <v/>
      </c>
      <c r="JA18" s="194" t="str">
        <f t="shared" si="120"/>
        <v/>
      </c>
      <c r="JB18" s="194" t="str">
        <f t="shared" si="121"/>
        <v/>
      </c>
      <c r="JC18" s="194" t="str">
        <f t="shared" si="122"/>
        <v/>
      </c>
      <c r="JD18" s="194" t="str">
        <f t="shared" si="123"/>
        <v/>
      </c>
      <c r="JE18" s="194" t="str">
        <f t="shared" si="124"/>
        <v/>
      </c>
      <c r="JF18" s="194" t="str">
        <f t="shared" si="125"/>
        <v/>
      </c>
      <c r="JG18" s="194" t="str">
        <f t="shared" si="126"/>
        <v/>
      </c>
      <c r="JH18" s="194" t="str">
        <f t="shared" si="127"/>
        <v/>
      </c>
      <c r="JI18" s="194" t="str">
        <f t="shared" si="128"/>
        <v/>
      </c>
      <c r="JJ18" s="194" t="str">
        <f t="shared" si="129"/>
        <v/>
      </c>
      <c r="JK18" s="194" t="str">
        <f t="shared" si="130"/>
        <v/>
      </c>
      <c r="JL18" s="194" t="str">
        <f t="shared" si="131"/>
        <v/>
      </c>
      <c r="JM18" s="194" t="str">
        <f t="shared" si="132"/>
        <v/>
      </c>
      <c r="JN18" s="194" t="str">
        <f t="shared" si="133"/>
        <v/>
      </c>
      <c r="JO18" s="194" t="str">
        <f t="shared" si="134"/>
        <v/>
      </c>
      <c r="JP18" s="194" t="str">
        <f t="shared" si="135"/>
        <v/>
      </c>
      <c r="JQ18" s="194" t="str">
        <f t="shared" si="136"/>
        <v/>
      </c>
      <c r="JR18" s="194" t="str">
        <f t="shared" si="137"/>
        <v/>
      </c>
      <c r="JS18" s="194" t="str">
        <f t="shared" si="138"/>
        <v/>
      </c>
      <c r="JT18" s="194" t="str">
        <f t="shared" si="139"/>
        <v/>
      </c>
      <c r="JU18" s="194" t="str">
        <f t="shared" si="140"/>
        <v/>
      </c>
      <c r="JV18" s="194" t="str">
        <f t="shared" si="141"/>
        <v/>
      </c>
      <c r="JW18" s="194" t="str">
        <f t="shared" si="142"/>
        <v/>
      </c>
      <c r="JX18" s="194" t="str">
        <f t="shared" si="143"/>
        <v/>
      </c>
      <c r="JY18" s="194" t="str">
        <f t="shared" si="144"/>
        <v/>
      </c>
      <c r="JZ18" s="194" t="str">
        <f t="shared" si="145"/>
        <v/>
      </c>
      <c r="KA18" s="194" t="str">
        <f t="shared" si="146"/>
        <v/>
      </c>
      <c r="KB18" s="194" t="str">
        <f t="shared" si="147"/>
        <v/>
      </c>
      <c r="KC18" s="194" t="str">
        <f t="shared" si="148"/>
        <v/>
      </c>
      <c r="KD18" s="194" t="str">
        <f t="shared" si="149"/>
        <v/>
      </c>
      <c r="KE18" s="194" t="str">
        <f t="shared" si="150"/>
        <v/>
      </c>
      <c r="KF18" s="194" t="str">
        <f t="shared" si="151"/>
        <v/>
      </c>
      <c r="KG18" s="194">
        <f>SUM(LE18:LX18)/COUNTA(RefKI3KI4!$B$5:$B$24)</f>
        <v>87.1</v>
      </c>
      <c r="KH18" s="232">
        <f t="shared" si="198"/>
        <v>0</v>
      </c>
      <c r="KI18" s="340" t="str">
        <f t="shared" si="199"/>
        <v>ok</v>
      </c>
      <c r="KJ18" s="340" t="str">
        <f t="shared" si="200"/>
        <v>ok</v>
      </c>
      <c r="KK18" s="340" t="str">
        <f t="shared" si="201"/>
        <v/>
      </c>
      <c r="KL18" s="340" t="str">
        <f t="shared" si="202"/>
        <v/>
      </c>
      <c r="KM18" s="340" t="str">
        <f t="shared" si="203"/>
        <v/>
      </c>
      <c r="KN18" s="340" t="str">
        <f t="shared" si="204"/>
        <v/>
      </c>
      <c r="KO18" s="340" t="str">
        <f t="shared" si="205"/>
        <v/>
      </c>
      <c r="KP18" s="340" t="str">
        <f t="shared" si="206"/>
        <v/>
      </c>
      <c r="KQ18" s="340" t="str">
        <f t="shared" si="207"/>
        <v/>
      </c>
      <c r="KR18" s="340" t="str">
        <f t="shared" si="208"/>
        <v/>
      </c>
      <c r="KS18" s="340" t="str">
        <f t="shared" si="209"/>
        <v/>
      </c>
      <c r="KT18" s="340" t="str">
        <f t="shared" si="210"/>
        <v/>
      </c>
      <c r="KU18" s="340" t="str">
        <f t="shared" si="211"/>
        <v/>
      </c>
      <c r="KV18" s="340" t="str">
        <f t="shared" si="212"/>
        <v/>
      </c>
      <c r="KW18" s="340" t="str">
        <f t="shared" si="213"/>
        <v/>
      </c>
      <c r="KX18" s="340" t="str">
        <f t="shared" si="214"/>
        <v/>
      </c>
      <c r="KY18" s="340" t="str">
        <f t="shared" si="215"/>
        <v/>
      </c>
      <c r="KZ18" s="340" t="str">
        <f t="shared" si="216"/>
        <v/>
      </c>
      <c r="LA18" s="340" t="str">
        <f t="shared" si="217"/>
        <v/>
      </c>
      <c r="LB18" s="340" t="str">
        <f t="shared" si="218"/>
        <v/>
      </c>
      <c r="LC18" s="340">
        <f t="shared" si="219"/>
        <v>0</v>
      </c>
      <c r="LD18" s="228">
        <v>10</v>
      </c>
      <c r="LE18" s="229">
        <f t="shared" si="220"/>
        <v>90.4</v>
      </c>
      <c r="LF18" s="229">
        <f t="shared" si="221"/>
        <v>83.8</v>
      </c>
      <c r="LG18" s="229" t="str">
        <f t="shared" si="222"/>
        <v/>
      </c>
      <c r="LH18" s="229" t="str">
        <f t="shared" si="223"/>
        <v/>
      </c>
      <c r="LI18" s="229" t="str">
        <f t="shared" si="224"/>
        <v/>
      </c>
      <c r="LJ18" s="229" t="str">
        <f t="shared" si="225"/>
        <v/>
      </c>
      <c r="LK18" s="229" t="str">
        <f t="shared" si="226"/>
        <v/>
      </c>
      <c r="LL18" s="229" t="str">
        <f t="shared" si="227"/>
        <v/>
      </c>
      <c r="LM18" s="229" t="str">
        <f t="shared" si="228"/>
        <v/>
      </c>
      <c r="LN18" s="229" t="str">
        <f t="shared" si="229"/>
        <v/>
      </c>
      <c r="LO18" s="229" t="str">
        <f t="shared" si="230"/>
        <v/>
      </c>
      <c r="LP18" s="229" t="str">
        <f t="shared" si="231"/>
        <v/>
      </c>
      <c r="LQ18" s="229" t="str">
        <f t="shared" si="232"/>
        <v/>
      </c>
      <c r="LR18" s="229" t="str">
        <f t="shared" si="233"/>
        <v/>
      </c>
      <c r="LS18" s="229" t="str">
        <f t="shared" si="234"/>
        <v/>
      </c>
      <c r="LT18" s="229" t="str">
        <f t="shared" si="235"/>
        <v/>
      </c>
      <c r="LU18" s="229" t="str">
        <f t="shared" si="236"/>
        <v/>
      </c>
      <c r="LV18" s="229" t="str">
        <f t="shared" si="237"/>
        <v/>
      </c>
      <c r="LW18" s="229" t="str">
        <f t="shared" si="238"/>
        <v/>
      </c>
      <c r="LX18" s="229" t="str">
        <f t="shared" si="239"/>
        <v/>
      </c>
      <c r="LY18" s="231">
        <f t="shared" si="240"/>
        <v>90.4</v>
      </c>
      <c r="LZ18" s="231">
        <f t="shared" si="241"/>
        <v>83.8</v>
      </c>
      <c r="MA18" s="231" t="str">
        <f t="shared" si="242"/>
        <v/>
      </c>
      <c r="MB18" s="231" t="str">
        <f t="shared" si="243"/>
        <v/>
      </c>
      <c r="MC18" s="231" t="str">
        <f t="shared" si="244"/>
        <v/>
      </c>
      <c r="MD18" s="231" t="str">
        <f t="shared" si="245"/>
        <v/>
      </c>
      <c r="ME18" s="231" t="str">
        <f t="shared" si="246"/>
        <v/>
      </c>
      <c r="MF18" s="231" t="str">
        <f t="shared" si="247"/>
        <v/>
      </c>
      <c r="MG18" s="231" t="str">
        <f t="shared" si="248"/>
        <v/>
      </c>
      <c r="MH18" s="231" t="str">
        <f t="shared" si="249"/>
        <v/>
      </c>
      <c r="MI18" s="231" t="str">
        <f t="shared" si="250"/>
        <v/>
      </c>
      <c r="MJ18" s="231" t="str">
        <f t="shared" si="251"/>
        <v/>
      </c>
      <c r="MK18" s="231" t="str">
        <f t="shared" si="252"/>
        <v/>
      </c>
      <c r="ML18" s="231" t="str">
        <f t="shared" si="253"/>
        <v/>
      </c>
      <c r="MM18" s="231" t="str">
        <f t="shared" si="254"/>
        <v/>
      </c>
      <c r="MN18" s="231" t="str">
        <f t="shared" si="255"/>
        <v/>
      </c>
      <c r="MO18" s="231" t="str">
        <f t="shared" si="256"/>
        <v/>
      </c>
      <c r="MP18" s="231" t="str">
        <f t="shared" si="257"/>
        <v/>
      </c>
      <c r="MQ18" s="231" t="str">
        <f t="shared" si="258"/>
        <v/>
      </c>
      <c r="MR18" s="231" t="str">
        <f t="shared" si="259"/>
        <v/>
      </c>
      <c r="MS18" s="231">
        <f t="shared" si="154"/>
        <v>90.4</v>
      </c>
      <c r="MT18" s="232" t="str">
        <f>IF(MS18="","",IF(MS18&gt;=KONVERSI!$A$5,KONVERSI!$E$5,IF(MS18&gt;=KONVERSI!$A$6,KONVERSI!$E$6,IF(MS18&gt;=KONVERSI!$A$7,KONVERSI!$E$7,KONVERSI!$E$8))))</f>
        <v>Baik</v>
      </c>
      <c r="MU18" s="233" t="str">
        <f t="shared" si="155"/>
        <v>Baik dalamjenis, sifat, karakter dan teknik pengolahan kerang, kaca, keramik dan botol plastik</v>
      </c>
      <c r="MV18" s="234">
        <f t="shared" si="260"/>
        <v>83.8</v>
      </c>
      <c r="MW18" s="232" t="str">
        <f>IF(MV18="","",IF(MV18&gt;=KONVERSI!$A$5,KONVERSI!$E$5,IF(MV18&gt;=KONVERSI!$A$6,KONVERSI!$E$6,IF(MV18&gt;=KONVERSI!$A$7,KONVERSI!$E$7,KONVERSI!$E$8))))</f>
        <v>Baik</v>
      </c>
      <c r="MX18" s="134" t="str">
        <f>IF(FI18&lt;$FN$4," "&amp;KONVERSI!$C$18&amp;INDEX($LY$8:$MR$8,MATCH(MV18,LY18:MR18,0))&amp;".",IF(KG18=0,"",IF(MV18&lt;&gt;0,MU18&amp;MW18&amp;".",MU18&amp;".")))</f>
        <v>Baik dalamjenis, sifat, karakter dan teknik pengolahan kerang, kaca, keramik dan botol plastikBaik.</v>
      </c>
      <c r="MY18" s="235" t="str">
        <f t="shared" si="261"/>
        <v>OK</v>
      </c>
      <c r="MZ18" s="235" t="str">
        <f t="shared" si="262"/>
        <v>NO</v>
      </c>
      <c r="NA18" s="235" t="str">
        <f t="shared" si="263"/>
        <v/>
      </c>
      <c r="NB18" s="235" t="str">
        <f t="shared" si="264"/>
        <v/>
      </c>
      <c r="NC18" s="235" t="str">
        <f t="shared" si="265"/>
        <v/>
      </c>
      <c r="ND18" s="235" t="str">
        <f t="shared" si="266"/>
        <v/>
      </c>
      <c r="NE18" s="235" t="str">
        <f t="shared" si="267"/>
        <v/>
      </c>
      <c r="NF18" s="235" t="str">
        <f t="shared" si="268"/>
        <v/>
      </c>
      <c r="NG18" s="235" t="str">
        <f t="shared" si="269"/>
        <v/>
      </c>
      <c r="NH18" s="235" t="str">
        <f t="shared" si="270"/>
        <v/>
      </c>
      <c r="NI18" s="235" t="str">
        <f t="shared" si="271"/>
        <v/>
      </c>
      <c r="NJ18" s="235" t="str">
        <f t="shared" si="272"/>
        <v/>
      </c>
      <c r="NK18" s="235" t="str">
        <f t="shared" si="273"/>
        <v/>
      </c>
      <c r="NL18" s="235" t="str">
        <f t="shared" si="274"/>
        <v/>
      </c>
      <c r="NM18" s="235" t="str">
        <f t="shared" si="275"/>
        <v/>
      </c>
      <c r="NN18" s="235" t="str">
        <f t="shared" si="276"/>
        <v/>
      </c>
      <c r="NO18" s="235" t="str">
        <f t="shared" si="277"/>
        <v/>
      </c>
      <c r="NP18" s="235" t="str">
        <f t="shared" si="278"/>
        <v/>
      </c>
      <c r="NQ18" s="235" t="str">
        <f t="shared" si="279"/>
        <v/>
      </c>
      <c r="NR18" s="235" t="str">
        <f t="shared" si="280"/>
        <v/>
      </c>
      <c r="NS18" s="134" t="str">
        <f t="shared" si="281"/>
        <v>jenis, sifat, karakter dan teknik pengolahan kerang, kaca, keramik dan botol plastik</v>
      </c>
      <c r="NT18" s="134" t="str">
        <f t="shared" si="282"/>
        <v/>
      </c>
      <c r="NU18" s="134" t="str">
        <f t="shared" si="283"/>
        <v/>
      </c>
      <c r="NV18" s="134" t="str">
        <f t="shared" si="284"/>
        <v/>
      </c>
      <c r="NW18" s="134" t="str">
        <f t="shared" si="285"/>
        <v/>
      </c>
      <c r="NX18" s="134" t="str">
        <f t="shared" si="286"/>
        <v/>
      </c>
      <c r="NY18" s="134" t="str">
        <f t="shared" si="287"/>
        <v/>
      </c>
      <c r="NZ18" s="134" t="str">
        <f t="shared" si="288"/>
        <v/>
      </c>
      <c r="OA18" s="134" t="str">
        <f t="shared" si="289"/>
        <v/>
      </c>
      <c r="OB18" s="134" t="str">
        <f t="shared" si="290"/>
        <v/>
      </c>
      <c r="OC18" s="134" t="str">
        <f t="shared" si="291"/>
        <v/>
      </c>
      <c r="OD18" s="134" t="str">
        <f t="shared" si="292"/>
        <v/>
      </c>
      <c r="OE18" s="134" t="str">
        <f t="shared" si="293"/>
        <v/>
      </c>
      <c r="OF18" s="134" t="str">
        <f t="shared" si="294"/>
        <v/>
      </c>
      <c r="OG18" s="134" t="str">
        <f t="shared" si="295"/>
        <v/>
      </c>
      <c r="OH18" s="134" t="str">
        <f t="shared" si="296"/>
        <v/>
      </c>
      <c r="OI18" s="134" t="str">
        <f t="shared" si="297"/>
        <v/>
      </c>
      <c r="OJ18" s="134" t="str">
        <f t="shared" si="298"/>
        <v/>
      </c>
      <c r="OK18" s="134" t="str">
        <f t="shared" si="299"/>
        <v/>
      </c>
      <c r="OL18" s="134" t="str">
        <f t="shared" si="300"/>
        <v/>
      </c>
      <c r="OM18" s="134" t="str">
        <f t="shared" si="301"/>
        <v>Baik dalam jenis, sifat, karakter dan teknik pengolahan kerang, kaca, keramik dan botol plastik</v>
      </c>
      <c r="ON18" s="134" t="str">
        <f t="shared" si="302"/>
        <v>Baik dalam jenis, sifat, karakter dan teknik pengolahan kerang, kaca, keramik dan botol plasti.  </v>
      </c>
      <c r="OO18" s="236">
        <f t="shared" si="169"/>
        <v>1</v>
      </c>
      <c r="OP18" s="235" t="str">
        <f t="shared" si="303"/>
        <v>NO</v>
      </c>
      <c r="OQ18" s="235" t="str">
        <f t="shared" si="304"/>
        <v>OK</v>
      </c>
      <c r="OR18" s="235" t="str">
        <f t="shared" si="305"/>
        <v/>
      </c>
      <c r="OS18" s="235" t="str">
        <f t="shared" si="306"/>
        <v/>
      </c>
      <c r="OT18" s="235" t="str">
        <f t="shared" si="307"/>
        <v/>
      </c>
      <c r="OU18" s="235" t="str">
        <f t="shared" si="308"/>
        <v/>
      </c>
      <c r="OV18" s="235" t="str">
        <f t="shared" si="309"/>
        <v/>
      </c>
      <c r="OW18" s="235" t="str">
        <f t="shared" si="310"/>
        <v/>
      </c>
      <c r="OX18" s="235" t="str">
        <f t="shared" si="311"/>
        <v/>
      </c>
      <c r="OY18" s="235" t="str">
        <f t="shared" si="312"/>
        <v/>
      </c>
      <c r="OZ18" s="235" t="str">
        <f t="shared" si="313"/>
        <v/>
      </c>
      <c r="PA18" s="235" t="str">
        <f t="shared" si="314"/>
        <v/>
      </c>
      <c r="PB18" s="235" t="str">
        <f t="shared" si="315"/>
        <v/>
      </c>
      <c r="PC18" s="235" t="str">
        <f t="shared" si="316"/>
        <v/>
      </c>
      <c r="PD18" s="235" t="str">
        <f t="shared" si="317"/>
        <v/>
      </c>
      <c r="PE18" s="235" t="str">
        <f t="shared" si="318"/>
        <v/>
      </c>
      <c r="PF18" s="235" t="str">
        <f t="shared" si="319"/>
        <v/>
      </c>
      <c r="PG18" s="235" t="str">
        <f t="shared" si="320"/>
        <v/>
      </c>
      <c r="PH18" s="235" t="str">
        <f t="shared" si="321"/>
        <v/>
      </c>
      <c r="PI18" s="235" t="str">
        <f t="shared" si="322"/>
        <v/>
      </c>
      <c r="PJ18" s="134" t="str">
        <f t="shared" si="323"/>
        <v/>
      </c>
      <c r="PK18" s="134" t="str">
        <f t="shared" si="324"/>
        <v>prinsip perancangan, pembuatan dan penyajian produk kerajinan kerang, kaca, keramik dan botol plastik yang kreatif dan inovatif</v>
      </c>
      <c r="PL18" s="134" t="str">
        <f t="shared" si="325"/>
        <v/>
      </c>
      <c r="PM18" s="134" t="str">
        <f t="shared" si="326"/>
        <v/>
      </c>
      <c r="PN18" s="134" t="str">
        <f t="shared" si="327"/>
        <v/>
      </c>
      <c r="PO18" s="134" t="str">
        <f t="shared" si="328"/>
        <v/>
      </c>
      <c r="PP18" s="134" t="str">
        <f t="shared" si="329"/>
        <v/>
      </c>
      <c r="PQ18" s="134" t="str">
        <f t="shared" si="330"/>
        <v/>
      </c>
      <c r="PR18" s="134" t="str">
        <f t="shared" si="331"/>
        <v/>
      </c>
      <c r="PS18" s="134" t="str">
        <f t="shared" si="332"/>
        <v/>
      </c>
      <c r="PT18" s="134" t="str">
        <f t="shared" si="333"/>
        <v/>
      </c>
      <c r="PU18" s="134" t="str">
        <f t="shared" si="334"/>
        <v/>
      </c>
      <c r="PV18" s="134" t="str">
        <f t="shared" si="335"/>
        <v/>
      </c>
      <c r="PW18" s="134" t="str">
        <f t="shared" si="336"/>
        <v/>
      </c>
      <c r="PX18" s="134" t="str">
        <f t="shared" si="337"/>
        <v/>
      </c>
      <c r="PY18" s="134" t="str">
        <f t="shared" si="338"/>
        <v/>
      </c>
      <c r="PZ18" s="134" t="str">
        <f t="shared" si="339"/>
        <v/>
      </c>
      <c r="QA18" s="134" t="str">
        <f t="shared" si="340"/>
        <v/>
      </c>
      <c r="QB18" s="134" t="str">
        <f t="shared" si="341"/>
        <v/>
      </c>
      <c r="QC18" s="134" t="str">
        <f t="shared" si="342"/>
        <v/>
      </c>
      <c r="QD18" s="134" t="str">
        <f>IF(MT18=MW18,"",IF(MV18="","",IF(MV18&gt;=KONVERSI!$A$7,'KI3'!MW18&amp;" dalam"&amp;PJ18&amp;PK18&amp;PL18&amp;PM18&amp;PN18&amp;PO18&amp;PP18&amp;PQ18&amp;PR18&amp;PS18&amp;PT18&amp;PU18&amp;PV18&amp;PW18&amp;PX18&amp;PY18&amp;PZ18&amp;QA18&amp;QB18&amp;QC18,KONVERSI!$C$18&amp;" dalam"&amp;PJ18&amp;PK18&amp;PL18&amp;PM18&amp;PN18&amp;PO18&amp;PP18&amp;PQ18&amp;PR18&amp;PS18&amp;PT18&amp;PU18&amp;PV18&amp;PW18&amp;PX18&amp;PY18&amp;PZ18&amp;QA18&amp;QB18&amp;QC18)))</f>
        <v/>
      </c>
      <c r="QE18" s="134" t="str">
        <f t="shared" si="343"/>
        <v/>
      </c>
      <c r="QF18" s="236">
        <f t="shared" si="172"/>
        <v>1</v>
      </c>
      <c r="QG18" s="134" t="str">
        <f t="shared" si="173"/>
        <v>Baik dalam jenis, sifat, karakter dan teknik pengolahan kerang, kaca, keramik dan botol plasti.  </v>
      </c>
    </row>
    <row r="19" ht="27.6" customHeight="1" spans="1:449">
      <c r="A19" s="136"/>
      <c r="B19" s="177">
        <v>11</v>
      </c>
      <c r="C19" s="178" t="str">
        <f>siswa!C15</f>
        <v>GEBRIEL ALFARO VIQINZO SIAHAAN</v>
      </c>
      <c r="D19" s="174">
        <f>siswa!D15</f>
        <v>2766</v>
      </c>
      <c r="E19" s="175">
        <v>84</v>
      </c>
      <c r="F19" s="175">
        <v>84</v>
      </c>
      <c r="G19" s="248"/>
      <c r="H19" s="176"/>
      <c r="I19" s="176"/>
      <c r="J19" s="175">
        <v>88</v>
      </c>
      <c r="K19" s="176"/>
      <c r="L19" s="223">
        <f t="shared" si="174"/>
        <v>85.6</v>
      </c>
      <c r="M19" s="250">
        <v>84</v>
      </c>
      <c r="N19" s="250">
        <v>84</v>
      </c>
      <c r="O19" s="248"/>
      <c r="P19" s="176"/>
      <c r="Q19" s="176"/>
      <c r="R19" s="250">
        <v>84</v>
      </c>
      <c r="S19" s="176"/>
      <c r="T19" s="223">
        <f t="shared" si="175"/>
        <v>84</v>
      </c>
      <c r="U19" s="248"/>
      <c r="V19" s="248"/>
      <c r="W19" s="248"/>
      <c r="X19" s="176"/>
      <c r="Y19" s="176"/>
      <c r="Z19" s="250"/>
      <c r="AA19" s="176"/>
      <c r="AB19" s="223">
        <f t="shared" si="176"/>
        <v>0</v>
      </c>
      <c r="AC19" s="248"/>
      <c r="AD19" s="248"/>
      <c r="AE19" s="248"/>
      <c r="AF19" s="248"/>
      <c r="AG19" s="176"/>
      <c r="AH19" s="250"/>
      <c r="AI19" s="176"/>
      <c r="AJ19" s="223">
        <f t="shared" si="177"/>
        <v>0</v>
      </c>
      <c r="AK19" s="181"/>
      <c r="AL19" s="176"/>
      <c r="AM19" s="176"/>
      <c r="AN19" s="176"/>
      <c r="AO19" s="176"/>
      <c r="AP19" s="176"/>
      <c r="AQ19" s="176"/>
      <c r="AR19" s="223">
        <f t="shared" si="178"/>
        <v>0</v>
      </c>
      <c r="AS19" s="181"/>
      <c r="AT19" s="176"/>
      <c r="AU19" s="176"/>
      <c r="AV19" s="176"/>
      <c r="AW19" s="176"/>
      <c r="AX19" s="176"/>
      <c r="AY19" s="176"/>
      <c r="AZ19" s="223">
        <f t="shared" si="179"/>
        <v>0</v>
      </c>
      <c r="BA19" s="181"/>
      <c r="BB19" s="176"/>
      <c r="BC19" s="176"/>
      <c r="BD19" s="176"/>
      <c r="BE19" s="176"/>
      <c r="BF19" s="176"/>
      <c r="BG19" s="176"/>
      <c r="BH19" s="223">
        <f t="shared" si="180"/>
        <v>0</v>
      </c>
      <c r="BI19" s="181"/>
      <c r="BJ19" s="176"/>
      <c r="BK19" s="176"/>
      <c r="BL19" s="176"/>
      <c r="BM19" s="176"/>
      <c r="BN19" s="176"/>
      <c r="BO19" s="176"/>
      <c r="BP19" s="223">
        <f t="shared" si="181"/>
        <v>0</v>
      </c>
      <c r="BQ19" s="181"/>
      <c r="BR19" s="176"/>
      <c r="BS19" s="176"/>
      <c r="BT19" s="176"/>
      <c r="BU19" s="176"/>
      <c r="BV19" s="176"/>
      <c r="BW19" s="176"/>
      <c r="BX19" s="223">
        <f t="shared" si="182"/>
        <v>0</v>
      </c>
      <c r="BY19" s="181"/>
      <c r="BZ19" s="176"/>
      <c r="CA19" s="176"/>
      <c r="CB19" s="176"/>
      <c r="CC19" s="176"/>
      <c r="CD19" s="176"/>
      <c r="CE19" s="176"/>
      <c r="CF19" s="223">
        <f t="shared" si="183"/>
        <v>0</v>
      </c>
      <c r="CG19" s="181"/>
      <c r="CH19" s="176"/>
      <c r="CI19" s="176"/>
      <c r="CJ19" s="176"/>
      <c r="CK19" s="176"/>
      <c r="CL19" s="176"/>
      <c r="CM19" s="176"/>
      <c r="CN19" s="223">
        <f t="shared" si="184"/>
        <v>0</v>
      </c>
      <c r="CO19" s="181"/>
      <c r="CP19" s="176"/>
      <c r="CQ19" s="176"/>
      <c r="CR19" s="176"/>
      <c r="CS19" s="176"/>
      <c r="CT19" s="176"/>
      <c r="CU19" s="176"/>
      <c r="CV19" s="223">
        <f t="shared" si="185"/>
        <v>0</v>
      </c>
      <c r="CW19" s="181"/>
      <c r="CX19" s="176"/>
      <c r="CY19" s="176"/>
      <c r="CZ19" s="176"/>
      <c r="DA19" s="176"/>
      <c r="DB19" s="176"/>
      <c r="DC19" s="176"/>
      <c r="DD19" s="223">
        <f t="shared" si="186"/>
        <v>0</v>
      </c>
      <c r="DE19" s="181"/>
      <c r="DF19" s="176"/>
      <c r="DG19" s="176"/>
      <c r="DH19" s="176"/>
      <c r="DI19" s="176"/>
      <c r="DJ19" s="176"/>
      <c r="DK19" s="176"/>
      <c r="DL19" s="223">
        <f t="shared" si="187"/>
        <v>0</v>
      </c>
      <c r="DM19" s="181"/>
      <c r="DN19" s="176"/>
      <c r="DO19" s="176"/>
      <c r="DP19" s="176"/>
      <c r="DQ19" s="176"/>
      <c r="DR19" s="176"/>
      <c r="DS19" s="176"/>
      <c r="DT19" s="223">
        <f t="shared" si="188"/>
        <v>0</v>
      </c>
      <c r="DU19" s="181"/>
      <c r="DV19" s="176"/>
      <c r="DW19" s="176"/>
      <c r="DX19" s="176"/>
      <c r="DY19" s="176"/>
      <c r="DZ19" s="176"/>
      <c r="EA19" s="176"/>
      <c r="EB19" s="223">
        <f t="shared" si="189"/>
        <v>0</v>
      </c>
      <c r="EC19" s="181"/>
      <c r="ED19" s="176"/>
      <c r="EE19" s="176"/>
      <c r="EF19" s="176"/>
      <c r="EG19" s="176"/>
      <c r="EH19" s="176"/>
      <c r="EI19" s="176"/>
      <c r="EJ19" s="223">
        <f t="shared" si="190"/>
        <v>0</v>
      </c>
      <c r="EK19" s="181"/>
      <c r="EL19" s="176"/>
      <c r="EM19" s="176"/>
      <c r="EN19" s="176"/>
      <c r="EO19" s="176"/>
      <c r="EP19" s="176"/>
      <c r="EQ19" s="176"/>
      <c r="ER19" s="223">
        <f t="shared" si="191"/>
        <v>0</v>
      </c>
      <c r="ES19" s="181"/>
      <c r="ET19" s="176"/>
      <c r="EU19" s="176"/>
      <c r="EV19" s="176"/>
      <c r="EW19" s="176"/>
      <c r="EX19" s="176"/>
      <c r="EY19" s="176"/>
      <c r="EZ19" s="223">
        <f t="shared" si="192"/>
        <v>0</v>
      </c>
      <c r="FA19" s="181"/>
      <c r="FB19" s="176"/>
      <c r="FC19" s="176"/>
      <c r="FD19" s="176"/>
      <c r="FE19" s="176"/>
      <c r="FF19" s="176"/>
      <c r="FG19" s="176"/>
      <c r="FH19" s="223">
        <f t="shared" si="193"/>
        <v>0</v>
      </c>
      <c r="FI19" s="291">
        <f t="shared" si="194"/>
        <v>85</v>
      </c>
      <c r="FJ19" s="250">
        <v>84</v>
      </c>
      <c r="FK19" s="250"/>
      <c r="FL19" s="291">
        <f t="shared" si="195"/>
        <v>85</v>
      </c>
      <c r="FM19" s="312" t="str">
        <f>IFERROR(IF(FL19="","",IF(FL19&gt;=KONVERSI!$A$5,KONVERSI!$D$5,IF(FL19&gt;=KONVERSI!$A$6,KONVERSI!$D$6,IF(FL19&gt;=KONVERSI!$A$7,KONVERSI!$D$7,KONVERSI!$D$8)))),"")</f>
        <v>B</v>
      </c>
      <c r="FN19" s="232" t="str">
        <f t="shared" si="196"/>
        <v>Tuntas</v>
      </c>
      <c r="FO19" s="313"/>
      <c r="FP19" s="314">
        <f t="shared" si="197"/>
        <v>84</v>
      </c>
      <c r="FQ19" s="194">
        <f t="shared" si="33"/>
        <v>84</v>
      </c>
      <c r="FR19" s="194">
        <f t="shared" si="34"/>
        <v>84</v>
      </c>
      <c r="FS19" s="194" t="str">
        <f t="shared" si="35"/>
        <v/>
      </c>
      <c r="FT19" s="194" t="str">
        <f t="shared" si="36"/>
        <v/>
      </c>
      <c r="FU19" s="194" t="str">
        <f t="shared" si="37"/>
        <v/>
      </c>
      <c r="FV19" s="194">
        <f t="shared" si="38"/>
        <v>85.6</v>
      </c>
      <c r="FW19" s="194">
        <f t="shared" si="39"/>
        <v>84</v>
      </c>
      <c r="FX19" s="194">
        <f t="shared" si="344"/>
        <v>84</v>
      </c>
      <c r="FY19" s="194" t="str">
        <f t="shared" si="40"/>
        <v/>
      </c>
      <c r="FZ19" s="194" t="str">
        <f t="shared" si="41"/>
        <v/>
      </c>
      <c r="GA19" s="194" t="str">
        <f t="shared" si="42"/>
        <v/>
      </c>
      <c r="GB19" s="194">
        <f t="shared" si="43"/>
        <v>84</v>
      </c>
      <c r="GC19" s="194" t="str">
        <f t="shared" si="44"/>
        <v/>
      </c>
      <c r="GD19" s="194" t="str">
        <f t="shared" si="45"/>
        <v/>
      </c>
      <c r="GE19" s="194" t="str">
        <f t="shared" si="46"/>
        <v/>
      </c>
      <c r="GF19" s="194" t="str">
        <f t="shared" si="47"/>
        <v/>
      </c>
      <c r="GG19" s="194" t="str">
        <f t="shared" si="48"/>
        <v/>
      </c>
      <c r="GH19" s="194" t="str">
        <f t="shared" si="49"/>
        <v/>
      </c>
      <c r="GI19" s="194" t="str">
        <f t="shared" si="50"/>
        <v/>
      </c>
      <c r="GJ19" s="194" t="str">
        <f t="shared" si="51"/>
        <v/>
      </c>
      <c r="GK19" s="194" t="str">
        <f t="shared" si="52"/>
        <v/>
      </c>
      <c r="GL19" s="194" t="str">
        <f t="shared" si="53"/>
        <v/>
      </c>
      <c r="GM19" s="194" t="str">
        <f t="shared" si="54"/>
        <v/>
      </c>
      <c r="GN19" s="194" t="str">
        <f t="shared" si="55"/>
        <v/>
      </c>
      <c r="GO19" s="194" t="str">
        <f t="shared" si="56"/>
        <v/>
      </c>
      <c r="GP19" s="194" t="str">
        <f t="shared" si="57"/>
        <v/>
      </c>
      <c r="GQ19" s="194" t="str">
        <f t="shared" si="58"/>
        <v/>
      </c>
      <c r="GR19" s="194" t="str">
        <f t="shared" si="59"/>
        <v/>
      </c>
      <c r="GS19" s="194" t="str">
        <f t="shared" si="60"/>
        <v/>
      </c>
      <c r="GT19" s="194" t="str">
        <f t="shared" si="61"/>
        <v/>
      </c>
      <c r="GU19" s="194" t="str">
        <f t="shared" si="62"/>
        <v/>
      </c>
      <c r="GV19" s="194" t="str">
        <f t="shared" si="63"/>
        <v/>
      </c>
      <c r="GW19" s="194" t="str">
        <f t="shared" si="64"/>
        <v/>
      </c>
      <c r="GX19" s="194" t="str">
        <f t="shared" si="65"/>
        <v/>
      </c>
      <c r="GY19" s="194" t="str">
        <f t="shared" si="66"/>
        <v/>
      </c>
      <c r="GZ19" s="194" t="str">
        <f t="shared" si="67"/>
        <v/>
      </c>
      <c r="HA19" s="194" t="str">
        <f t="shared" si="68"/>
        <v/>
      </c>
      <c r="HB19" s="194" t="str">
        <f t="shared" si="69"/>
        <v/>
      </c>
      <c r="HC19" s="194" t="str">
        <f t="shared" si="70"/>
        <v/>
      </c>
      <c r="HD19" s="194" t="str">
        <f t="shared" si="71"/>
        <v/>
      </c>
      <c r="HE19" s="194" t="str">
        <f t="shared" si="72"/>
        <v/>
      </c>
      <c r="HF19" s="194" t="str">
        <f t="shared" si="73"/>
        <v/>
      </c>
      <c r="HG19" s="194" t="str">
        <f t="shared" si="74"/>
        <v/>
      </c>
      <c r="HH19" s="194" t="str">
        <f t="shared" si="75"/>
        <v/>
      </c>
      <c r="HI19" s="194" t="str">
        <f t="shared" si="76"/>
        <v/>
      </c>
      <c r="HJ19" s="194" t="str">
        <f t="shared" si="77"/>
        <v/>
      </c>
      <c r="HK19" s="194" t="str">
        <f t="shared" si="78"/>
        <v/>
      </c>
      <c r="HL19" s="194" t="str">
        <f t="shared" si="79"/>
        <v/>
      </c>
      <c r="HM19" s="194" t="str">
        <f t="shared" si="80"/>
        <v/>
      </c>
      <c r="HN19" s="194" t="str">
        <f t="shared" si="81"/>
        <v/>
      </c>
      <c r="HO19" s="194" t="str">
        <f t="shared" si="82"/>
        <v/>
      </c>
      <c r="HP19" s="194" t="str">
        <f t="shared" si="83"/>
        <v/>
      </c>
      <c r="HQ19" s="194" t="str">
        <f t="shared" si="84"/>
        <v/>
      </c>
      <c r="HR19" s="194" t="str">
        <f t="shared" si="85"/>
        <v/>
      </c>
      <c r="HS19" s="194" t="str">
        <f t="shared" si="86"/>
        <v/>
      </c>
      <c r="HT19" s="194" t="str">
        <f t="shared" si="87"/>
        <v/>
      </c>
      <c r="HU19" s="194" t="str">
        <f t="shared" si="88"/>
        <v/>
      </c>
      <c r="HV19" s="194" t="str">
        <f t="shared" si="89"/>
        <v/>
      </c>
      <c r="HW19" s="194" t="str">
        <f t="shared" si="90"/>
        <v/>
      </c>
      <c r="HX19" s="194" t="str">
        <f t="shared" si="91"/>
        <v/>
      </c>
      <c r="HY19" s="194" t="str">
        <f t="shared" si="92"/>
        <v/>
      </c>
      <c r="HZ19" s="194" t="str">
        <f t="shared" si="93"/>
        <v/>
      </c>
      <c r="IA19" s="194" t="str">
        <f t="shared" si="94"/>
        <v/>
      </c>
      <c r="IB19" s="194" t="str">
        <f t="shared" si="95"/>
        <v/>
      </c>
      <c r="IC19" s="194" t="str">
        <f t="shared" si="96"/>
        <v/>
      </c>
      <c r="ID19" s="194" t="str">
        <f t="shared" si="97"/>
        <v/>
      </c>
      <c r="IE19" s="194" t="str">
        <f t="shared" si="98"/>
        <v/>
      </c>
      <c r="IF19" s="194" t="str">
        <f t="shared" si="99"/>
        <v/>
      </c>
      <c r="IG19" s="194" t="str">
        <f t="shared" si="100"/>
        <v/>
      </c>
      <c r="IH19" s="194" t="str">
        <f t="shared" si="101"/>
        <v/>
      </c>
      <c r="II19" s="194" t="str">
        <f t="shared" si="102"/>
        <v/>
      </c>
      <c r="IJ19" s="194" t="str">
        <f t="shared" si="103"/>
        <v/>
      </c>
      <c r="IK19" s="194" t="str">
        <f t="shared" si="104"/>
        <v/>
      </c>
      <c r="IL19" s="194" t="str">
        <f t="shared" si="105"/>
        <v/>
      </c>
      <c r="IM19" s="194" t="str">
        <f t="shared" si="106"/>
        <v/>
      </c>
      <c r="IN19" s="194" t="str">
        <f t="shared" si="107"/>
        <v/>
      </c>
      <c r="IO19" s="194" t="str">
        <f t="shared" si="108"/>
        <v/>
      </c>
      <c r="IP19" s="194" t="str">
        <f t="shared" si="109"/>
        <v/>
      </c>
      <c r="IQ19" s="194" t="str">
        <f t="shared" si="110"/>
        <v/>
      </c>
      <c r="IR19" s="194" t="str">
        <f t="shared" si="111"/>
        <v/>
      </c>
      <c r="IS19" s="194" t="str">
        <f t="shared" si="112"/>
        <v/>
      </c>
      <c r="IT19" s="194" t="str">
        <f t="shared" si="113"/>
        <v/>
      </c>
      <c r="IU19" s="194" t="str">
        <f t="shared" si="114"/>
        <v/>
      </c>
      <c r="IV19" s="194" t="str">
        <f t="shared" si="115"/>
        <v/>
      </c>
      <c r="IW19" s="194" t="str">
        <f t="shared" si="116"/>
        <v/>
      </c>
      <c r="IX19" s="194" t="str">
        <f t="shared" si="117"/>
        <v/>
      </c>
      <c r="IY19" s="194" t="str">
        <f t="shared" si="118"/>
        <v/>
      </c>
      <c r="IZ19" s="194" t="str">
        <f t="shared" si="119"/>
        <v/>
      </c>
      <c r="JA19" s="194" t="str">
        <f t="shared" si="120"/>
        <v/>
      </c>
      <c r="JB19" s="194" t="str">
        <f t="shared" si="121"/>
        <v/>
      </c>
      <c r="JC19" s="194" t="str">
        <f t="shared" si="122"/>
        <v/>
      </c>
      <c r="JD19" s="194" t="str">
        <f t="shared" si="123"/>
        <v/>
      </c>
      <c r="JE19" s="194" t="str">
        <f t="shared" si="124"/>
        <v/>
      </c>
      <c r="JF19" s="194" t="str">
        <f t="shared" si="125"/>
        <v/>
      </c>
      <c r="JG19" s="194" t="str">
        <f t="shared" si="126"/>
        <v/>
      </c>
      <c r="JH19" s="194" t="str">
        <f t="shared" si="127"/>
        <v/>
      </c>
      <c r="JI19" s="194" t="str">
        <f t="shared" si="128"/>
        <v/>
      </c>
      <c r="JJ19" s="194" t="str">
        <f t="shared" si="129"/>
        <v/>
      </c>
      <c r="JK19" s="194" t="str">
        <f t="shared" si="130"/>
        <v/>
      </c>
      <c r="JL19" s="194" t="str">
        <f t="shared" si="131"/>
        <v/>
      </c>
      <c r="JM19" s="194" t="str">
        <f t="shared" si="132"/>
        <v/>
      </c>
      <c r="JN19" s="194" t="str">
        <f t="shared" si="133"/>
        <v/>
      </c>
      <c r="JO19" s="194" t="str">
        <f t="shared" si="134"/>
        <v/>
      </c>
      <c r="JP19" s="194" t="str">
        <f t="shared" si="135"/>
        <v/>
      </c>
      <c r="JQ19" s="194" t="str">
        <f t="shared" si="136"/>
        <v/>
      </c>
      <c r="JR19" s="194" t="str">
        <f t="shared" si="137"/>
        <v/>
      </c>
      <c r="JS19" s="194" t="str">
        <f t="shared" si="138"/>
        <v/>
      </c>
      <c r="JT19" s="194" t="str">
        <f t="shared" si="139"/>
        <v/>
      </c>
      <c r="JU19" s="194" t="str">
        <f t="shared" si="140"/>
        <v/>
      </c>
      <c r="JV19" s="194" t="str">
        <f t="shared" si="141"/>
        <v/>
      </c>
      <c r="JW19" s="194" t="str">
        <f t="shared" si="142"/>
        <v/>
      </c>
      <c r="JX19" s="194" t="str">
        <f t="shared" si="143"/>
        <v/>
      </c>
      <c r="JY19" s="194" t="str">
        <f t="shared" si="144"/>
        <v/>
      </c>
      <c r="JZ19" s="194" t="str">
        <f t="shared" si="145"/>
        <v/>
      </c>
      <c r="KA19" s="194" t="str">
        <f t="shared" si="146"/>
        <v/>
      </c>
      <c r="KB19" s="194" t="str">
        <f t="shared" si="147"/>
        <v/>
      </c>
      <c r="KC19" s="194" t="str">
        <f t="shared" si="148"/>
        <v/>
      </c>
      <c r="KD19" s="194" t="str">
        <f t="shared" si="149"/>
        <v/>
      </c>
      <c r="KE19" s="194" t="str">
        <f t="shared" si="150"/>
        <v/>
      </c>
      <c r="KF19" s="194" t="str">
        <f t="shared" si="151"/>
        <v/>
      </c>
      <c r="KG19" s="194">
        <f>SUM(LE19:LX19)/COUNTA(RefKI3KI4!$B$5:$B$24)</f>
        <v>84.8</v>
      </c>
      <c r="KH19" s="232">
        <f t="shared" si="198"/>
        <v>0</v>
      </c>
      <c r="KI19" s="340" t="str">
        <f t="shared" si="199"/>
        <v>ok</v>
      </c>
      <c r="KJ19" s="340" t="str">
        <f t="shared" si="200"/>
        <v>ok</v>
      </c>
      <c r="KK19" s="340" t="str">
        <f t="shared" si="201"/>
        <v/>
      </c>
      <c r="KL19" s="340" t="str">
        <f t="shared" si="202"/>
        <v/>
      </c>
      <c r="KM19" s="340" t="str">
        <f t="shared" si="203"/>
        <v/>
      </c>
      <c r="KN19" s="340" t="str">
        <f t="shared" si="204"/>
        <v/>
      </c>
      <c r="KO19" s="340" t="str">
        <f t="shared" si="205"/>
        <v/>
      </c>
      <c r="KP19" s="340" t="str">
        <f t="shared" si="206"/>
        <v/>
      </c>
      <c r="KQ19" s="340" t="str">
        <f t="shared" si="207"/>
        <v/>
      </c>
      <c r="KR19" s="340" t="str">
        <f t="shared" si="208"/>
        <v/>
      </c>
      <c r="KS19" s="340" t="str">
        <f t="shared" si="209"/>
        <v/>
      </c>
      <c r="KT19" s="340" t="str">
        <f t="shared" si="210"/>
        <v/>
      </c>
      <c r="KU19" s="340" t="str">
        <f t="shared" si="211"/>
        <v/>
      </c>
      <c r="KV19" s="340" t="str">
        <f t="shared" si="212"/>
        <v/>
      </c>
      <c r="KW19" s="340" t="str">
        <f t="shared" si="213"/>
        <v/>
      </c>
      <c r="KX19" s="340" t="str">
        <f t="shared" si="214"/>
        <v/>
      </c>
      <c r="KY19" s="340" t="str">
        <f t="shared" si="215"/>
        <v/>
      </c>
      <c r="KZ19" s="340" t="str">
        <f t="shared" si="216"/>
        <v/>
      </c>
      <c r="LA19" s="340" t="str">
        <f t="shared" si="217"/>
        <v/>
      </c>
      <c r="LB19" s="340" t="str">
        <f t="shared" si="218"/>
        <v/>
      </c>
      <c r="LC19" s="340">
        <f t="shared" si="219"/>
        <v>0</v>
      </c>
      <c r="LD19" s="228">
        <v>11</v>
      </c>
      <c r="LE19" s="229">
        <f t="shared" si="220"/>
        <v>85.6</v>
      </c>
      <c r="LF19" s="229">
        <f t="shared" si="221"/>
        <v>84</v>
      </c>
      <c r="LG19" s="229" t="str">
        <f t="shared" si="222"/>
        <v/>
      </c>
      <c r="LH19" s="229" t="str">
        <f t="shared" si="223"/>
        <v/>
      </c>
      <c r="LI19" s="229" t="str">
        <f t="shared" si="224"/>
        <v/>
      </c>
      <c r="LJ19" s="229" t="str">
        <f t="shared" si="225"/>
        <v/>
      </c>
      <c r="LK19" s="229" t="str">
        <f t="shared" si="226"/>
        <v/>
      </c>
      <c r="LL19" s="229" t="str">
        <f t="shared" si="227"/>
        <v/>
      </c>
      <c r="LM19" s="229" t="str">
        <f t="shared" si="228"/>
        <v/>
      </c>
      <c r="LN19" s="229" t="str">
        <f t="shared" si="229"/>
        <v/>
      </c>
      <c r="LO19" s="229" t="str">
        <f t="shared" si="230"/>
        <v/>
      </c>
      <c r="LP19" s="229" t="str">
        <f t="shared" si="231"/>
        <v/>
      </c>
      <c r="LQ19" s="229" t="str">
        <f t="shared" si="232"/>
        <v/>
      </c>
      <c r="LR19" s="229" t="str">
        <f t="shared" si="233"/>
        <v/>
      </c>
      <c r="LS19" s="229" t="str">
        <f t="shared" si="234"/>
        <v/>
      </c>
      <c r="LT19" s="229" t="str">
        <f t="shared" si="235"/>
        <v/>
      </c>
      <c r="LU19" s="229" t="str">
        <f t="shared" si="236"/>
        <v/>
      </c>
      <c r="LV19" s="229" t="str">
        <f t="shared" si="237"/>
        <v/>
      </c>
      <c r="LW19" s="229" t="str">
        <f t="shared" si="238"/>
        <v/>
      </c>
      <c r="LX19" s="229" t="str">
        <f t="shared" si="239"/>
        <v/>
      </c>
      <c r="LY19" s="231">
        <f t="shared" si="240"/>
        <v>85.6</v>
      </c>
      <c r="LZ19" s="231">
        <f t="shared" si="241"/>
        <v>84</v>
      </c>
      <c r="MA19" s="231" t="str">
        <f t="shared" si="242"/>
        <v/>
      </c>
      <c r="MB19" s="231" t="str">
        <f t="shared" si="243"/>
        <v/>
      </c>
      <c r="MC19" s="231" t="str">
        <f t="shared" si="244"/>
        <v/>
      </c>
      <c r="MD19" s="231" t="str">
        <f t="shared" si="245"/>
        <v/>
      </c>
      <c r="ME19" s="231" t="str">
        <f t="shared" si="246"/>
        <v/>
      </c>
      <c r="MF19" s="231" t="str">
        <f t="shared" si="247"/>
        <v/>
      </c>
      <c r="MG19" s="231" t="str">
        <f t="shared" si="248"/>
        <v/>
      </c>
      <c r="MH19" s="231" t="str">
        <f t="shared" si="249"/>
        <v/>
      </c>
      <c r="MI19" s="231" t="str">
        <f t="shared" si="250"/>
        <v/>
      </c>
      <c r="MJ19" s="231" t="str">
        <f t="shared" si="251"/>
        <v/>
      </c>
      <c r="MK19" s="231" t="str">
        <f t="shared" si="252"/>
        <v/>
      </c>
      <c r="ML19" s="231" t="str">
        <f t="shared" si="253"/>
        <v/>
      </c>
      <c r="MM19" s="231" t="str">
        <f t="shared" si="254"/>
        <v/>
      </c>
      <c r="MN19" s="231" t="str">
        <f t="shared" si="255"/>
        <v/>
      </c>
      <c r="MO19" s="231" t="str">
        <f t="shared" si="256"/>
        <v/>
      </c>
      <c r="MP19" s="231" t="str">
        <f t="shared" si="257"/>
        <v/>
      </c>
      <c r="MQ19" s="231" t="str">
        <f t="shared" si="258"/>
        <v/>
      </c>
      <c r="MR19" s="231" t="str">
        <f t="shared" si="259"/>
        <v/>
      </c>
      <c r="MS19" s="231">
        <f t="shared" si="154"/>
        <v>85.6</v>
      </c>
      <c r="MT19" s="232" t="str">
        <f>IF(MS19="","",IF(MS19&gt;=KONVERSI!$A$5,KONVERSI!$E$5,IF(MS19&gt;=KONVERSI!$A$6,KONVERSI!$E$6,IF(MS19&gt;=KONVERSI!$A$7,KONVERSI!$E$7,KONVERSI!$E$8))))</f>
        <v>Baik</v>
      </c>
      <c r="MU19" s="233" t="str">
        <f t="shared" si="155"/>
        <v>Baik dalamjenis, sifat, karakter dan teknik pengolahan kerang, kaca, keramik dan botol plastik</v>
      </c>
      <c r="MV19" s="234">
        <f t="shared" si="260"/>
        <v>84</v>
      </c>
      <c r="MW19" s="232" t="str">
        <f>IF(MV19="","",IF(MV19&gt;=KONVERSI!$A$5,KONVERSI!$E$5,IF(MV19&gt;=KONVERSI!$A$6,KONVERSI!$E$6,IF(MV19&gt;=KONVERSI!$A$7,KONVERSI!$E$7,KONVERSI!$E$8))))</f>
        <v>Baik</v>
      </c>
      <c r="MX19" s="134" t="str">
        <f>IF(FI19&lt;$FN$4," "&amp;KONVERSI!$C$18&amp;INDEX($LY$8:$MR$8,MATCH(MV19,LY19:MR19,0))&amp;".",IF(KG19=0,"",IF(MV19&lt;&gt;0,MU19&amp;MW19&amp;".",MU19&amp;".")))</f>
        <v>Baik dalamjenis, sifat, karakter dan teknik pengolahan kerang, kaca, keramik dan botol plastikBaik.</v>
      </c>
      <c r="MY19" s="235" t="str">
        <f t="shared" si="261"/>
        <v>OK</v>
      </c>
      <c r="MZ19" s="235" t="str">
        <f t="shared" si="262"/>
        <v>NO</v>
      </c>
      <c r="NA19" s="235" t="str">
        <f t="shared" si="263"/>
        <v/>
      </c>
      <c r="NB19" s="235" t="str">
        <f t="shared" si="264"/>
        <v/>
      </c>
      <c r="NC19" s="235" t="str">
        <f t="shared" si="265"/>
        <v/>
      </c>
      <c r="ND19" s="235" t="str">
        <f t="shared" si="266"/>
        <v/>
      </c>
      <c r="NE19" s="235" t="str">
        <f t="shared" si="267"/>
        <v/>
      </c>
      <c r="NF19" s="235" t="str">
        <f t="shared" si="268"/>
        <v/>
      </c>
      <c r="NG19" s="235" t="str">
        <f t="shared" si="269"/>
        <v/>
      </c>
      <c r="NH19" s="235" t="str">
        <f t="shared" si="270"/>
        <v/>
      </c>
      <c r="NI19" s="235" t="str">
        <f t="shared" si="271"/>
        <v/>
      </c>
      <c r="NJ19" s="235" t="str">
        <f t="shared" si="272"/>
        <v/>
      </c>
      <c r="NK19" s="235" t="str">
        <f t="shared" si="273"/>
        <v/>
      </c>
      <c r="NL19" s="235" t="str">
        <f t="shared" si="274"/>
        <v/>
      </c>
      <c r="NM19" s="235" t="str">
        <f t="shared" si="275"/>
        <v/>
      </c>
      <c r="NN19" s="235" t="str">
        <f t="shared" si="276"/>
        <v/>
      </c>
      <c r="NO19" s="235" t="str">
        <f t="shared" si="277"/>
        <v/>
      </c>
      <c r="NP19" s="235" t="str">
        <f t="shared" si="278"/>
        <v/>
      </c>
      <c r="NQ19" s="235" t="str">
        <f t="shared" si="279"/>
        <v/>
      </c>
      <c r="NR19" s="235" t="str">
        <f t="shared" si="280"/>
        <v/>
      </c>
      <c r="NS19" s="134" t="str">
        <f t="shared" si="281"/>
        <v>jenis, sifat, karakter dan teknik pengolahan kerang, kaca, keramik dan botol plastik</v>
      </c>
      <c r="NT19" s="134" t="str">
        <f t="shared" si="282"/>
        <v/>
      </c>
      <c r="NU19" s="134" t="str">
        <f t="shared" si="283"/>
        <v/>
      </c>
      <c r="NV19" s="134" t="str">
        <f t="shared" si="284"/>
        <v/>
      </c>
      <c r="NW19" s="134" t="str">
        <f t="shared" si="285"/>
        <v/>
      </c>
      <c r="NX19" s="134" t="str">
        <f t="shared" si="286"/>
        <v/>
      </c>
      <c r="NY19" s="134" t="str">
        <f t="shared" si="287"/>
        <v/>
      </c>
      <c r="NZ19" s="134" t="str">
        <f t="shared" si="288"/>
        <v/>
      </c>
      <c r="OA19" s="134" t="str">
        <f t="shared" si="289"/>
        <v/>
      </c>
      <c r="OB19" s="134" t="str">
        <f t="shared" si="290"/>
        <v/>
      </c>
      <c r="OC19" s="134" t="str">
        <f t="shared" si="291"/>
        <v/>
      </c>
      <c r="OD19" s="134" t="str">
        <f t="shared" si="292"/>
        <v/>
      </c>
      <c r="OE19" s="134" t="str">
        <f t="shared" si="293"/>
        <v/>
      </c>
      <c r="OF19" s="134" t="str">
        <f t="shared" si="294"/>
        <v/>
      </c>
      <c r="OG19" s="134" t="str">
        <f t="shared" si="295"/>
        <v/>
      </c>
      <c r="OH19" s="134" t="str">
        <f t="shared" si="296"/>
        <v/>
      </c>
      <c r="OI19" s="134" t="str">
        <f t="shared" si="297"/>
        <v/>
      </c>
      <c r="OJ19" s="134" t="str">
        <f t="shared" si="298"/>
        <v/>
      </c>
      <c r="OK19" s="134" t="str">
        <f t="shared" si="299"/>
        <v/>
      </c>
      <c r="OL19" s="134" t="str">
        <f t="shared" si="300"/>
        <v/>
      </c>
      <c r="OM19" s="134" t="str">
        <f t="shared" si="301"/>
        <v>Baik dalam jenis, sifat, karakter dan teknik pengolahan kerang, kaca, keramik dan botol plastik</v>
      </c>
      <c r="ON19" s="134" t="str">
        <f t="shared" si="302"/>
        <v>Baik dalam jenis, sifat, karakter dan teknik pengolahan kerang, kaca, keramik dan botol plasti.  </v>
      </c>
      <c r="OO19" s="236">
        <f t="shared" si="169"/>
        <v>1</v>
      </c>
      <c r="OP19" s="235" t="str">
        <f t="shared" si="303"/>
        <v>NO</v>
      </c>
      <c r="OQ19" s="235" t="str">
        <f t="shared" si="304"/>
        <v>OK</v>
      </c>
      <c r="OR19" s="235" t="str">
        <f t="shared" si="305"/>
        <v/>
      </c>
      <c r="OS19" s="235" t="str">
        <f t="shared" si="306"/>
        <v/>
      </c>
      <c r="OT19" s="235" t="str">
        <f t="shared" si="307"/>
        <v/>
      </c>
      <c r="OU19" s="235" t="str">
        <f t="shared" si="308"/>
        <v/>
      </c>
      <c r="OV19" s="235" t="str">
        <f t="shared" si="309"/>
        <v/>
      </c>
      <c r="OW19" s="235" t="str">
        <f t="shared" si="310"/>
        <v/>
      </c>
      <c r="OX19" s="235" t="str">
        <f t="shared" si="311"/>
        <v/>
      </c>
      <c r="OY19" s="235" t="str">
        <f t="shared" si="312"/>
        <v/>
      </c>
      <c r="OZ19" s="235" t="str">
        <f t="shared" si="313"/>
        <v/>
      </c>
      <c r="PA19" s="235" t="str">
        <f t="shared" si="314"/>
        <v/>
      </c>
      <c r="PB19" s="235" t="str">
        <f t="shared" si="315"/>
        <v/>
      </c>
      <c r="PC19" s="235" t="str">
        <f t="shared" si="316"/>
        <v/>
      </c>
      <c r="PD19" s="235" t="str">
        <f t="shared" si="317"/>
        <v/>
      </c>
      <c r="PE19" s="235" t="str">
        <f t="shared" si="318"/>
        <v/>
      </c>
      <c r="PF19" s="235" t="str">
        <f t="shared" si="319"/>
        <v/>
      </c>
      <c r="PG19" s="235" t="str">
        <f t="shared" si="320"/>
        <v/>
      </c>
      <c r="PH19" s="235" t="str">
        <f t="shared" si="321"/>
        <v/>
      </c>
      <c r="PI19" s="235" t="str">
        <f t="shared" si="322"/>
        <v/>
      </c>
      <c r="PJ19" s="134" t="str">
        <f t="shared" si="323"/>
        <v/>
      </c>
      <c r="PK19" s="134" t="str">
        <f t="shared" si="324"/>
        <v>prinsip perancangan, pembuatan dan penyajian produk kerajinan kerang, kaca, keramik dan botol plastik yang kreatif dan inovatif</v>
      </c>
      <c r="PL19" s="134" t="str">
        <f t="shared" si="325"/>
        <v/>
      </c>
      <c r="PM19" s="134" t="str">
        <f t="shared" si="326"/>
        <v/>
      </c>
      <c r="PN19" s="134" t="str">
        <f t="shared" si="327"/>
        <v/>
      </c>
      <c r="PO19" s="134" t="str">
        <f t="shared" si="328"/>
        <v/>
      </c>
      <c r="PP19" s="134" t="str">
        <f t="shared" si="329"/>
        <v/>
      </c>
      <c r="PQ19" s="134" t="str">
        <f t="shared" si="330"/>
        <v/>
      </c>
      <c r="PR19" s="134" t="str">
        <f t="shared" si="331"/>
        <v/>
      </c>
      <c r="PS19" s="134" t="str">
        <f t="shared" si="332"/>
        <v/>
      </c>
      <c r="PT19" s="134" t="str">
        <f t="shared" si="333"/>
        <v/>
      </c>
      <c r="PU19" s="134" t="str">
        <f t="shared" si="334"/>
        <v/>
      </c>
      <c r="PV19" s="134" t="str">
        <f t="shared" si="335"/>
        <v/>
      </c>
      <c r="PW19" s="134" t="str">
        <f t="shared" si="336"/>
        <v/>
      </c>
      <c r="PX19" s="134" t="str">
        <f t="shared" si="337"/>
        <v/>
      </c>
      <c r="PY19" s="134" t="str">
        <f t="shared" si="338"/>
        <v/>
      </c>
      <c r="PZ19" s="134" t="str">
        <f t="shared" si="339"/>
        <v/>
      </c>
      <c r="QA19" s="134" t="str">
        <f t="shared" si="340"/>
        <v/>
      </c>
      <c r="QB19" s="134" t="str">
        <f t="shared" si="341"/>
        <v/>
      </c>
      <c r="QC19" s="134" t="str">
        <f t="shared" si="342"/>
        <v/>
      </c>
      <c r="QD19" s="134" t="str">
        <f>IF(MT19=MW19,"",IF(MV19="","",IF(MV19&gt;=KONVERSI!$A$7,'KI3'!MW19&amp;" dalam"&amp;PJ19&amp;PK19&amp;PL19&amp;PM19&amp;PN19&amp;PO19&amp;PP19&amp;PQ19&amp;PR19&amp;PS19&amp;PT19&amp;PU19&amp;PV19&amp;PW19&amp;PX19&amp;PY19&amp;PZ19&amp;QA19&amp;QB19&amp;QC19,KONVERSI!$C$18&amp;" dalam"&amp;PJ19&amp;PK19&amp;PL19&amp;PM19&amp;PN19&amp;PO19&amp;PP19&amp;PQ19&amp;PR19&amp;PS19&amp;PT19&amp;PU19&amp;PV19&amp;PW19&amp;PX19&amp;PY19&amp;PZ19&amp;QA19&amp;QB19&amp;QC19)))</f>
        <v/>
      </c>
      <c r="QE19" s="134" t="str">
        <f t="shared" si="343"/>
        <v/>
      </c>
      <c r="QF19" s="236">
        <f t="shared" si="172"/>
        <v>1</v>
      </c>
      <c r="QG19" s="134" t="str">
        <f t="shared" si="173"/>
        <v>Baik dalam jenis, sifat, karakter dan teknik pengolahan kerang, kaca, keramik dan botol plasti.  </v>
      </c>
    </row>
    <row r="20" ht="27.6" customHeight="1" spans="1:449">
      <c r="A20" s="179"/>
      <c r="B20" s="177">
        <v>12</v>
      </c>
      <c r="C20" s="178" t="str">
        <f>siswa!C16</f>
        <v>IQBAL RAMADHAN</v>
      </c>
      <c r="D20" s="174">
        <f>siswa!D16</f>
        <v>2774</v>
      </c>
      <c r="E20" s="175">
        <v>84</v>
      </c>
      <c r="F20" s="175">
        <v>84</v>
      </c>
      <c r="G20" s="248"/>
      <c r="H20" s="176"/>
      <c r="I20" s="176"/>
      <c r="J20" s="175">
        <v>82</v>
      </c>
      <c r="K20" s="176"/>
      <c r="L20" s="223">
        <f t="shared" si="174"/>
        <v>83.2</v>
      </c>
      <c r="M20" s="250">
        <v>73</v>
      </c>
      <c r="N20" s="250">
        <v>73</v>
      </c>
      <c r="O20" s="248"/>
      <c r="P20" s="176"/>
      <c r="Q20" s="176"/>
      <c r="R20" s="250">
        <v>73</v>
      </c>
      <c r="S20" s="176"/>
      <c r="T20" s="223">
        <f t="shared" si="175"/>
        <v>73</v>
      </c>
      <c r="U20" s="248"/>
      <c r="V20" s="248"/>
      <c r="W20" s="248"/>
      <c r="X20" s="176"/>
      <c r="Y20" s="176"/>
      <c r="Z20" s="250"/>
      <c r="AA20" s="176"/>
      <c r="AB20" s="223">
        <f t="shared" si="176"/>
        <v>0</v>
      </c>
      <c r="AC20" s="248"/>
      <c r="AD20" s="248"/>
      <c r="AE20" s="248"/>
      <c r="AF20" s="248"/>
      <c r="AG20" s="176"/>
      <c r="AH20" s="250"/>
      <c r="AI20" s="176"/>
      <c r="AJ20" s="223">
        <f t="shared" si="177"/>
        <v>0</v>
      </c>
      <c r="AK20" s="181"/>
      <c r="AL20" s="176"/>
      <c r="AM20" s="176"/>
      <c r="AN20" s="176"/>
      <c r="AO20" s="176"/>
      <c r="AP20" s="176"/>
      <c r="AQ20" s="176"/>
      <c r="AR20" s="223">
        <f t="shared" si="178"/>
        <v>0</v>
      </c>
      <c r="AS20" s="181"/>
      <c r="AT20" s="176"/>
      <c r="AU20" s="176"/>
      <c r="AV20" s="176"/>
      <c r="AW20" s="176"/>
      <c r="AX20" s="176"/>
      <c r="AY20" s="176"/>
      <c r="AZ20" s="223">
        <f t="shared" si="179"/>
        <v>0</v>
      </c>
      <c r="BA20" s="181"/>
      <c r="BB20" s="176"/>
      <c r="BC20" s="176"/>
      <c r="BD20" s="176"/>
      <c r="BE20" s="176"/>
      <c r="BF20" s="176"/>
      <c r="BG20" s="176"/>
      <c r="BH20" s="223">
        <f t="shared" si="180"/>
        <v>0</v>
      </c>
      <c r="BI20" s="181"/>
      <c r="BJ20" s="176"/>
      <c r="BK20" s="176"/>
      <c r="BL20" s="176"/>
      <c r="BM20" s="176"/>
      <c r="BN20" s="176"/>
      <c r="BO20" s="176"/>
      <c r="BP20" s="223">
        <f t="shared" si="181"/>
        <v>0</v>
      </c>
      <c r="BQ20" s="181"/>
      <c r="BR20" s="176"/>
      <c r="BS20" s="176"/>
      <c r="BT20" s="176"/>
      <c r="BU20" s="176"/>
      <c r="BV20" s="176"/>
      <c r="BW20" s="176"/>
      <c r="BX20" s="223">
        <f t="shared" si="182"/>
        <v>0</v>
      </c>
      <c r="BY20" s="181"/>
      <c r="BZ20" s="176"/>
      <c r="CA20" s="176"/>
      <c r="CB20" s="176"/>
      <c r="CC20" s="176"/>
      <c r="CD20" s="176"/>
      <c r="CE20" s="176"/>
      <c r="CF20" s="223">
        <f t="shared" si="183"/>
        <v>0</v>
      </c>
      <c r="CG20" s="181"/>
      <c r="CH20" s="176"/>
      <c r="CI20" s="176"/>
      <c r="CJ20" s="176"/>
      <c r="CK20" s="176"/>
      <c r="CL20" s="176"/>
      <c r="CM20" s="176"/>
      <c r="CN20" s="223">
        <f t="shared" si="184"/>
        <v>0</v>
      </c>
      <c r="CO20" s="181"/>
      <c r="CP20" s="176"/>
      <c r="CQ20" s="176"/>
      <c r="CR20" s="176"/>
      <c r="CS20" s="176"/>
      <c r="CT20" s="176"/>
      <c r="CU20" s="176"/>
      <c r="CV20" s="223">
        <f t="shared" si="185"/>
        <v>0</v>
      </c>
      <c r="CW20" s="181"/>
      <c r="CX20" s="176"/>
      <c r="CY20" s="176"/>
      <c r="CZ20" s="176"/>
      <c r="DA20" s="176"/>
      <c r="DB20" s="176"/>
      <c r="DC20" s="176"/>
      <c r="DD20" s="223">
        <f t="shared" si="186"/>
        <v>0</v>
      </c>
      <c r="DE20" s="181"/>
      <c r="DF20" s="176"/>
      <c r="DG20" s="176"/>
      <c r="DH20" s="176"/>
      <c r="DI20" s="176"/>
      <c r="DJ20" s="176"/>
      <c r="DK20" s="176"/>
      <c r="DL20" s="223">
        <f t="shared" si="187"/>
        <v>0</v>
      </c>
      <c r="DM20" s="181"/>
      <c r="DN20" s="176"/>
      <c r="DO20" s="176"/>
      <c r="DP20" s="176"/>
      <c r="DQ20" s="176"/>
      <c r="DR20" s="176"/>
      <c r="DS20" s="176"/>
      <c r="DT20" s="223">
        <f t="shared" si="188"/>
        <v>0</v>
      </c>
      <c r="DU20" s="181"/>
      <c r="DV20" s="176"/>
      <c r="DW20" s="176"/>
      <c r="DX20" s="176"/>
      <c r="DY20" s="176"/>
      <c r="DZ20" s="176"/>
      <c r="EA20" s="176"/>
      <c r="EB20" s="223">
        <f t="shared" si="189"/>
        <v>0</v>
      </c>
      <c r="EC20" s="181"/>
      <c r="ED20" s="176"/>
      <c r="EE20" s="176"/>
      <c r="EF20" s="176"/>
      <c r="EG20" s="176"/>
      <c r="EH20" s="176"/>
      <c r="EI20" s="176"/>
      <c r="EJ20" s="223">
        <f t="shared" si="190"/>
        <v>0</v>
      </c>
      <c r="EK20" s="181"/>
      <c r="EL20" s="176"/>
      <c r="EM20" s="176"/>
      <c r="EN20" s="176"/>
      <c r="EO20" s="176"/>
      <c r="EP20" s="176"/>
      <c r="EQ20" s="176"/>
      <c r="ER20" s="223">
        <f t="shared" si="191"/>
        <v>0</v>
      </c>
      <c r="ES20" s="181"/>
      <c r="ET20" s="176"/>
      <c r="EU20" s="176"/>
      <c r="EV20" s="176"/>
      <c r="EW20" s="176"/>
      <c r="EX20" s="176"/>
      <c r="EY20" s="176"/>
      <c r="EZ20" s="223">
        <f t="shared" si="192"/>
        <v>0</v>
      </c>
      <c r="FA20" s="181"/>
      <c r="FB20" s="176"/>
      <c r="FC20" s="176"/>
      <c r="FD20" s="176"/>
      <c r="FE20" s="176"/>
      <c r="FF20" s="176"/>
      <c r="FG20" s="176"/>
      <c r="FH20" s="223">
        <f t="shared" si="193"/>
        <v>0</v>
      </c>
      <c r="FI20" s="291">
        <f t="shared" si="194"/>
        <v>78</v>
      </c>
      <c r="FJ20" s="250">
        <v>82</v>
      </c>
      <c r="FK20" s="250"/>
      <c r="FL20" s="291">
        <f t="shared" si="195"/>
        <v>79</v>
      </c>
      <c r="FM20" s="312" t="str">
        <f>IFERROR(IF(FL20="","",IF(FL20&gt;=KONVERSI!$A$5,KONVERSI!$D$5,IF(FL20&gt;=KONVERSI!$A$6,KONVERSI!$D$6,IF(FL20&gt;=KONVERSI!$A$7,KONVERSI!$D$7,KONVERSI!$D$8)))),"")</f>
        <v>C</v>
      </c>
      <c r="FN20" s="232" t="str">
        <f t="shared" si="196"/>
        <v>Tuntas</v>
      </c>
      <c r="FO20" s="313"/>
      <c r="FP20" s="314">
        <f t="shared" si="197"/>
        <v>78.5</v>
      </c>
      <c r="FQ20" s="194">
        <f t="shared" si="33"/>
        <v>84</v>
      </c>
      <c r="FR20" s="194">
        <f t="shared" si="34"/>
        <v>84</v>
      </c>
      <c r="FS20" s="194" t="str">
        <f t="shared" si="35"/>
        <v/>
      </c>
      <c r="FT20" s="194" t="str">
        <f t="shared" si="36"/>
        <v/>
      </c>
      <c r="FU20" s="194" t="str">
        <f t="shared" si="37"/>
        <v/>
      </c>
      <c r="FV20" s="194">
        <f t="shared" si="38"/>
        <v>83.2</v>
      </c>
      <c r="FW20" s="194">
        <f t="shared" si="39"/>
        <v>73</v>
      </c>
      <c r="FX20" s="194">
        <f t="shared" si="344"/>
        <v>73</v>
      </c>
      <c r="FY20" s="194" t="str">
        <f t="shared" si="40"/>
        <v/>
      </c>
      <c r="FZ20" s="194" t="str">
        <f t="shared" si="41"/>
        <v/>
      </c>
      <c r="GA20" s="194" t="str">
        <f t="shared" si="42"/>
        <v/>
      </c>
      <c r="GB20" s="194">
        <f t="shared" si="43"/>
        <v>73</v>
      </c>
      <c r="GC20" s="194" t="str">
        <f t="shared" si="44"/>
        <v/>
      </c>
      <c r="GD20" s="194" t="str">
        <f t="shared" si="45"/>
        <v/>
      </c>
      <c r="GE20" s="194" t="str">
        <f t="shared" si="46"/>
        <v/>
      </c>
      <c r="GF20" s="194" t="str">
        <f t="shared" si="47"/>
        <v/>
      </c>
      <c r="GG20" s="194" t="str">
        <f t="shared" si="48"/>
        <v/>
      </c>
      <c r="GH20" s="194" t="str">
        <f t="shared" si="49"/>
        <v/>
      </c>
      <c r="GI20" s="194" t="str">
        <f t="shared" si="50"/>
        <v/>
      </c>
      <c r="GJ20" s="194" t="str">
        <f t="shared" si="51"/>
        <v/>
      </c>
      <c r="GK20" s="194" t="str">
        <f t="shared" si="52"/>
        <v/>
      </c>
      <c r="GL20" s="194" t="str">
        <f t="shared" si="53"/>
        <v/>
      </c>
      <c r="GM20" s="194" t="str">
        <f t="shared" si="54"/>
        <v/>
      </c>
      <c r="GN20" s="194" t="str">
        <f t="shared" si="55"/>
        <v/>
      </c>
      <c r="GO20" s="194" t="str">
        <f t="shared" si="56"/>
        <v/>
      </c>
      <c r="GP20" s="194" t="str">
        <f t="shared" si="57"/>
        <v/>
      </c>
      <c r="GQ20" s="194" t="str">
        <f t="shared" si="58"/>
        <v/>
      </c>
      <c r="GR20" s="194" t="str">
        <f t="shared" si="59"/>
        <v/>
      </c>
      <c r="GS20" s="194" t="str">
        <f t="shared" si="60"/>
        <v/>
      </c>
      <c r="GT20" s="194" t="str">
        <f t="shared" si="61"/>
        <v/>
      </c>
      <c r="GU20" s="194" t="str">
        <f t="shared" si="62"/>
        <v/>
      </c>
      <c r="GV20" s="194" t="str">
        <f t="shared" si="63"/>
        <v/>
      </c>
      <c r="GW20" s="194" t="str">
        <f t="shared" si="64"/>
        <v/>
      </c>
      <c r="GX20" s="194" t="str">
        <f t="shared" si="65"/>
        <v/>
      </c>
      <c r="GY20" s="194" t="str">
        <f t="shared" si="66"/>
        <v/>
      </c>
      <c r="GZ20" s="194" t="str">
        <f t="shared" si="67"/>
        <v/>
      </c>
      <c r="HA20" s="194" t="str">
        <f t="shared" si="68"/>
        <v/>
      </c>
      <c r="HB20" s="194" t="str">
        <f t="shared" si="69"/>
        <v/>
      </c>
      <c r="HC20" s="194" t="str">
        <f t="shared" si="70"/>
        <v/>
      </c>
      <c r="HD20" s="194" t="str">
        <f t="shared" si="71"/>
        <v/>
      </c>
      <c r="HE20" s="194" t="str">
        <f t="shared" si="72"/>
        <v/>
      </c>
      <c r="HF20" s="194" t="str">
        <f t="shared" si="73"/>
        <v/>
      </c>
      <c r="HG20" s="194" t="str">
        <f t="shared" si="74"/>
        <v/>
      </c>
      <c r="HH20" s="194" t="str">
        <f t="shared" si="75"/>
        <v/>
      </c>
      <c r="HI20" s="194" t="str">
        <f t="shared" si="76"/>
        <v/>
      </c>
      <c r="HJ20" s="194" t="str">
        <f t="shared" si="77"/>
        <v/>
      </c>
      <c r="HK20" s="194" t="str">
        <f t="shared" si="78"/>
        <v/>
      </c>
      <c r="HL20" s="194" t="str">
        <f t="shared" si="79"/>
        <v/>
      </c>
      <c r="HM20" s="194" t="str">
        <f t="shared" si="80"/>
        <v/>
      </c>
      <c r="HN20" s="194" t="str">
        <f t="shared" si="81"/>
        <v/>
      </c>
      <c r="HO20" s="194" t="str">
        <f t="shared" si="82"/>
        <v/>
      </c>
      <c r="HP20" s="194" t="str">
        <f t="shared" si="83"/>
        <v/>
      </c>
      <c r="HQ20" s="194" t="str">
        <f t="shared" si="84"/>
        <v/>
      </c>
      <c r="HR20" s="194" t="str">
        <f t="shared" si="85"/>
        <v/>
      </c>
      <c r="HS20" s="194" t="str">
        <f t="shared" si="86"/>
        <v/>
      </c>
      <c r="HT20" s="194" t="str">
        <f t="shared" si="87"/>
        <v/>
      </c>
      <c r="HU20" s="194" t="str">
        <f t="shared" si="88"/>
        <v/>
      </c>
      <c r="HV20" s="194" t="str">
        <f t="shared" si="89"/>
        <v/>
      </c>
      <c r="HW20" s="194" t="str">
        <f t="shared" si="90"/>
        <v/>
      </c>
      <c r="HX20" s="194" t="str">
        <f t="shared" si="91"/>
        <v/>
      </c>
      <c r="HY20" s="194" t="str">
        <f t="shared" si="92"/>
        <v/>
      </c>
      <c r="HZ20" s="194" t="str">
        <f t="shared" si="93"/>
        <v/>
      </c>
      <c r="IA20" s="194" t="str">
        <f t="shared" si="94"/>
        <v/>
      </c>
      <c r="IB20" s="194" t="str">
        <f t="shared" si="95"/>
        <v/>
      </c>
      <c r="IC20" s="194" t="str">
        <f t="shared" si="96"/>
        <v/>
      </c>
      <c r="ID20" s="194" t="str">
        <f t="shared" si="97"/>
        <v/>
      </c>
      <c r="IE20" s="194" t="str">
        <f t="shared" si="98"/>
        <v/>
      </c>
      <c r="IF20" s="194" t="str">
        <f t="shared" si="99"/>
        <v/>
      </c>
      <c r="IG20" s="194" t="str">
        <f t="shared" si="100"/>
        <v/>
      </c>
      <c r="IH20" s="194" t="str">
        <f t="shared" si="101"/>
        <v/>
      </c>
      <c r="II20" s="194" t="str">
        <f t="shared" si="102"/>
        <v/>
      </c>
      <c r="IJ20" s="194" t="str">
        <f t="shared" si="103"/>
        <v/>
      </c>
      <c r="IK20" s="194" t="str">
        <f t="shared" si="104"/>
        <v/>
      </c>
      <c r="IL20" s="194" t="str">
        <f t="shared" si="105"/>
        <v/>
      </c>
      <c r="IM20" s="194" t="str">
        <f t="shared" si="106"/>
        <v/>
      </c>
      <c r="IN20" s="194" t="str">
        <f t="shared" si="107"/>
        <v/>
      </c>
      <c r="IO20" s="194" t="str">
        <f t="shared" si="108"/>
        <v/>
      </c>
      <c r="IP20" s="194" t="str">
        <f t="shared" si="109"/>
        <v/>
      </c>
      <c r="IQ20" s="194" t="str">
        <f t="shared" si="110"/>
        <v/>
      </c>
      <c r="IR20" s="194" t="str">
        <f t="shared" si="111"/>
        <v/>
      </c>
      <c r="IS20" s="194" t="str">
        <f t="shared" si="112"/>
        <v/>
      </c>
      <c r="IT20" s="194" t="str">
        <f t="shared" si="113"/>
        <v/>
      </c>
      <c r="IU20" s="194" t="str">
        <f t="shared" si="114"/>
        <v/>
      </c>
      <c r="IV20" s="194" t="str">
        <f t="shared" si="115"/>
        <v/>
      </c>
      <c r="IW20" s="194" t="str">
        <f t="shared" si="116"/>
        <v/>
      </c>
      <c r="IX20" s="194" t="str">
        <f t="shared" si="117"/>
        <v/>
      </c>
      <c r="IY20" s="194" t="str">
        <f t="shared" si="118"/>
        <v/>
      </c>
      <c r="IZ20" s="194" t="str">
        <f t="shared" si="119"/>
        <v/>
      </c>
      <c r="JA20" s="194" t="str">
        <f t="shared" si="120"/>
        <v/>
      </c>
      <c r="JB20" s="194" t="str">
        <f t="shared" si="121"/>
        <v/>
      </c>
      <c r="JC20" s="194" t="str">
        <f t="shared" si="122"/>
        <v/>
      </c>
      <c r="JD20" s="194" t="str">
        <f t="shared" si="123"/>
        <v/>
      </c>
      <c r="JE20" s="194" t="str">
        <f t="shared" si="124"/>
        <v/>
      </c>
      <c r="JF20" s="194" t="str">
        <f t="shared" si="125"/>
        <v/>
      </c>
      <c r="JG20" s="194" t="str">
        <f t="shared" si="126"/>
        <v/>
      </c>
      <c r="JH20" s="194" t="str">
        <f t="shared" si="127"/>
        <v/>
      </c>
      <c r="JI20" s="194" t="str">
        <f t="shared" si="128"/>
        <v/>
      </c>
      <c r="JJ20" s="194" t="str">
        <f t="shared" si="129"/>
        <v/>
      </c>
      <c r="JK20" s="194" t="str">
        <f t="shared" si="130"/>
        <v/>
      </c>
      <c r="JL20" s="194" t="str">
        <f t="shared" si="131"/>
        <v/>
      </c>
      <c r="JM20" s="194" t="str">
        <f t="shared" si="132"/>
        <v/>
      </c>
      <c r="JN20" s="194" t="str">
        <f t="shared" si="133"/>
        <v/>
      </c>
      <c r="JO20" s="194" t="str">
        <f t="shared" si="134"/>
        <v/>
      </c>
      <c r="JP20" s="194" t="str">
        <f t="shared" si="135"/>
        <v/>
      </c>
      <c r="JQ20" s="194" t="str">
        <f t="shared" si="136"/>
        <v/>
      </c>
      <c r="JR20" s="194" t="str">
        <f t="shared" si="137"/>
        <v/>
      </c>
      <c r="JS20" s="194" t="str">
        <f t="shared" si="138"/>
        <v/>
      </c>
      <c r="JT20" s="194" t="str">
        <f t="shared" si="139"/>
        <v/>
      </c>
      <c r="JU20" s="194" t="str">
        <f t="shared" si="140"/>
        <v/>
      </c>
      <c r="JV20" s="194" t="str">
        <f t="shared" si="141"/>
        <v/>
      </c>
      <c r="JW20" s="194" t="str">
        <f t="shared" si="142"/>
        <v/>
      </c>
      <c r="JX20" s="194" t="str">
        <f t="shared" si="143"/>
        <v/>
      </c>
      <c r="JY20" s="194" t="str">
        <f t="shared" si="144"/>
        <v/>
      </c>
      <c r="JZ20" s="194" t="str">
        <f t="shared" si="145"/>
        <v/>
      </c>
      <c r="KA20" s="194" t="str">
        <f t="shared" si="146"/>
        <v/>
      </c>
      <c r="KB20" s="194" t="str">
        <f t="shared" si="147"/>
        <v/>
      </c>
      <c r="KC20" s="194" t="str">
        <f t="shared" si="148"/>
        <v/>
      </c>
      <c r="KD20" s="194" t="str">
        <f t="shared" si="149"/>
        <v/>
      </c>
      <c r="KE20" s="194" t="str">
        <f t="shared" si="150"/>
        <v/>
      </c>
      <c r="KF20" s="194" t="str">
        <f t="shared" si="151"/>
        <v/>
      </c>
      <c r="KG20" s="194">
        <f>SUM(LE20:LX20)/COUNTA(RefKI3KI4!$B$5:$B$24)</f>
        <v>78.1</v>
      </c>
      <c r="KH20" s="232">
        <f t="shared" si="198"/>
        <v>0</v>
      </c>
      <c r="KI20" s="340" t="str">
        <f t="shared" si="199"/>
        <v>ok</v>
      </c>
      <c r="KJ20" s="340" t="str">
        <f t="shared" si="200"/>
        <v>ok</v>
      </c>
      <c r="KK20" s="340" t="str">
        <f t="shared" si="201"/>
        <v/>
      </c>
      <c r="KL20" s="340" t="str">
        <f t="shared" si="202"/>
        <v/>
      </c>
      <c r="KM20" s="340" t="str">
        <f t="shared" si="203"/>
        <v/>
      </c>
      <c r="KN20" s="340" t="str">
        <f t="shared" si="204"/>
        <v/>
      </c>
      <c r="KO20" s="340" t="str">
        <f t="shared" si="205"/>
        <v/>
      </c>
      <c r="KP20" s="340" t="str">
        <f t="shared" si="206"/>
        <v/>
      </c>
      <c r="KQ20" s="340" t="str">
        <f t="shared" si="207"/>
        <v/>
      </c>
      <c r="KR20" s="340" t="str">
        <f t="shared" si="208"/>
        <v/>
      </c>
      <c r="KS20" s="340" t="str">
        <f t="shared" si="209"/>
        <v/>
      </c>
      <c r="KT20" s="340" t="str">
        <f t="shared" si="210"/>
        <v/>
      </c>
      <c r="KU20" s="340" t="str">
        <f t="shared" si="211"/>
        <v/>
      </c>
      <c r="KV20" s="340" t="str">
        <f t="shared" si="212"/>
        <v/>
      </c>
      <c r="KW20" s="340" t="str">
        <f t="shared" si="213"/>
        <v/>
      </c>
      <c r="KX20" s="340" t="str">
        <f t="shared" si="214"/>
        <v/>
      </c>
      <c r="KY20" s="340" t="str">
        <f t="shared" si="215"/>
        <v/>
      </c>
      <c r="KZ20" s="340" t="str">
        <f t="shared" si="216"/>
        <v/>
      </c>
      <c r="LA20" s="340" t="str">
        <f t="shared" si="217"/>
        <v/>
      </c>
      <c r="LB20" s="340" t="str">
        <f t="shared" si="218"/>
        <v/>
      </c>
      <c r="LC20" s="340">
        <f t="shared" si="219"/>
        <v>0</v>
      </c>
      <c r="LD20" s="228">
        <v>12</v>
      </c>
      <c r="LE20" s="229">
        <f t="shared" si="220"/>
        <v>83.2</v>
      </c>
      <c r="LF20" s="229">
        <f t="shared" si="221"/>
        <v>73</v>
      </c>
      <c r="LG20" s="229" t="str">
        <f t="shared" si="222"/>
        <v/>
      </c>
      <c r="LH20" s="229" t="str">
        <f t="shared" si="223"/>
        <v/>
      </c>
      <c r="LI20" s="229" t="str">
        <f t="shared" si="224"/>
        <v/>
      </c>
      <c r="LJ20" s="229" t="str">
        <f t="shared" si="225"/>
        <v/>
      </c>
      <c r="LK20" s="229" t="str">
        <f t="shared" si="226"/>
        <v/>
      </c>
      <c r="LL20" s="229" t="str">
        <f t="shared" si="227"/>
        <v/>
      </c>
      <c r="LM20" s="229" t="str">
        <f t="shared" si="228"/>
        <v/>
      </c>
      <c r="LN20" s="229" t="str">
        <f t="shared" si="229"/>
        <v/>
      </c>
      <c r="LO20" s="229" t="str">
        <f t="shared" si="230"/>
        <v/>
      </c>
      <c r="LP20" s="229" t="str">
        <f t="shared" si="231"/>
        <v/>
      </c>
      <c r="LQ20" s="229" t="str">
        <f t="shared" si="232"/>
        <v/>
      </c>
      <c r="LR20" s="229" t="str">
        <f t="shared" si="233"/>
        <v/>
      </c>
      <c r="LS20" s="229" t="str">
        <f t="shared" si="234"/>
        <v/>
      </c>
      <c r="LT20" s="229" t="str">
        <f t="shared" si="235"/>
        <v/>
      </c>
      <c r="LU20" s="229" t="str">
        <f t="shared" si="236"/>
        <v/>
      </c>
      <c r="LV20" s="229" t="str">
        <f t="shared" si="237"/>
        <v/>
      </c>
      <c r="LW20" s="229" t="str">
        <f t="shared" si="238"/>
        <v/>
      </c>
      <c r="LX20" s="229" t="str">
        <f t="shared" si="239"/>
        <v/>
      </c>
      <c r="LY20" s="231">
        <f t="shared" si="240"/>
        <v>83.2</v>
      </c>
      <c r="LZ20" s="231">
        <f t="shared" si="241"/>
        <v>73</v>
      </c>
      <c r="MA20" s="231" t="str">
        <f t="shared" si="242"/>
        <v/>
      </c>
      <c r="MB20" s="231" t="str">
        <f t="shared" si="243"/>
        <v/>
      </c>
      <c r="MC20" s="231" t="str">
        <f t="shared" si="244"/>
        <v/>
      </c>
      <c r="MD20" s="231" t="str">
        <f t="shared" si="245"/>
        <v/>
      </c>
      <c r="ME20" s="231" t="str">
        <f t="shared" si="246"/>
        <v/>
      </c>
      <c r="MF20" s="231" t="str">
        <f t="shared" si="247"/>
        <v/>
      </c>
      <c r="MG20" s="231" t="str">
        <f t="shared" si="248"/>
        <v/>
      </c>
      <c r="MH20" s="231" t="str">
        <f t="shared" si="249"/>
        <v/>
      </c>
      <c r="MI20" s="231" t="str">
        <f t="shared" si="250"/>
        <v/>
      </c>
      <c r="MJ20" s="231" t="str">
        <f t="shared" si="251"/>
        <v/>
      </c>
      <c r="MK20" s="231" t="str">
        <f t="shared" si="252"/>
        <v/>
      </c>
      <c r="ML20" s="231" t="str">
        <f t="shared" si="253"/>
        <v/>
      </c>
      <c r="MM20" s="231" t="str">
        <f t="shared" si="254"/>
        <v/>
      </c>
      <c r="MN20" s="231" t="str">
        <f t="shared" si="255"/>
        <v/>
      </c>
      <c r="MO20" s="231" t="str">
        <f t="shared" si="256"/>
        <v/>
      </c>
      <c r="MP20" s="231" t="str">
        <f t="shared" si="257"/>
        <v/>
      </c>
      <c r="MQ20" s="231" t="str">
        <f t="shared" si="258"/>
        <v/>
      </c>
      <c r="MR20" s="231" t="str">
        <f t="shared" si="259"/>
        <v/>
      </c>
      <c r="MS20" s="231">
        <f t="shared" si="154"/>
        <v>83.2</v>
      </c>
      <c r="MT20" s="232" t="str">
        <f>IF(MS20="","",IF(MS20&gt;=KONVERSI!$A$5,KONVERSI!$E$5,IF(MS20&gt;=KONVERSI!$A$6,KONVERSI!$E$6,IF(MS20&gt;=KONVERSI!$A$7,KONVERSI!$E$7,KONVERSI!$E$8))))</f>
        <v>Baik</v>
      </c>
      <c r="MU20" s="233" t="str">
        <f t="shared" si="155"/>
        <v>Baik dalamjenis, sifat, karakter dan teknik pengolahan kerang, kaca, keramik dan botol plastik</v>
      </c>
      <c r="MV20" s="234">
        <f t="shared" si="260"/>
        <v>73</v>
      </c>
      <c r="MW20" s="232" t="str">
        <f>IF(MV20="","",IF(MV20&gt;=KONVERSI!$A$5,KONVERSI!$E$5,IF(MV20&gt;=KONVERSI!$A$6,KONVERSI!$E$6,IF(MV20&gt;=KONVERSI!$A$7,KONVERSI!$E$7,KONVERSI!$E$8))))</f>
        <v>Cukup Baik</v>
      </c>
      <c r="MX20" s="134" t="str">
        <f>IF(FI20&lt;$FN$4," "&amp;KONVERSI!$C$18&amp;INDEX($LY$8:$MR$8,MATCH(MV20,LY20:MR20,0))&amp;".",IF(KG20=0,"",IF(MV20&lt;&gt;0,MU20&amp;MW20&amp;".",MU20&amp;".")))</f>
        <v>Baik dalamjenis, sifat, karakter dan teknik pengolahan kerang, kaca, keramik dan botol plastikCukup Baik.</v>
      </c>
      <c r="MY20" s="235" t="str">
        <f t="shared" si="261"/>
        <v>OK</v>
      </c>
      <c r="MZ20" s="235" t="str">
        <f t="shared" si="262"/>
        <v>NO</v>
      </c>
      <c r="NA20" s="235" t="str">
        <f t="shared" si="263"/>
        <v/>
      </c>
      <c r="NB20" s="235" t="str">
        <f t="shared" si="264"/>
        <v/>
      </c>
      <c r="NC20" s="235" t="str">
        <f t="shared" si="265"/>
        <v/>
      </c>
      <c r="ND20" s="235" t="str">
        <f t="shared" si="266"/>
        <v/>
      </c>
      <c r="NE20" s="235" t="str">
        <f t="shared" si="267"/>
        <v/>
      </c>
      <c r="NF20" s="235" t="str">
        <f t="shared" si="268"/>
        <v/>
      </c>
      <c r="NG20" s="235" t="str">
        <f t="shared" si="269"/>
        <v/>
      </c>
      <c r="NH20" s="235" t="str">
        <f t="shared" si="270"/>
        <v/>
      </c>
      <c r="NI20" s="235" t="str">
        <f t="shared" si="271"/>
        <v/>
      </c>
      <c r="NJ20" s="235" t="str">
        <f t="shared" si="272"/>
        <v/>
      </c>
      <c r="NK20" s="235" t="str">
        <f t="shared" si="273"/>
        <v/>
      </c>
      <c r="NL20" s="235" t="str">
        <f t="shared" si="274"/>
        <v/>
      </c>
      <c r="NM20" s="235" t="str">
        <f t="shared" si="275"/>
        <v/>
      </c>
      <c r="NN20" s="235" t="str">
        <f t="shared" si="276"/>
        <v/>
      </c>
      <c r="NO20" s="235" t="str">
        <f t="shared" si="277"/>
        <v/>
      </c>
      <c r="NP20" s="235" t="str">
        <f t="shared" si="278"/>
        <v/>
      </c>
      <c r="NQ20" s="235" t="str">
        <f t="shared" si="279"/>
        <v/>
      </c>
      <c r="NR20" s="235" t="str">
        <f t="shared" si="280"/>
        <v/>
      </c>
      <c r="NS20" s="134" t="str">
        <f t="shared" si="281"/>
        <v>jenis, sifat, karakter dan teknik pengolahan kerang, kaca, keramik dan botol plastik</v>
      </c>
      <c r="NT20" s="134" t="str">
        <f t="shared" si="282"/>
        <v/>
      </c>
      <c r="NU20" s="134" t="str">
        <f t="shared" si="283"/>
        <v/>
      </c>
      <c r="NV20" s="134" t="str">
        <f t="shared" si="284"/>
        <v/>
      </c>
      <c r="NW20" s="134" t="str">
        <f t="shared" si="285"/>
        <v/>
      </c>
      <c r="NX20" s="134" t="str">
        <f t="shared" si="286"/>
        <v/>
      </c>
      <c r="NY20" s="134" t="str">
        <f t="shared" si="287"/>
        <v/>
      </c>
      <c r="NZ20" s="134" t="str">
        <f t="shared" si="288"/>
        <v/>
      </c>
      <c r="OA20" s="134" t="str">
        <f t="shared" si="289"/>
        <v/>
      </c>
      <c r="OB20" s="134" t="str">
        <f t="shared" si="290"/>
        <v/>
      </c>
      <c r="OC20" s="134" t="str">
        <f t="shared" si="291"/>
        <v/>
      </c>
      <c r="OD20" s="134" t="str">
        <f t="shared" si="292"/>
        <v/>
      </c>
      <c r="OE20" s="134" t="str">
        <f t="shared" si="293"/>
        <v/>
      </c>
      <c r="OF20" s="134" t="str">
        <f t="shared" si="294"/>
        <v/>
      </c>
      <c r="OG20" s="134" t="str">
        <f t="shared" si="295"/>
        <v/>
      </c>
      <c r="OH20" s="134" t="str">
        <f t="shared" si="296"/>
        <v/>
      </c>
      <c r="OI20" s="134" t="str">
        <f t="shared" si="297"/>
        <v/>
      </c>
      <c r="OJ20" s="134" t="str">
        <f t="shared" si="298"/>
        <v/>
      </c>
      <c r="OK20" s="134" t="str">
        <f t="shared" si="299"/>
        <v/>
      </c>
      <c r="OL20" s="134" t="str">
        <f t="shared" si="300"/>
        <v/>
      </c>
      <c r="OM20" s="134" t="str">
        <f t="shared" si="301"/>
        <v>Baik dalam jenis, sifat, karakter dan teknik pengolahan kerang, kaca, keramik dan botol plastik</v>
      </c>
      <c r="ON20" s="134" t="str">
        <f t="shared" si="302"/>
        <v>Baik dalam jenis, sifat, karakter dan teknik pengolahan kerang, kaca, keramik dan botol plasti.  </v>
      </c>
      <c r="OO20" s="236">
        <f t="shared" si="169"/>
        <v>1</v>
      </c>
      <c r="OP20" s="235" t="str">
        <f t="shared" si="303"/>
        <v>NO</v>
      </c>
      <c r="OQ20" s="235" t="str">
        <f t="shared" si="304"/>
        <v>OK</v>
      </c>
      <c r="OR20" s="235" t="str">
        <f t="shared" si="305"/>
        <v/>
      </c>
      <c r="OS20" s="235" t="str">
        <f t="shared" si="306"/>
        <v/>
      </c>
      <c r="OT20" s="235" t="str">
        <f t="shared" si="307"/>
        <v/>
      </c>
      <c r="OU20" s="235" t="str">
        <f t="shared" si="308"/>
        <v/>
      </c>
      <c r="OV20" s="235" t="str">
        <f t="shared" si="309"/>
        <v/>
      </c>
      <c r="OW20" s="235" t="str">
        <f t="shared" si="310"/>
        <v/>
      </c>
      <c r="OX20" s="235" t="str">
        <f t="shared" si="311"/>
        <v/>
      </c>
      <c r="OY20" s="235" t="str">
        <f t="shared" si="312"/>
        <v/>
      </c>
      <c r="OZ20" s="235" t="str">
        <f t="shared" si="313"/>
        <v/>
      </c>
      <c r="PA20" s="235" t="str">
        <f t="shared" si="314"/>
        <v/>
      </c>
      <c r="PB20" s="235" t="str">
        <f t="shared" si="315"/>
        <v/>
      </c>
      <c r="PC20" s="235" t="str">
        <f t="shared" si="316"/>
        <v/>
      </c>
      <c r="PD20" s="235" t="str">
        <f t="shared" si="317"/>
        <v/>
      </c>
      <c r="PE20" s="235" t="str">
        <f t="shared" si="318"/>
        <v/>
      </c>
      <c r="PF20" s="235" t="str">
        <f t="shared" si="319"/>
        <v/>
      </c>
      <c r="PG20" s="235" t="str">
        <f t="shared" si="320"/>
        <v/>
      </c>
      <c r="PH20" s="235" t="str">
        <f t="shared" si="321"/>
        <v/>
      </c>
      <c r="PI20" s="235" t="str">
        <f t="shared" si="322"/>
        <v/>
      </c>
      <c r="PJ20" s="134" t="str">
        <f t="shared" si="323"/>
        <v/>
      </c>
      <c r="PK20" s="134" t="str">
        <f t="shared" si="324"/>
        <v>prinsip perancangan, pembuatan dan penyajian produk kerajinan kerang, kaca, keramik dan botol plastik yang kreatif dan inovatif</v>
      </c>
      <c r="PL20" s="134" t="str">
        <f t="shared" si="325"/>
        <v/>
      </c>
      <c r="PM20" s="134" t="str">
        <f t="shared" si="326"/>
        <v/>
      </c>
      <c r="PN20" s="134" t="str">
        <f t="shared" si="327"/>
        <v/>
      </c>
      <c r="PO20" s="134" t="str">
        <f t="shared" si="328"/>
        <v/>
      </c>
      <c r="PP20" s="134" t="str">
        <f t="shared" si="329"/>
        <v/>
      </c>
      <c r="PQ20" s="134" t="str">
        <f t="shared" si="330"/>
        <v/>
      </c>
      <c r="PR20" s="134" t="str">
        <f t="shared" si="331"/>
        <v/>
      </c>
      <c r="PS20" s="134" t="str">
        <f t="shared" si="332"/>
        <v/>
      </c>
      <c r="PT20" s="134" t="str">
        <f t="shared" si="333"/>
        <v/>
      </c>
      <c r="PU20" s="134" t="str">
        <f t="shared" si="334"/>
        <v/>
      </c>
      <c r="PV20" s="134" t="str">
        <f t="shared" si="335"/>
        <v/>
      </c>
      <c r="PW20" s="134" t="str">
        <f t="shared" si="336"/>
        <v/>
      </c>
      <c r="PX20" s="134" t="str">
        <f t="shared" si="337"/>
        <v/>
      </c>
      <c r="PY20" s="134" t="str">
        <f t="shared" si="338"/>
        <v/>
      </c>
      <c r="PZ20" s="134" t="str">
        <f t="shared" si="339"/>
        <v/>
      </c>
      <c r="QA20" s="134" t="str">
        <f t="shared" si="340"/>
        <v/>
      </c>
      <c r="QB20" s="134" t="str">
        <f t="shared" si="341"/>
        <v/>
      </c>
      <c r="QC20" s="134" t="str">
        <f t="shared" si="342"/>
        <v/>
      </c>
      <c r="QD20" s="134" t="str">
        <f>IF(MT20=MW20,"",IF(MV20="","",IF(MV20&gt;=KONVERSI!$A$7,'KI3'!MW20&amp;" dalam"&amp;PJ20&amp;PK20&amp;PL20&amp;PM20&amp;PN20&amp;PO20&amp;PP20&amp;PQ20&amp;PR20&amp;PS20&amp;PT20&amp;PU20&amp;PV20&amp;PW20&amp;PX20&amp;PY20&amp;PZ20&amp;QA20&amp;QB20&amp;QC20,KONVERSI!$C$18&amp;" dalam"&amp;PJ20&amp;PK20&amp;PL20&amp;PM20&amp;PN20&amp;PO20&amp;PP20&amp;PQ20&amp;PR20&amp;PS20&amp;PT20&amp;PU20&amp;PV20&amp;PW20&amp;PX20&amp;PY20&amp;PZ20&amp;QA20&amp;QB20&amp;QC20)))</f>
        <v>Cukup Baik dalamprinsip perancangan, pembuatan dan penyajian produk kerajinan kerang, kaca, keramik dan botol plastik yang kreatif dan inovatif</v>
      </c>
      <c r="QE20" s="134" t="str">
        <f t="shared" si="343"/>
        <v>Cukup Baik dalamprinsip perancangan, pembuatan dan penyajian produk kerajinan kerang, kaca, keramik dan botol plastik yang kreatif dan inovati.</v>
      </c>
      <c r="QF20" s="236">
        <f t="shared" si="172"/>
        <v>1</v>
      </c>
      <c r="QG20" s="134" t="str">
        <f t="shared" si="173"/>
        <v>Baik dalam jenis, sifat, karakter dan teknik pengolahan kerang, kaca, keramik dan botol plasti.  Cukup Baik dalamprinsip perancangan, pembuatan dan penyajian produk kerajinan kerang, kaca, keramik dan botol plastik yang kreatif dan inovati.</v>
      </c>
    </row>
    <row r="21" ht="27.6" customHeight="1" spans="1:449">
      <c r="A21" s="179"/>
      <c r="B21" s="177">
        <v>13</v>
      </c>
      <c r="C21" s="178" t="str">
        <f>siswa!C17</f>
        <v>JHONATAN MARCEL TAMPUBOLON</v>
      </c>
      <c r="D21" s="174">
        <f>siswa!D17</f>
        <v>2777</v>
      </c>
      <c r="E21" s="175">
        <v>84</v>
      </c>
      <c r="F21" s="175">
        <v>84</v>
      </c>
      <c r="G21" s="248"/>
      <c r="H21" s="176"/>
      <c r="I21" s="176"/>
      <c r="J21" s="175">
        <v>74</v>
      </c>
      <c r="K21" s="176"/>
      <c r="L21" s="223">
        <f t="shared" si="174"/>
        <v>80</v>
      </c>
      <c r="M21" s="250">
        <v>86</v>
      </c>
      <c r="N21" s="250">
        <v>86</v>
      </c>
      <c r="O21" s="248"/>
      <c r="P21" s="176"/>
      <c r="Q21" s="176"/>
      <c r="R21" s="250">
        <v>84</v>
      </c>
      <c r="S21" s="176"/>
      <c r="T21" s="223">
        <f t="shared" si="175"/>
        <v>85.2</v>
      </c>
      <c r="U21" s="248"/>
      <c r="V21" s="248"/>
      <c r="W21" s="248"/>
      <c r="X21" s="176"/>
      <c r="Y21" s="176"/>
      <c r="Z21" s="250"/>
      <c r="AA21" s="176"/>
      <c r="AB21" s="223">
        <f t="shared" si="176"/>
        <v>0</v>
      </c>
      <c r="AC21" s="248"/>
      <c r="AD21" s="248"/>
      <c r="AE21" s="248"/>
      <c r="AF21" s="248"/>
      <c r="AG21" s="176"/>
      <c r="AH21" s="250"/>
      <c r="AI21" s="176"/>
      <c r="AJ21" s="223">
        <f t="shared" si="177"/>
        <v>0</v>
      </c>
      <c r="AK21" s="181"/>
      <c r="AL21" s="176"/>
      <c r="AM21" s="176"/>
      <c r="AN21" s="176"/>
      <c r="AO21" s="176"/>
      <c r="AP21" s="176"/>
      <c r="AQ21" s="176"/>
      <c r="AR21" s="223">
        <f t="shared" si="178"/>
        <v>0</v>
      </c>
      <c r="AS21" s="181"/>
      <c r="AT21" s="176"/>
      <c r="AU21" s="176"/>
      <c r="AV21" s="176"/>
      <c r="AW21" s="176"/>
      <c r="AX21" s="176"/>
      <c r="AY21" s="176"/>
      <c r="AZ21" s="223">
        <f t="shared" si="179"/>
        <v>0</v>
      </c>
      <c r="BA21" s="181"/>
      <c r="BB21" s="176"/>
      <c r="BC21" s="176"/>
      <c r="BD21" s="176"/>
      <c r="BE21" s="176"/>
      <c r="BF21" s="176"/>
      <c r="BG21" s="176"/>
      <c r="BH21" s="223">
        <f t="shared" si="180"/>
        <v>0</v>
      </c>
      <c r="BI21" s="181"/>
      <c r="BJ21" s="176"/>
      <c r="BK21" s="176"/>
      <c r="BL21" s="176"/>
      <c r="BM21" s="176"/>
      <c r="BN21" s="176"/>
      <c r="BO21" s="176"/>
      <c r="BP21" s="223">
        <f t="shared" si="181"/>
        <v>0</v>
      </c>
      <c r="BQ21" s="181"/>
      <c r="BR21" s="176"/>
      <c r="BS21" s="176"/>
      <c r="BT21" s="176"/>
      <c r="BU21" s="176"/>
      <c r="BV21" s="176"/>
      <c r="BW21" s="176"/>
      <c r="BX21" s="223">
        <f t="shared" si="182"/>
        <v>0</v>
      </c>
      <c r="BY21" s="181"/>
      <c r="BZ21" s="176"/>
      <c r="CA21" s="176"/>
      <c r="CB21" s="176"/>
      <c r="CC21" s="176"/>
      <c r="CD21" s="176"/>
      <c r="CE21" s="176"/>
      <c r="CF21" s="223">
        <f t="shared" si="183"/>
        <v>0</v>
      </c>
      <c r="CG21" s="181"/>
      <c r="CH21" s="176"/>
      <c r="CI21" s="176"/>
      <c r="CJ21" s="176"/>
      <c r="CK21" s="176"/>
      <c r="CL21" s="176"/>
      <c r="CM21" s="176"/>
      <c r="CN21" s="223">
        <f t="shared" si="184"/>
        <v>0</v>
      </c>
      <c r="CO21" s="181"/>
      <c r="CP21" s="176"/>
      <c r="CQ21" s="176"/>
      <c r="CR21" s="176"/>
      <c r="CS21" s="176"/>
      <c r="CT21" s="176"/>
      <c r="CU21" s="176"/>
      <c r="CV21" s="223">
        <f t="shared" si="185"/>
        <v>0</v>
      </c>
      <c r="CW21" s="181"/>
      <c r="CX21" s="176"/>
      <c r="CY21" s="176"/>
      <c r="CZ21" s="176"/>
      <c r="DA21" s="176"/>
      <c r="DB21" s="176"/>
      <c r="DC21" s="176"/>
      <c r="DD21" s="223">
        <f t="shared" si="186"/>
        <v>0</v>
      </c>
      <c r="DE21" s="181"/>
      <c r="DF21" s="176"/>
      <c r="DG21" s="176"/>
      <c r="DH21" s="176"/>
      <c r="DI21" s="176"/>
      <c r="DJ21" s="176"/>
      <c r="DK21" s="176"/>
      <c r="DL21" s="223">
        <f t="shared" si="187"/>
        <v>0</v>
      </c>
      <c r="DM21" s="181"/>
      <c r="DN21" s="176"/>
      <c r="DO21" s="176"/>
      <c r="DP21" s="176"/>
      <c r="DQ21" s="176"/>
      <c r="DR21" s="176"/>
      <c r="DS21" s="176"/>
      <c r="DT21" s="223">
        <f t="shared" si="188"/>
        <v>0</v>
      </c>
      <c r="DU21" s="181"/>
      <c r="DV21" s="176"/>
      <c r="DW21" s="176"/>
      <c r="DX21" s="176"/>
      <c r="DY21" s="176"/>
      <c r="DZ21" s="176"/>
      <c r="EA21" s="176"/>
      <c r="EB21" s="223">
        <f t="shared" si="189"/>
        <v>0</v>
      </c>
      <c r="EC21" s="181"/>
      <c r="ED21" s="176"/>
      <c r="EE21" s="176"/>
      <c r="EF21" s="176"/>
      <c r="EG21" s="176"/>
      <c r="EH21" s="176"/>
      <c r="EI21" s="176"/>
      <c r="EJ21" s="223">
        <f t="shared" si="190"/>
        <v>0</v>
      </c>
      <c r="EK21" s="181"/>
      <c r="EL21" s="176"/>
      <c r="EM21" s="176"/>
      <c r="EN21" s="176"/>
      <c r="EO21" s="176"/>
      <c r="EP21" s="176"/>
      <c r="EQ21" s="176"/>
      <c r="ER21" s="223">
        <f t="shared" si="191"/>
        <v>0</v>
      </c>
      <c r="ES21" s="181"/>
      <c r="ET21" s="176"/>
      <c r="EU21" s="176"/>
      <c r="EV21" s="176"/>
      <c r="EW21" s="176"/>
      <c r="EX21" s="176"/>
      <c r="EY21" s="176"/>
      <c r="EZ21" s="223">
        <f t="shared" si="192"/>
        <v>0</v>
      </c>
      <c r="FA21" s="181"/>
      <c r="FB21" s="176"/>
      <c r="FC21" s="176"/>
      <c r="FD21" s="176"/>
      <c r="FE21" s="176"/>
      <c r="FF21" s="176"/>
      <c r="FG21" s="176"/>
      <c r="FH21" s="223">
        <f t="shared" si="193"/>
        <v>0</v>
      </c>
      <c r="FI21" s="291">
        <f t="shared" si="194"/>
        <v>83</v>
      </c>
      <c r="FJ21" s="250">
        <v>88</v>
      </c>
      <c r="FK21" s="250"/>
      <c r="FL21" s="291">
        <f t="shared" si="195"/>
        <v>85</v>
      </c>
      <c r="FM21" s="312" t="str">
        <f>IFERROR(IF(FL21="","",IF(FL21&gt;=KONVERSI!$A$5,KONVERSI!$D$5,IF(FL21&gt;=KONVERSI!$A$6,KONVERSI!$D$6,IF(FL21&gt;=KONVERSI!$A$7,KONVERSI!$D$7,KONVERSI!$D$8)))),"")</f>
        <v>B</v>
      </c>
      <c r="FN21" s="232" t="str">
        <f t="shared" si="196"/>
        <v>Tuntas</v>
      </c>
      <c r="FO21" s="313"/>
      <c r="FP21" s="314">
        <f t="shared" si="197"/>
        <v>85</v>
      </c>
      <c r="FQ21" s="194">
        <f t="shared" si="33"/>
        <v>84</v>
      </c>
      <c r="FR21" s="194">
        <f t="shared" si="34"/>
        <v>84</v>
      </c>
      <c r="FS21" s="194" t="str">
        <f t="shared" si="35"/>
        <v/>
      </c>
      <c r="FT21" s="194" t="str">
        <f t="shared" si="36"/>
        <v/>
      </c>
      <c r="FU21" s="194" t="str">
        <f t="shared" si="37"/>
        <v/>
      </c>
      <c r="FV21" s="194">
        <f t="shared" si="38"/>
        <v>80</v>
      </c>
      <c r="FW21" s="194">
        <f t="shared" si="39"/>
        <v>86</v>
      </c>
      <c r="FX21" s="194">
        <f t="shared" si="344"/>
        <v>86</v>
      </c>
      <c r="FY21" s="194" t="str">
        <f t="shared" si="40"/>
        <v/>
      </c>
      <c r="FZ21" s="194" t="str">
        <f t="shared" si="41"/>
        <v/>
      </c>
      <c r="GA21" s="194" t="str">
        <f t="shared" si="42"/>
        <v/>
      </c>
      <c r="GB21" s="194">
        <f t="shared" si="43"/>
        <v>85.2</v>
      </c>
      <c r="GC21" s="194" t="str">
        <f t="shared" si="44"/>
        <v/>
      </c>
      <c r="GD21" s="194" t="str">
        <f t="shared" si="45"/>
        <v/>
      </c>
      <c r="GE21" s="194" t="str">
        <f t="shared" si="46"/>
        <v/>
      </c>
      <c r="GF21" s="194" t="str">
        <f t="shared" si="47"/>
        <v/>
      </c>
      <c r="GG21" s="194" t="str">
        <f t="shared" si="48"/>
        <v/>
      </c>
      <c r="GH21" s="194" t="str">
        <f t="shared" si="49"/>
        <v/>
      </c>
      <c r="GI21" s="194" t="str">
        <f t="shared" si="50"/>
        <v/>
      </c>
      <c r="GJ21" s="194" t="str">
        <f t="shared" si="51"/>
        <v/>
      </c>
      <c r="GK21" s="194" t="str">
        <f t="shared" si="52"/>
        <v/>
      </c>
      <c r="GL21" s="194" t="str">
        <f t="shared" si="53"/>
        <v/>
      </c>
      <c r="GM21" s="194" t="str">
        <f t="shared" si="54"/>
        <v/>
      </c>
      <c r="GN21" s="194" t="str">
        <f t="shared" si="55"/>
        <v/>
      </c>
      <c r="GO21" s="194" t="str">
        <f t="shared" si="56"/>
        <v/>
      </c>
      <c r="GP21" s="194" t="str">
        <f t="shared" si="57"/>
        <v/>
      </c>
      <c r="GQ21" s="194" t="str">
        <f t="shared" si="58"/>
        <v/>
      </c>
      <c r="GR21" s="194" t="str">
        <f t="shared" si="59"/>
        <v/>
      </c>
      <c r="GS21" s="194" t="str">
        <f t="shared" si="60"/>
        <v/>
      </c>
      <c r="GT21" s="194" t="str">
        <f t="shared" si="61"/>
        <v/>
      </c>
      <c r="GU21" s="194" t="str">
        <f t="shared" si="62"/>
        <v/>
      </c>
      <c r="GV21" s="194" t="str">
        <f t="shared" si="63"/>
        <v/>
      </c>
      <c r="GW21" s="194" t="str">
        <f t="shared" si="64"/>
        <v/>
      </c>
      <c r="GX21" s="194" t="str">
        <f t="shared" si="65"/>
        <v/>
      </c>
      <c r="GY21" s="194" t="str">
        <f t="shared" si="66"/>
        <v/>
      </c>
      <c r="GZ21" s="194" t="str">
        <f t="shared" si="67"/>
        <v/>
      </c>
      <c r="HA21" s="194" t="str">
        <f t="shared" si="68"/>
        <v/>
      </c>
      <c r="HB21" s="194" t="str">
        <f t="shared" si="69"/>
        <v/>
      </c>
      <c r="HC21" s="194" t="str">
        <f t="shared" si="70"/>
        <v/>
      </c>
      <c r="HD21" s="194" t="str">
        <f t="shared" si="71"/>
        <v/>
      </c>
      <c r="HE21" s="194" t="str">
        <f t="shared" si="72"/>
        <v/>
      </c>
      <c r="HF21" s="194" t="str">
        <f t="shared" si="73"/>
        <v/>
      </c>
      <c r="HG21" s="194" t="str">
        <f t="shared" si="74"/>
        <v/>
      </c>
      <c r="HH21" s="194" t="str">
        <f t="shared" si="75"/>
        <v/>
      </c>
      <c r="HI21" s="194" t="str">
        <f t="shared" si="76"/>
        <v/>
      </c>
      <c r="HJ21" s="194" t="str">
        <f t="shared" si="77"/>
        <v/>
      </c>
      <c r="HK21" s="194" t="str">
        <f t="shared" si="78"/>
        <v/>
      </c>
      <c r="HL21" s="194" t="str">
        <f t="shared" si="79"/>
        <v/>
      </c>
      <c r="HM21" s="194" t="str">
        <f t="shared" si="80"/>
        <v/>
      </c>
      <c r="HN21" s="194" t="str">
        <f t="shared" si="81"/>
        <v/>
      </c>
      <c r="HO21" s="194" t="str">
        <f t="shared" si="82"/>
        <v/>
      </c>
      <c r="HP21" s="194" t="str">
        <f t="shared" si="83"/>
        <v/>
      </c>
      <c r="HQ21" s="194" t="str">
        <f t="shared" si="84"/>
        <v/>
      </c>
      <c r="HR21" s="194" t="str">
        <f t="shared" si="85"/>
        <v/>
      </c>
      <c r="HS21" s="194" t="str">
        <f t="shared" si="86"/>
        <v/>
      </c>
      <c r="HT21" s="194" t="str">
        <f t="shared" si="87"/>
        <v/>
      </c>
      <c r="HU21" s="194" t="str">
        <f t="shared" si="88"/>
        <v/>
      </c>
      <c r="HV21" s="194" t="str">
        <f t="shared" si="89"/>
        <v/>
      </c>
      <c r="HW21" s="194" t="str">
        <f t="shared" si="90"/>
        <v/>
      </c>
      <c r="HX21" s="194" t="str">
        <f t="shared" si="91"/>
        <v/>
      </c>
      <c r="HY21" s="194" t="str">
        <f t="shared" si="92"/>
        <v/>
      </c>
      <c r="HZ21" s="194" t="str">
        <f t="shared" si="93"/>
        <v/>
      </c>
      <c r="IA21" s="194" t="str">
        <f t="shared" si="94"/>
        <v/>
      </c>
      <c r="IB21" s="194" t="str">
        <f t="shared" si="95"/>
        <v/>
      </c>
      <c r="IC21" s="194" t="str">
        <f t="shared" si="96"/>
        <v/>
      </c>
      <c r="ID21" s="194" t="str">
        <f t="shared" si="97"/>
        <v/>
      </c>
      <c r="IE21" s="194" t="str">
        <f t="shared" si="98"/>
        <v/>
      </c>
      <c r="IF21" s="194" t="str">
        <f t="shared" si="99"/>
        <v/>
      </c>
      <c r="IG21" s="194" t="str">
        <f t="shared" si="100"/>
        <v/>
      </c>
      <c r="IH21" s="194" t="str">
        <f t="shared" si="101"/>
        <v/>
      </c>
      <c r="II21" s="194" t="str">
        <f t="shared" si="102"/>
        <v/>
      </c>
      <c r="IJ21" s="194" t="str">
        <f t="shared" si="103"/>
        <v/>
      </c>
      <c r="IK21" s="194" t="str">
        <f t="shared" si="104"/>
        <v/>
      </c>
      <c r="IL21" s="194" t="str">
        <f t="shared" si="105"/>
        <v/>
      </c>
      <c r="IM21" s="194" t="str">
        <f t="shared" si="106"/>
        <v/>
      </c>
      <c r="IN21" s="194" t="str">
        <f t="shared" si="107"/>
        <v/>
      </c>
      <c r="IO21" s="194" t="str">
        <f t="shared" si="108"/>
        <v/>
      </c>
      <c r="IP21" s="194" t="str">
        <f t="shared" si="109"/>
        <v/>
      </c>
      <c r="IQ21" s="194" t="str">
        <f t="shared" si="110"/>
        <v/>
      </c>
      <c r="IR21" s="194" t="str">
        <f t="shared" si="111"/>
        <v/>
      </c>
      <c r="IS21" s="194" t="str">
        <f t="shared" si="112"/>
        <v/>
      </c>
      <c r="IT21" s="194" t="str">
        <f t="shared" si="113"/>
        <v/>
      </c>
      <c r="IU21" s="194" t="str">
        <f t="shared" si="114"/>
        <v/>
      </c>
      <c r="IV21" s="194" t="str">
        <f t="shared" si="115"/>
        <v/>
      </c>
      <c r="IW21" s="194" t="str">
        <f t="shared" si="116"/>
        <v/>
      </c>
      <c r="IX21" s="194" t="str">
        <f t="shared" si="117"/>
        <v/>
      </c>
      <c r="IY21" s="194" t="str">
        <f t="shared" si="118"/>
        <v/>
      </c>
      <c r="IZ21" s="194" t="str">
        <f t="shared" si="119"/>
        <v/>
      </c>
      <c r="JA21" s="194" t="str">
        <f t="shared" si="120"/>
        <v/>
      </c>
      <c r="JB21" s="194" t="str">
        <f t="shared" si="121"/>
        <v/>
      </c>
      <c r="JC21" s="194" t="str">
        <f t="shared" si="122"/>
        <v/>
      </c>
      <c r="JD21" s="194" t="str">
        <f t="shared" si="123"/>
        <v/>
      </c>
      <c r="JE21" s="194" t="str">
        <f t="shared" si="124"/>
        <v/>
      </c>
      <c r="JF21" s="194" t="str">
        <f t="shared" si="125"/>
        <v/>
      </c>
      <c r="JG21" s="194" t="str">
        <f t="shared" si="126"/>
        <v/>
      </c>
      <c r="JH21" s="194" t="str">
        <f t="shared" si="127"/>
        <v/>
      </c>
      <c r="JI21" s="194" t="str">
        <f t="shared" si="128"/>
        <v/>
      </c>
      <c r="JJ21" s="194" t="str">
        <f t="shared" si="129"/>
        <v/>
      </c>
      <c r="JK21" s="194" t="str">
        <f t="shared" si="130"/>
        <v/>
      </c>
      <c r="JL21" s="194" t="str">
        <f t="shared" si="131"/>
        <v/>
      </c>
      <c r="JM21" s="194" t="str">
        <f t="shared" si="132"/>
        <v/>
      </c>
      <c r="JN21" s="194" t="str">
        <f t="shared" si="133"/>
        <v/>
      </c>
      <c r="JO21" s="194" t="str">
        <f t="shared" si="134"/>
        <v/>
      </c>
      <c r="JP21" s="194" t="str">
        <f t="shared" si="135"/>
        <v/>
      </c>
      <c r="JQ21" s="194" t="str">
        <f t="shared" si="136"/>
        <v/>
      </c>
      <c r="JR21" s="194" t="str">
        <f t="shared" si="137"/>
        <v/>
      </c>
      <c r="JS21" s="194" t="str">
        <f t="shared" si="138"/>
        <v/>
      </c>
      <c r="JT21" s="194" t="str">
        <f t="shared" si="139"/>
        <v/>
      </c>
      <c r="JU21" s="194" t="str">
        <f t="shared" si="140"/>
        <v/>
      </c>
      <c r="JV21" s="194" t="str">
        <f t="shared" si="141"/>
        <v/>
      </c>
      <c r="JW21" s="194" t="str">
        <f t="shared" si="142"/>
        <v/>
      </c>
      <c r="JX21" s="194" t="str">
        <f t="shared" si="143"/>
        <v/>
      </c>
      <c r="JY21" s="194" t="str">
        <f t="shared" si="144"/>
        <v/>
      </c>
      <c r="JZ21" s="194" t="str">
        <f t="shared" si="145"/>
        <v/>
      </c>
      <c r="KA21" s="194" t="str">
        <f t="shared" si="146"/>
        <v/>
      </c>
      <c r="KB21" s="194" t="str">
        <f t="shared" si="147"/>
        <v/>
      </c>
      <c r="KC21" s="194" t="str">
        <f t="shared" si="148"/>
        <v/>
      </c>
      <c r="KD21" s="194" t="str">
        <f t="shared" si="149"/>
        <v/>
      </c>
      <c r="KE21" s="194" t="str">
        <f t="shared" si="150"/>
        <v/>
      </c>
      <c r="KF21" s="194" t="str">
        <f t="shared" si="151"/>
        <v/>
      </c>
      <c r="KG21" s="194">
        <f>SUM(LE21:LX21)/COUNTA(RefKI3KI4!$B$5:$B$24)</f>
        <v>82.6</v>
      </c>
      <c r="KH21" s="232">
        <f t="shared" si="198"/>
        <v>0</v>
      </c>
      <c r="KI21" s="340" t="str">
        <f t="shared" si="199"/>
        <v>ok</v>
      </c>
      <c r="KJ21" s="340" t="str">
        <f t="shared" si="200"/>
        <v>ok</v>
      </c>
      <c r="KK21" s="340" t="str">
        <f t="shared" si="201"/>
        <v/>
      </c>
      <c r="KL21" s="340" t="str">
        <f t="shared" si="202"/>
        <v/>
      </c>
      <c r="KM21" s="340" t="str">
        <f t="shared" si="203"/>
        <v/>
      </c>
      <c r="KN21" s="340" t="str">
        <f t="shared" si="204"/>
        <v/>
      </c>
      <c r="KO21" s="340" t="str">
        <f t="shared" si="205"/>
        <v/>
      </c>
      <c r="KP21" s="340" t="str">
        <f t="shared" si="206"/>
        <v/>
      </c>
      <c r="KQ21" s="340" t="str">
        <f t="shared" si="207"/>
        <v/>
      </c>
      <c r="KR21" s="340" t="str">
        <f t="shared" si="208"/>
        <v/>
      </c>
      <c r="KS21" s="340" t="str">
        <f t="shared" si="209"/>
        <v/>
      </c>
      <c r="KT21" s="340" t="str">
        <f t="shared" si="210"/>
        <v/>
      </c>
      <c r="KU21" s="340" t="str">
        <f t="shared" si="211"/>
        <v/>
      </c>
      <c r="KV21" s="340" t="str">
        <f t="shared" si="212"/>
        <v/>
      </c>
      <c r="KW21" s="340" t="str">
        <f t="shared" si="213"/>
        <v/>
      </c>
      <c r="KX21" s="340" t="str">
        <f t="shared" si="214"/>
        <v/>
      </c>
      <c r="KY21" s="340" t="str">
        <f t="shared" si="215"/>
        <v/>
      </c>
      <c r="KZ21" s="340" t="str">
        <f t="shared" si="216"/>
        <v/>
      </c>
      <c r="LA21" s="340" t="str">
        <f t="shared" si="217"/>
        <v/>
      </c>
      <c r="LB21" s="340" t="str">
        <f t="shared" si="218"/>
        <v/>
      </c>
      <c r="LC21" s="340">
        <f t="shared" si="219"/>
        <v>0</v>
      </c>
      <c r="LD21" s="228">
        <v>13</v>
      </c>
      <c r="LE21" s="229">
        <f t="shared" si="220"/>
        <v>80</v>
      </c>
      <c r="LF21" s="229">
        <f t="shared" si="221"/>
        <v>85.2</v>
      </c>
      <c r="LG21" s="229" t="str">
        <f t="shared" si="222"/>
        <v/>
      </c>
      <c r="LH21" s="229" t="str">
        <f t="shared" si="223"/>
        <v/>
      </c>
      <c r="LI21" s="229" t="str">
        <f t="shared" si="224"/>
        <v/>
      </c>
      <c r="LJ21" s="229" t="str">
        <f t="shared" si="225"/>
        <v/>
      </c>
      <c r="LK21" s="229" t="str">
        <f t="shared" si="226"/>
        <v/>
      </c>
      <c r="LL21" s="229" t="str">
        <f t="shared" si="227"/>
        <v/>
      </c>
      <c r="LM21" s="229" t="str">
        <f t="shared" si="228"/>
        <v/>
      </c>
      <c r="LN21" s="229" t="str">
        <f t="shared" si="229"/>
        <v/>
      </c>
      <c r="LO21" s="229" t="str">
        <f t="shared" si="230"/>
        <v/>
      </c>
      <c r="LP21" s="229" t="str">
        <f t="shared" si="231"/>
        <v/>
      </c>
      <c r="LQ21" s="229" t="str">
        <f t="shared" si="232"/>
        <v/>
      </c>
      <c r="LR21" s="229" t="str">
        <f t="shared" si="233"/>
        <v/>
      </c>
      <c r="LS21" s="229" t="str">
        <f t="shared" si="234"/>
        <v/>
      </c>
      <c r="LT21" s="229" t="str">
        <f t="shared" si="235"/>
        <v/>
      </c>
      <c r="LU21" s="229" t="str">
        <f t="shared" si="236"/>
        <v/>
      </c>
      <c r="LV21" s="229" t="str">
        <f t="shared" si="237"/>
        <v/>
      </c>
      <c r="LW21" s="229" t="str">
        <f t="shared" si="238"/>
        <v/>
      </c>
      <c r="LX21" s="229" t="str">
        <f t="shared" si="239"/>
        <v/>
      </c>
      <c r="LY21" s="231">
        <f t="shared" si="240"/>
        <v>80</v>
      </c>
      <c r="LZ21" s="231">
        <f t="shared" si="241"/>
        <v>85.2</v>
      </c>
      <c r="MA21" s="231" t="str">
        <f t="shared" si="242"/>
        <v/>
      </c>
      <c r="MB21" s="231" t="str">
        <f t="shared" si="243"/>
        <v/>
      </c>
      <c r="MC21" s="231" t="str">
        <f t="shared" si="244"/>
        <v/>
      </c>
      <c r="MD21" s="231" t="str">
        <f t="shared" si="245"/>
        <v/>
      </c>
      <c r="ME21" s="231" t="str">
        <f t="shared" si="246"/>
        <v/>
      </c>
      <c r="MF21" s="231" t="str">
        <f t="shared" si="247"/>
        <v/>
      </c>
      <c r="MG21" s="231" t="str">
        <f t="shared" si="248"/>
        <v/>
      </c>
      <c r="MH21" s="231" t="str">
        <f t="shared" si="249"/>
        <v/>
      </c>
      <c r="MI21" s="231" t="str">
        <f t="shared" si="250"/>
        <v/>
      </c>
      <c r="MJ21" s="231" t="str">
        <f t="shared" si="251"/>
        <v/>
      </c>
      <c r="MK21" s="231" t="str">
        <f t="shared" si="252"/>
        <v/>
      </c>
      <c r="ML21" s="231" t="str">
        <f t="shared" si="253"/>
        <v/>
      </c>
      <c r="MM21" s="231" t="str">
        <f t="shared" si="254"/>
        <v/>
      </c>
      <c r="MN21" s="231" t="str">
        <f t="shared" si="255"/>
        <v/>
      </c>
      <c r="MO21" s="231" t="str">
        <f t="shared" si="256"/>
        <v/>
      </c>
      <c r="MP21" s="231" t="str">
        <f t="shared" si="257"/>
        <v/>
      </c>
      <c r="MQ21" s="231" t="str">
        <f t="shared" si="258"/>
        <v/>
      </c>
      <c r="MR21" s="231" t="str">
        <f t="shared" si="259"/>
        <v/>
      </c>
      <c r="MS21" s="231">
        <f t="shared" si="154"/>
        <v>85.2</v>
      </c>
      <c r="MT21" s="232" t="str">
        <f>IF(MS21="","",IF(MS21&gt;=KONVERSI!$A$5,KONVERSI!$E$5,IF(MS21&gt;=KONVERSI!$A$6,KONVERSI!$E$6,IF(MS21&gt;=KONVERSI!$A$7,KONVERSI!$E$7,KONVERSI!$E$8))))</f>
        <v>Baik</v>
      </c>
      <c r="MU21" s="233" t="str">
        <f t="shared" si="155"/>
        <v>Baik dalamprinsip perancangan, pembuatan dan penyajian produk kerajinan kerang, kaca, keramik dan botol plastik yang kreatif dan inovatif</v>
      </c>
      <c r="MV21" s="234">
        <f t="shared" si="260"/>
        <v>80</v>
      </c>
      <c r="MW21" s="232" t="str">
        <f>IF(MV21="","",IF(MV21&gt;=KONVERSI!$A$5,KONVERSI!$E$5,IF(MV21&gt;=KONVERSI!$A$6,KONVERSI!$E$6,IF(MV21&gt;=KONVERSI!$A$7,KONVERSI!$E$7,KONVERSI!$E$8))))</f>
        <v>Cukup Baik</v>
      </c>
      <c r="MX21" s="134" t="str">
        <f>IF(FI21&lt;$FN$4," "&amp;KONVERSI!$C$18&amp;INDEX($LY$8:$MR$8,MATCH(MV21,LY21:MR21,0))&amp;".",IF(KG21=0,"",IF(MV21&lt;&gt;0,MU21&amp;MW21&amp;".",MU21&amp;".")))</f>
        <v>Baik dalamprinsip perancangan, pembuatan dan penyajian produk kerajinan kerang, kaca, keramik dan botol plastik yang kreatif dan inovatifCukup Baik.</v>
      </c>
      <c r="MY21" s="235" t="str">
        <f t="shared" si="261"/>
        <v>NO</v>
      </c>
      <c r="MZ21" s="235" t="str">
        <f t="shared" si="262"/>
        <v>OK</v>
      </c>
      <c r="NA21" s="235" t="str">
        <f t="shared" si="263"/>
        <v/>
      </c>
      <c r="NB21" s="235" t="str">
        <f t="shared" si="264"/>
        <v/>
      </c>
      <c r="NC21" s="235" t="str">
        <f t="shared" si="265"/>
        <v/>
      </c>
      <c r="ND21" s="235" t="str">
        <f t="shared" si="266"/>
        <v/>
      </c>
      <c r="NE21" s="235" t="str">
        <f t="shared" si="267"/>
        <v/>
      </c>
      <c r="NF21" s="235" t="str">
        <f t="shared" si="268"/>
        <v/>
      </c>
      <c r="NG21" s="235" t="str">
        <f t="shared" si="269"/>
        <v/>
      </c>
      <c r="NH21" s="235" t="str">
        <f t="shared" si="270"/>
        <v/>
      </c>
      <c r="NI21" s="235" t="str">
        <f t="shared" si="271"/>
        <v/>
      </c>
      <c r="NJ21" s="235" t="str">
        <f t="shared" si="272"/>
        <v/>
      </c>
      <c r="NK21" s="235" t="str">
        <f t="shared" si="273"/>
        <v/>
      </c>
      <c r="NL21" s="235" t="str">
        <f t="shared" si="274"/>
        <v/>
      </c>
      <c r="NM21" s="235" t="str">
        <f t="shared" si="275"/>
        <v/>
      </c>
      <c r="NN21" s="235" t="str">
        <f t="shared" si="276"/>
        <v/>
      </c>
      <c r="NO21" s="235" t="str">
        <f t="shared" si="277"/>
        <v/>
      </c>
      <c r="NP21" s="235" t="str">
        <f t="shared" si="278"/>
        <v/>
      </c>
      <c r="NQ21" s="235" t="str">
        <f t="shared" si="279"/>
        <v/>
      </c>
      <c r="NR21" s="235" t="str">
        <f t="shared" si="280"/>
        <v/>
      </c>
      <c r="NS21" s="134" t="str">
        <f t="shared" si="281"/>
        <v/>
      </c>
      <c r="NT21" s="134" t="str">
        <f t="shared" si="282"/>
        <v>prinsip perancangan, pembuatan dan penyajian produk kerajinan kerang, kaca, keramik dan botol plastik yang kreatif dan inovatif</v>
      </c>
      <c r="NU21" s="134" t="str">
        <f t="shared" si="283"/>
        <v/>
      </c>
      <c r="NV21" s="134" t="str">
        <f t="shared" si="284"/>
        <v/>
      </c>
      <c r="NW21" s="134" t="str">
        <f t="shared" si="285"/>
        <v/>
      </c>
      <c r="NX21" s="134" t="str">
        <f t="shared" si="286"/>
        <v/>
      </c>
      <c r="NY21" s="134" t="str">
        <f t="shared" si="287"/>
        <v/>
      </c>
      <c r="NZ21" s="134" t="str">
        <f t="shared" si="288"/>
        <v/>
      </c>
      <c r="OA21" s="134" t="str">
        <f t="shared" si="289"/>
        <v/>
      </c>
      <c r="OB21" s="134" t="str">
        <f t="shared" si="290"/>
        <v/>
      </c>
      <c r="OC21" s="134" t="str">
        <f t="shared" si="291"/>
        <v/>
      </c>
      <c r="OD21" s="134" t="str">
        <f t="shared" si="292"/>
        <v/>
      </c>
      <c r="OE21" s="134" t="str">
        <f t="shared" si="293"/>
        <v/>
      </c>
      <c r="OF21" s="134" t="str">
        <f t="shared" si="294"/>
        <v/>
      </c>
      <c r="OG21" s="134" t="str">
        <f t="shared" si="295"/>
        <v/>
      </c>
      <c r="OH21" s="134" t="str">
        <f t="shared" si="296"/>
        <v/>
      </c>
      <c r="OI21" s="134" t="str">
        <f t="shared" si="297"/>
        <v/>
      </c>
      <c r="OJ21" s="134" t="str">
        <f t="shared" si="298"/>
        <v/>
      </c>
      <c r="OK21" s="134" t="str">
        <f t="shared" si="299"/>
        <v/>
      </c>
      <c r="OL21" s="134" t="str">
        <f t="shared" si="300"/>
        <v/>
      </c>
      <c r="OM21" s="134" t="str">
        <f t="shared" si="301"/>
        <v>Baik dalam prinsip perancangan, pembuatan dan penyajian produk kerajinan kerang, kaca, keramik dan botol plastik yang kreatif dan inovatif</v>
      </c>
      <c r="ON21" s="134" t="str">
        <f t="shared" si="302"/>
        <v>Baik dalam prinsip perancangan, pembuatan dan penyajian produk kerajinan kerang, kaca, keramik dan botol plastik yang kreatif dan inovati.  </v>
      </c>
      <c r="OO21" s="236">
        <f t="shared" si="169"/>
        <v>1</v>
      </c>
      <c r="OP21" s="235" t="str">
        <f t="shared" si="303"/>
        <v>OK</v>
      </c>
      <c r="OQ21" s="235" t="str">
        <f t="shared" si="304"/>
        <v>NO</v>
      </c>
      <c r="OR21" s="235" t="str">
        <f t="shared" si="305"/>
        <v/>
      </c>
      <c r="OS21" s="235" t="str">
        <f t="shared" si="306"/>
        <v/>
      </c>
      <c r="OT21" s="235" t="str">
        <f t="shared" si="307"/>
        <v/>
      </c>
      <c r="OU21" s="235" t="str">
        <f t="shared" si="308"/>
        <v/>
      </c>
      <c r="OV21" s="235" t="str">
        <f t="shared" si="309"/>
        <v/>
      </c>
      <c r="OW21" s="235" t="str">
        <f t="shared" si="310"/>
        <v/>
      </c>
      <c r="OX21" s="235" t="str">
        <f t="shared" si="311"/>
        <v/>
      </c>
      <c r="OY21" s="235" t="str">
        <f t="shared" si="312"/>
        <v/>
      </c>
      <c r="OZ21" s="235" t="str">
        <f t="shared" si="313"/>
        <v/>
      </c>
      <c r="PA21" s="235" t="str">
        <f t="shared" si="314"/>
        <v/>
      </c>
      <c r="PB21" s="235" t="str">
        <f t="shared" si="315"/>
        <v/>
      </c>
      <c r="PC21" s="235" t="str">
        <f t="shared" si="316"/>
        <v/>
      </c>
      <c r="PD21" s="235" t="str">
        <f t="shared" si="317"/>
        <v/>
      </c>
      <c r="PE21" s="235" t="str">
        <f t="shared" si="318"/>
        <v/>
      </c>
      <c r="PF21" s="235" t="str">
        <f t="shared" si="319"/>
        <v/>
      </c>
      <c r="PG21" s="235" t="str">
        <f t="shared" si="320"/>
        <v/>
      </c>
      <c r="PH21" s="235" t="str">
        <f t="shared" si="321"/>
        <v/>
      </c>
      <c r="PI21" s="235" t="str">
        <f t="shared" si="322"/>
        <v/>
      </c>
      <c r="PJ21" s="134" t="str">
        <f t="shared" si="323"/>
        <v>jenis, sifat, karakter dan teknik pengolahan kerang, kaca, keramik dan botol plastik</v>
      </c>
      <c r="PK21" s="134" t="str">
        <f t="shared" si="324"/>
        <v/>
      </c>
      <c r="PL21" s="134" t="str">
        <f t="shared" si="325"/>
        <v/>
      </c>
      <c r="PM21" s="134" t="str">
        <f t="shared" si="326"/>
        <v/>
      </c>
      <c r="PN21" s="134" t="str">
        <f t="shared" si="327"/>
        <v/>
      </c>
      <c r="PO21" s="134" t="str">
        <f t="shared" si="328"/>
        <v/>
      </c>
      <c r="PP21" s="134" t="str">
        <f t="shared" si="329"/>
        <v/>
      </c>
      <c r="PQ21" s="134" t="str">
        <f t="shared" si="330"/>
        <v/>
      </c>
      <c r="PR21" s="134" t="str">
        <f t="shared" si="331"/>
        <v/>
      </c>
      <c r="PS21" s="134" t="str">
        <f t="shared" si="332"/>
        <v/>
      </c>
      <c r="PT21" s="134" t="str">
        <f t="shared" si="333"/>
        <v/>
      </c>
      <c r="PU21" s="134" t="str">
        <f t="shared" si="334"/>
        <v/>
      </c>
      <c r="PV21" s="134" t="str">
        <f t="shared" si="335"/>
        <v/>
      </c>
      <c r="PW21" s="134" t="str">
        <f t="shared" si="336"/>
        <v/>
      </c>
      <c r="PX21" s="134" t="str">
        <f t="shared" si="337"/>
        <v/>
      </c>
      <c r="PY21" s="134" t="str">
        <f t="shared" si="338"/>
        <v/>
      </c>
      <c r="PZ21" s="134" t="str">
        <f t="shared" si="339"/>
        <v/>
      </c>
      <c r="QA21" s="134" t="str">
        <f t="shared" si="340"/>
        <v/>
      </c>
      <c r="QB21" s="134" t="str">
        <f t="shared" si="341"/>
        <v/>
      </c>
      <c r="QC21" s="134" t="str">
        <f t="shared" si="342"/>
        <v/>
      </c>
      <c r="QD21" s="134" t="str">
        <f>IF(MT21=MW21,"",IF(MV21="","",IF(MV21&gt;=KONVERSI!$A$7,'KI3'!MW21&amp;" dalam"&amp;PJ21&amp;PK21&amp;PL21&amp;PM21&amp;PN21&amp;PO21&amp;PP21&amp;PQ21&amp;PR21&amp;PS21&amp;PT21&amp;PU21&amp;PV21&amp;PW21&amp;PX21&amp;PY21&amp;PZ21&amp;QA21&amp;QB21&amp;QC21,KONVERSI!$C$18&amp;" dalam"&amp;PJ21&amp;PK21&amp;PL21&amp;PM21&amp;PN21&amp;PO21&amp;PP21&amp;PQ21&amp;PR21&amp;PS21&amp;PT21&amp;PU21&amp;PV21&amp;PW21&amp;PX21&amp;PY21&amp;PZ21&amp;QA21&amp;QB21&amp;QC21)))</f>
        <v>Cukup Baik dalamjenis, sifat, karakter dan teknik pengolahan kerang, kaca, keramik dan botol plastik</v>
      </c>
      <c r="QE21" s="134" t="str">
        <f t="shared" si="343"/>
        <v>Cukup Baik dalamjenis, sifat, karakter dan teknik pengolahan kerang, kaca, keramik dan botol plasti.</v>
      </c>
      <c r="QF21" s="236">
        <f t="shared" si="172"/>
        <v>1</v>
      </c>
      <c r="QG21" s="134" t="str">
        <f t="shared" si="173"/>
        <v>Baik dalam prinsip perancangan, pembuatan dan penyajian produk kerajinan kerang, kaca, keramik dan botol plastik yang kreatif dan inovati.  Cukup Baik dalamjenis, sifat, karakter dan teknik pengolahan kerang, kaca, keramik dan botol plasti.</v>
      </c>
    </row>
    <row r="22" ht="27.6" customHeight="1" spans="1:449">
      <c r="A22" s="179"/>
      <c r="B22" s="177">
        <v>14</v>
      </c>
      <c r="C22" s="178" t="str">
        <f>siswa!C18</f>
        <v>JULFAN HANDIKA TELAUMBANUA</v>
      </c>
      <c r="D22" s="174">
        <f>siswa!D18</f>
        <v>2781</v>
      </c>
      <c r="E22" s="175">
        <v>80</v>
      </c>
      <c r="F22" s="175">
        <v>80</v>
      </c>
      <c r="G22" s="248"/>
      <c r="H22" s="176"/>
      <c r="I22" s="176"/>
      <c r="J22" s="175">
        <v>82</v>
      </c>
      <c r="K22" s="176"/>
      <c r="L22" s="223">
        <f t="shared" si="174"/>
        <v>80.8</v>
      </c>
      <c r="M22" s="250">
        <v>84</v>
      </c>
      <c r="N22" s="250">
        <v>84</v>
      </c>
      <c r="O22" s="248"/>
      <c r="P22" s="176"/>
      <c r="Q22" s="176"/>
      <c r="R22" s="250">
        <v>84</v>
      </c>
      <c r="S22" s="176"/>
      <c r="T22" s="223">
        <f t="shared" si="175"/>
        <v>84</v>
      </c>
      <c r="U22" s="248"/>
      <c r="V22" s="248"/>
      <c r="W22" s="248"/>
      <c r="X22" s="176"/>
      <c r="Y22" s="176"/>
      <c r="Z22" s="250"/>
      <c r="AA22" s="176"/>
      <c r="AB22" s="223">
        <f t="shared" si="176"/>
        <v>0</v>
      </c>
      <c r="AC22" s="248"/>
      <c r="AD22" s="248"/>
      <c r="AE22" s="248"/>
      <c r="AF22" s="248"/>
      <c r="AG22" s="176"/>
      <c r="AH22" s="250"/>
      <c r="AI22" s="176"/>
      <c r="AJ22" s="223">
        <f t="shared" si="177"/>
        <v>0</v>
      </c>
      <c r="AK22" s="181"/>
      <c r="AL22" s="176"/>
      <c r="AM22" s="176"/>
      <c r="AN22" s="176"/>
      <c r="AO22" s="176"/>
      <c r="AP22" s="176"/>
      <c r="AQ22" s="176"/>
      <c r="AR22" s="223">
        <f t="shared" si="178"/>
        <v>0</v>
      </c>
      <c r="AS22" s="181"/>
      <c r="AT22" s="176"/>
      <c r="AU22" s="176"/>
      <c r="AV22" s="176"/>
      <c r="AW22" s="176"/>
      <c r="AX22" s="176"/>
      <c r="AY22" s="176"/>
      <c r="AZ22" s="223">
        <f t="shared" si="179"/>
        <v>0</v>
      </c>
      <c r="BA22" s="181"/>
      <c r="BB22" s="176"/>
      <c r="BC22" s="176"/>
      <c r="BD22" s="176"/>
      <c r="BE22" s="176"/>
      <c r="BF22" s="176"/>
      <c r="BG22" s="176"/>
      <c r="BH22" s="223">
        <f t="shared" si="180"/>
        <v>0</v>
      </c>
      <c r="BI22" s="181"/>
      <c r="BJ22" s="176"/>
      <c r="BK22" s="176"/>
      <c r="BL22" s="176"/>
      <c r="BM22" s="176"/>
      <c r="BN22" s="176"/>
      <c r="BO22" s="176"/>
      <c r="BP22" s="223">
        <f t="shared" si="181"/>
        <v>0</v>
      </c>
      <c r="BQ22" s="181"/>
      <c r="BR22" s="176"/>
      <c r="BS22" s="176"/>
      <c r="BT22" s="176"/>
      <c r="BU22" s="176"/>
      <c r="BV22" s="176"/>
      <c r="BW22" s="176"/>
      <c r="BX22" s="223">
        <f t="shared" si="182"/>
        <v>0</v>
      </c>
      <c r="BY22" s="181"/>
      <c r="BZ22" s="176"/>
      <c r="CA22" s="176"/>
      <c r="CB22" s="176"/>
      <c r="CC22" s="176"/>
      <c r="CD22" s="176"/>
      <c r="CE22" s="176"/>
      <c r="CF22" s="223">
        <f t="shared" si="183"/>
        <v>0</v>
      </c>
      <c r="CG22" s="181"/>
      <c r="CH22" s="176"/>
      <c r="CI22" s="176"/>
      <c r="CJ22" s="176"/>
      <c r="CK22" s="176"/>
      <c r="CL22" s="176"/>
      <c r="CM22" s="176"/>
      <c r="CN22" s="223">
        <f t="shared" si="184"/>
        <v>0</v>
      </c>
      <c r="CO22" s="181"/>
      <c r="CP22" s="176"/>
      <c r="CQ22" s="176"/>
      <c r="CR22" s="176"/>
      <c r="CS22" s="176"/>
      <c r="CT22" s="176"/>
      <c r="CU22" s="176"/>
      <c r="CV22" s="223">
        <f t="shared" si="185"/>
        <v>0</v>
      </c>
      <c r="CW22" s="181"/>
      <c r="CX22" s="176"/>
      <c r="CY22" s="176"/>
      <c r="CZ22" s="176"/>
      <c r="DA22" s="176"/>
      <c r="DB22" s="176"/>
      <c r="DC22" s="176"/>
      <c r="DD22" s="223">
        <f t="shared" si="186"/>
        <v>0</v>
      </c>
      <c r="DE22" s="181"/>
      <c r="DF22" s="176"/>
      <c r="DG22" s="176"/>
      <c r="DH22" s="176"/>
      <c r="DI22" s="176"/>
      <c r="DJ22" s="176"/>
      <c r="DK22" s="176"/>
      <c r="DL22" s="223">
        <f t="shared" si="187"/>
        <v>0</v>
      </c>
      <c r="DM22" s="181"/>
      <c r="DN22" s="176"/>
      <c r="DO22" s="176"/>
      <c r="DP22" s="176"/>
      <c r="DQ22" s="176"/>
      <c r="DR22" s="176"/>
      <c r="DS22" s="176"/>
      <c r="DT22" s="223">
        <f t="shared" si="188"/>
        <v>0</v>
      </c>
      <c r="DU22" s="181"/>
      <c r="DV22" s="176"/>
      <c r="DW22" s="176"/>
      <c r="DX22" s="176"/>
      <c r="DY22" s="176"/>
      <c r="DZ22" s="176"/>
      <c r="EA22" s="176"/>
      <c r="EB22" s="223">
        <f t="shared" si="189"/>
        <v>0</v>
      </c>
      <c r="EC22" s="181"/>
      <c r="ED22" s="176"/>
      <c r="EE22" s="176"/>
      <c r="EF22" s="176"/>
      <c r="EG22" s="176"/>
      <c r="EH22" s="176"/>
      <c r="EI22" s="176"/>
      <c r="EJ22" s="223">
        <f t="shared" si="190"/>
        <v>0</v>
      </c>
      <c r="EK22" s="181"/>
      <c r="EL22" s="176"/>
      <c r="EM22" s="176"/>
      <c r="EN22" s="176"/>
      <c r="EO22" s="176"/>
      <c r="EP22" s="176"/>
      <c r="EQ22" s="176"/>
      <c r="ER22" s="223">
        <f t="shared" si="191"/>
        <v>0</v>
      </c>
      <c r="ES22" s="181"/>
      <c r="ET22" s="176"/>
      <c r="EU22" s="176"/>
      <c r="EV22" s="176"/>
      <c r="EW22" s="176"/>
      <c r="EX22" s="176"/>
      <c r="EY22" s="176"/>
      <c r="EZ22" s="223">
        <f t="shared" si="192"/>
        <v>0</v>
      </c>
      <c r="FA22" s="181"/>
      <c r="FB22" s="176"/>
      <c r="FC22" s="176"/>
      <c r="FD22" s="176"/>
      <c r="FE22" s="176"/>
      <c r="FF22" s="176"/>
      <c r="FG22" s="176"/>
      <c r="FH22" s="223">
        <f t="shared" si="193"/>
        <v>0</v>
      </c>
      <c r="FI22" s="291">
        <f t="shared" si="194"/>
        <v>82</v>
      </c>
      <c r="FJ22" s="250">
        <v>88</v>
      </c>
      <c r="FK22" s="250"/>
      <c r="FL22" s="291">
        <f t="shared" si="195"/>
        <v>84</v>
      </c>
      <c r="FM22" s="312" t="str">
        <f>IFERROR(IF(FL22="","",IF(FL22&gt;=KONVERSI!$A$5,KONVERSI!$D$5,IF(FL22&gt;=KONVERSI!$A$6,KONVERSI!$D$6,IF(FL22&gt;=KONVERSI!$A$7,KONVERSI!$D$7,KONVERSI!$D$8)))),"")</f>
        <v>B</v>
      </c>
      <c r="FN22" s="232" t="str">
        <f t="shared" si="196"/>
        <v>Tuntas</v>
      </c>
      <c r="FO22" s="313"/>
      <c r="FP22" s="314">
        <f t="shared" si="197"/>
        <v>82</v>
      </c>
      <c r="FQ22" s="194">
        <f t="shared" si="33"/>
        <v>80</v>
      </c>
      <c r="FR22" s="194">
        <f t="shared" si="34"/>
        <v>80</v>
      </c>
      <c r="FS22" s="194" t="str">
        <f t="shared" si="35"/>
        <v/>
      </c>
      <c r="FT22" s="194" t="str">
        <f t="shared" si="36"/>
        <v/>
      </c>
      <c r="FU22" s="194" t="str">
        <f t="shared" si="37"/>
        <v/>
      </c>
      <c r="FV22" s="194">
        <f t="shared" si="38"/>
        <v>80.8</v>
      </c>
      <c r="FW22" s="194">
        <f t="shared" si="39"/>
        <v>84</v>
      </c>
      <c r="FX22" s="194">
        <f t="shared" si="344"/>
        <v>84</v>
      </c>
      <c r="FY22" s="194" t="str">
        <f t="shared" si="40"/>
        <v/>
      </c>
      <c r="FZ22" s="194" t="str">
        <f t="shared" si="41"/>
        <v/>
      </c>
      <c r="GA22" s="194" t="str">
        <f t="shared" si="42"/>
        <v/>
      </c>
      <c r="GB22" s="194">
        <f t="shared" si="43"/>
        <v>84</v>
      </c>
      <c r="GC22" s="194" t="str">
        <f t="shared" si="44"/>
        <v/>
      </c>
      <c r="GD22" s="194" t="str">
        <f t="shared" si="45"/>
        <v/>
      </c>
      <c r="GE22" s="194" t="str">
        <f t="shared" si="46"/>
        <v/>
      </c>
      <c r="GF22" s="194" t="str">
        <f t="shared" si="47"/>
        <v/>
      </c>
      <c r="GG22" s="194" t="str">
        <f t="shared" si="48"/>
        <v/>
      </c>
      <c r="GH22" s="194" t="str">
        <f t="shared" si="49"/>
        <v/>
      </c>
      <c r="GI22" s="194" t="str">
        <f t="shared" si="50"/>
        <v/>
      </c>
      <c r="GJ22" s="194" t="str">
        <f t="shared" si="51"/>
        <v/>
      </c>
      <c r="GK22" s="194" t="str">
        <f t="shared" si="52"/>
        <v/>
      </c>
      <c r="GL22" s="194" t="str">
        <f t="shared" si="53"/>
        <v/>
      </c>
      <c r="GM22" s="194" t="str">
        <f t="shared" si="54"/>
        <v/>
      </c>
      <c r="GN22" s="194" t="str">
        <f t="shared" si="55"/>
        <v/>
      </c>
      <c r="GO22" s="194" t="str">
        <f t="shared" si="56"/>
        <v/>
      </c>
      <c r="GP22" s="194" t="str">
        <f t="shared" si="57"/>
        <v/>
      </c>
      <c r="GQ22" s="194" t="str">
        <f t="shared" si="58"/>
        <v/>
      </c>
      <c r="GR22" s="194" t="str">
        <f t="shared" si="59"/>
        <v/>
      </c>
      <c r="GS22" s="194" t="str">
        <f t="shared" si="60"/>
        <v/>
      </c>
      <c r="GT22" s="194" t="str">
        <f t="shared" si="61"/>
        <v/>
      </c>
      <c r="GU22" s="194" t="str">
        <f t="shared" si="62"/>
        <v/>
      </c>
      <c r="GV22" s="194" t="str">
        <f t="shared" si="63"/>
        <v/>
      </c>
      <c r="GW22" s="194" t="str">
        <f t="shared" si="64"/>
        <v/>
      </c>
      <c r="GX22" s="194" t="str">
        <f t="shared" si="65"/>
        <v/>
      </c>
      <c r="GY22" s="194" t="str">
        <f t="shared" si="66"/>
        <v/>
      </c>
      <c r="GZ22" s="194" t="str">
        <f t="shared" si="67"/>
        <v/>
      </c>
      <c r="HA22" s="194" t="str">
        <f t="shared" si="68"/>
        <v/>
      </c>
      <c r="HB22" s="194" t="str">
        <f t="shared" si="69"/>
        <v/>
      </c>
      <c r="HC22" s="194" t="str">
        <f t="shared" si="70"/>
        <v/>
      </c>
      <c r="HD22" s="194" t="str">
        <f t="shared" si="71"/>
        <v/>
      </c>
      <c r="HE22" s="194" t="str">
        <f t="shared" si="72"/>
        <v/>
      </c>
      <c r="HF22" s="194" t="str">
        <f t="shared" si="73"/>
        <v/>
      </c>
      <c r="HG22" s="194" t="str">
        <f t="shared" si="74"/>
        <v/>
      </c>
      <c r="HH22" s="194" t="str">
        <f t="shared" si="75"/>
        <v/>
      </c>
      <c r="HI22" s="194" t="str">
        <f t="shared" si="76"/>
        <v/>
      </c>
      <c r="HJ22" s="194" t="str">
        <f t="shared" si="77"/>
        <v/>
      </c>
      <c r="HK22" s="194" t="str">
        <f t="shared" si="78"/>
        <v/>
      </c>
      <c r="HL22" s="194" t="str">
        <f t="shared" si="79"/>
        <v/>
      </c>
      <c r="HM22" s="194" t="str">
        <f t="shared" si="80"/>
        <v/>
      </c>
      <c r="HN22" s="194" t="str">
        <f t="shared" si="81"/>
        <v/>
      </c>
      <c r="HO22" s="194" t="str">
        <f t="shared" si="82"/>
        <v/>
      </c>
      <c r="HP22" s="194" t="str">
        <f t="shared" si="83"/>
        <v/>
      </c>
      <c r="HQ22" s="194" t="str">
        <f t="shared" si="84"/>
        <v/>
      </c>
      <c r="HR22" s="194" t="str">
        <f t="shared" si="85"/>
        <v/>
      </c>
      <c r="HS22" s="194" t="str">
        <f t="shared" si="86"/>
        <v/>
      </c>
      <c r="HT22" s="194" t="str">
        <f t="shared" si="87"/>
        <v/>
      </c>
      <c r="HU22" s="194" t="str">
        <f t="shared" si="88"/>
        <v/>
      </c>
      <c r="HV22" s="194" t="str">
        <f t="shared" si="89"/>
        <v/>
      </c>
      <c r="HW22" s="194" t="str">
        <f t="shared" si="90"/>
        <v/>
      </c>
      <c r="HX22" s="194" t="str">
        <f t="shared" si="91"/>
        <v/>
      </c>
      <c r="HY22" s="194" t="str">
        <f t="shared" si="92"/>
        <v/>
      </c>
      <c r="HZ22" s="194" t="str">
        <f t="shared" si="93"/>
        <v/>
      </c>
      <c r="IA22" s="194" t="str">
        <f t="shared" si="94"/>
        <v/>
      </c>
      <c r="IB22" s="194" t="str">
        <f t="shared" si="95"/>
        <v/>
      </c>
      <c r="IC22" s="194" t="str">
        <f t="shared" si="96"/>
        <v/>
      </c>
      <c r="ID22" s="194" t="str">
        <f t="shared" si="97"/>
        <v/>
      </c>
      <c r="IE22" s="194" t="str">
        <f t="shared" si="98"/>
        <v/>
      </c>
      <c r="IF22" s="194" t="str">
        <f t="shared" si="99"/>
        <v/>
      </c>
      <c r="IG22" s="194" t="str">
        <f t="shared" si="100"/>
        <v/>
      </c>
      <c r="IH22" s="194" t="str">
        <f t="shared" si="101"/>
        <v/>
      </c>
      <c r="II22" s="194" t="str">
        <f t="shared" si="102"/>
        <v/>
      </c>
      <c r="IJ22" s="194" t="str">
        <f t="shared" si="103"/>
        <v/>
      </c>
      <c r="IK22" s="194" t="str">
        <f t="shared" si="104"/>
        <v/>
      </c>
      <c r="IL22" s="194" t="str">
        <f t="shared" si="105"/>
        <v/>
      </c>
      <c r="IM22" s="194" t="str">
        <f t="shared" si="106"/>
        <v/>
      </c>
      <c r="IN22" s="194" t="str">
        <f t="shared" si="107"/>
        <v/>
      </c>
      <c r="IO22" s="194" t="str">
        <f t="shared" si="108"/>
        <v/>
      </c>
      <c r="IP22" s="194" t="str">
        <f t="shared" si="109"/>
        <v/>
      </c>
      <c r="IQ22" s="194" t="str">
        <f t="shared" si="110"/>
        <v/>
      </c>
      <c r="IR22" s="194" t="str">
        <f t="shared" si="111"/>
        <v/>
      </c>
      <c r="IS22" s="194" t="str">
        <f t="shared" si="112"/>
        <v/>
      </c>
      <c r="IT22" s="194" t="str">
        <f t="shared" si="113"/>
        <v/>
      </c>
      <c r="IU22" s="194" t="str">
        <f t="shared" si="114"/>
        <v/>
      </c>
      <c r="IV22" s="194" t="str">
        <f t="shared" si="115"/>
        <v/>
      </c>
      <c r="IW22" s="194" t="str">
        <f t="shared" si="116"/>
        <v/>
      </c>
      <c r="IX22" s="194" t="str">
        <f t="shared" si="117"/>
        <v/>
      </c>
      <c r="IY22" s="194" t="str">
        <f t="shared" si="118"/>
        <v/>
      </c>
      <c r="IZ22" s="194" t="str">
        <f t="shared" si="119"/>
        <v/>
      </c>
      <c r="JA22" s="194" t="str">
        <f t="shared" si="120"/>
        <v/>
      </c>
      <c r="JB22" s="194" t="str">
        <f t="shared" si="121"/>
        <v/>
      </c>
      <c r="JC22" s="194" t="str">
        <f t="shared" si="122"/>
        <v/>
      </c>
      <c r="JD22" s="194" t="str">
        <f t="shared" si="123"/>
        <v/>
      </c>
      <c r="JE22" s="194" t="str">
        <f t="shared" si="124"/>
        <v/>
      </c>
      <c r="JF22" s="194" t="str">
        <f t="shared" si="125"/>
        <v/>
      </c>
      <c r="JG22" s="194" t="str">
        <f t="shared" si="126"/>
        <v/>
      </c>
      <c r="JH22" s="194" t="str">
        <f t="shared" si="127"/>
        <v/>
      </c>
      <c r="JI22" s="194" t="str">
        <f t="shared" si="128"/>
        <v/>
      </c>
      <c r="JJ22" s="194" t="str">
        <f t="shared" si="129"/>
        <v/>
      </c>
      <c r="JK22" s="194" t="str">
        <f t="shared" si="130"/>
        <v/>
      </c>
      <c r="JL22" s="194" t="str">
        <f t="shared" si="131"/>
        <v/>
      </c>
      <c r="JM22" s="194" t="str">
        <f t="shared" si="132"/>
        <v/>
      </c>
      <c r="JN22" s="194" t="str">
        <f t="shared" si="133"/>
        <v/>
      </c>
      <c r="JO22" s="194" t="str">
        <f t="shared" si="134"/>
        <v/>
      </c>
      <c r="JP22" s="194" t="str">
        <f t="shared" si="135"/>
        <v/>
      </c>
      <c r="JQ22" s="194" t="str">
        <f t="shared" si="136"/>
        <v/>
      </c>
      <c r="JR22" s="194" t="str">
        <f t="shared" si="137"/>
        <v/>
      </c>
      <c r="JS22" s="194" t="str">
        <f t="shared" si="138"/>
        <v/>
      </c>
      <c r="JT22" s="194" t="str">
        <f t="shared" si="139"/>
        <v/>
      </c>
      <c r="JU22" s="194" t="str">
        <f t="shared" si="140"/>
        <v/>
      </c>
      <c r="JV22" s="194" t="str">
        <f t="shared" si="141"/>
        <v/>
      </c>
      <c r="JW22" s="194" t="str">
        <f t="shared" si="142"/>
        <v/>
      </c>
      <c r="JX22" s="194" t="str">
        <f t="shared" si="143"/>
        <v/>
      </c>
      <c r="JY22" s="194" t="str">
        <f t="shared" si="144"/>
        <v/>
      </c>
      <c r="JZ22" s="194" t="str">
        <f t="shared" si="145"/>
        <v/>
      </c>
      <c r="KA22" s="194" t="str">
        <f t="shared" si="146"/>
        <v/>
      </c>
      <c r="KB22" s="194" t="str">
        <f t="shared" si="147"/>
        <v/>
      </c>
      <c r="KC22" s="194" t="str">
        <f t="shared" si="148"/>
        <v/>
      </c>
      <c r="KD22" s="194" t="str">
        <f t="shared" si="149"/>
        <v/>
      </c>
      <c r="KE22" s="194" t="str">
        <f t="shared" si="150"/>
        <v/>
      </c>
      <c r="KF22" s="194" t="str">
        <f t="shared" si="151"/>
        <v/>
      </c>
      <c r="KG22" s="194">
        <f>SUM(LE22:LX22)/COUNTA(RefKI3KI4!$B$5:$B$24)</f>
        <v>82.4</v>
      </c>
      <c r="KH22" s="232">
        <f t="shared" si="198"/>
        <v>0</v>
      </c>
      <c r="KI22" s="340" t="str">
        <f t="shared" si="199"/>
        <v>ok</v>
      </c>
      <c r="KJ22" s="340" t="str">
        <f t="shared" si="200"/>
        <v>ok</v>
      </c>
      <c r="KK22" s="340" t="str">
        <f t="shared" si="201"/>
        <v/>
      </c>
      <c r="KL22" s="340" t="str">
        <f t="shared" si="202"/>
        <v/>
      </c>
      <c r="KM22" s="340" t="str">
        <f t="shared" si="203"/>
        <v/>
      </c>
      <c r="KN22" s="340" t="str">
        <f t="shared" si="204"/>
        <v/>
      </c>
      <c r="KO22" s="340" t="str">
        <f t="shared" si="205"/>
        <v/>
      </c>
      <c r="KP22" s="340" t="str">
        <f t="shared" si="206"/>
        <v/>
      </c>
      <c r="KQ22" s="340" t="str">
        <f t="shared" si="207"/>
        <v/>
      </c>
      <c r="KR22" s="340" t="str">
        <f t="shared" si="208"/>
        <v/>
      </c>
      <c r="KS22" s="340" t="str">
        <f t="shared" si="209"/>
        <v/>
      </c>
      <c r="KT22" s="340" t="str">
        <f t="shared" si="210"/>
        <v/>
      </c>
      <c r="KU22" s="340" t="str">
        <f t="shared" si="211"/>
        <v/>
      </c>
      <c r="KV22" s="340" t="str">
        <f t="shared" si="212"/>
        <v/>
      </c>
      <c r="KW22" s="340" t="str">
        <f t="shared" si="213"/>
        <v/>
      </c>
      <c r="KX22" s="340" t="str">
        <f t="shared" si="214"/>
        <v/>
      </c>
      <c r="KY22" s="340" t="str">
        <f t="shared" si="215"/>
        <v/>
      </c>
      <c r="KZ22" s="340" t="str">
        <f t="shared" si="216"/>
        <v/>
      </c>
      <c r="LA22" s="340" t="str">
        <f t="shared" si="217"/>
        <v/>
      </c>
      <c r="LB22" s="340" t="str">
        <f t="shared" si="218"/>
        <v/>
      </c>
      <c r="LC22" s="340">
        <f t="shared" si="219"/>
        <v>0</v>
      </c>
      <c r="LD22" s="228">
        <v>14</v>
      </c>
      <c r="LE22" s="229">
        <f t="shared" si="220"/>
        <v>80.8</v>
      </c>
      <c r="LF22" s="229">
        <f t="shared" si="221"/>
        <v>84</v>
      </c>
      <c r="LG22" s="229" t="str">
        <f t="shared" si="222"/>
        <v/>
      </c>
      <c r="LH22" s="229" t="str">
        <f t="shared" si="223"/>
        <v/>
      </c>
      <c r="LI22" s="229" t="str">
        <f t="shared" si="224"/>
        <v/>
      </c>
      <c r="LJ22" s="229" t="str">
        <f t="shared" si="225"/>
        <v/>
      </c>
      <c r="LK22" s="229" t="str">
        <f t="shared" si="226"/>
        <v/>
      </c>
      <c r="LL22" s="229" t="str">
        <f t="shared" si="227"/>
        <v/>
      </c>
      <c r="LM22" s="229" t="str">
        <f t="shared" si="228"/>
        <v/>
      </c>
      <c r="LN22" s="229" t="str">
        <f t="shared" si="229"/>
        <v/>
      </c>
      <c r="LO22" s="229" t="str">
        <f t="shared" si="230"/>
        <v/>
      </c>
      <c r="LP22" s="229" t="str">
        <f t="shared" si="231"/>
        <v/>
      </c>
      <c r="LQ22" s="229" t="str">
        <f t="shared" si="232"/>
        <v/>
      </c>
      <c r="LR22" s="229" t="str">
        <f t="shared" si="233"/>
        <v/>
      </c>
      <c r="LS22" s="229" t="str">
        <f t="shared" si="234"/>
        <v/>
      </c>
      <c r="LT22" s="229" t="str">
        <f t="shared" si="235"/>
        <v/>
      </c>
      <c r="LU22" s="229" t="str">
        <f t="shared" si="236"/>
        <v/>
      </c>
      <c r="LV22" s="229" t="str">
        <f t="shared" si="237"/>
        <v/>
      </c>
      <c r="LW22" s="229" t="str">
        <f t="shared" si="238"/>
        <v/>
      </c>
      <c r="LX22" s="229" t="str">
        <f t="shared" si="239"/>
        <v/>
      </c>
      <c r="LY22" s="231">
        <f t="shared" si="240"/>
        <v>80.8</v>
      </c>
      <c r="LZ22" s="231">
        <f t="shared" si="241"/>
        <v>84</v>
      </c>
      <c r="MA22" s="231" t="str">
        <f t="shared" si="242"/>
        <v/>
      </c>
      <c r="MB22" s="231" t="str">
        <f t="shared" si="243"/>
        <v/>
      </c>
      <c r="MC22" s="231" t="str">
        <f t="shared" si="244"/>
        <v/>
      </c>
      <c r="MD22" s="231" t="str">
        <f t="shared" si="245"/>
        <v/>
      </c>
      <c r="ME22" s="231" t="str">
        <f t="shared" si="246"/>
        <v/>
      </c>
      <c r="MF22" s="231" t="str">
        <f t="shared" si="247"/>
        <v/>
      </c>
      <c r="MG22" s="231" t="str">
        <f t="shared" si="248"/>
        <v/>
      </c>
      <c r="MH22" s="231" t="str">
        <f t="shared" si="249"/>
        <v/>
      </c>
      <c r="MI22" s="231" t="str">
        <f t="shared" si="250"/>
        <v/>
      </c>
      <c r="MJ22" s="231" t="str">
        <f t="shared" si="251"/>
        <v/>
      </c>
      <c r="MK22" s="231" t="str">
        <f t="shared" si="252"/>
        <v/>
      </c>
      <c r="ML22" s="231" t="str">
        <f t="shared" si="253"/>
        <v/>
      </c>
      <c r="MM22" s="231" t="str">
        <f t="shared" si="254"/>
        <v/>
      </c>
      <c r="MN22" s="231" t="str">
        <f t="shared" si="255"/>
        <v/>
      </c>
      <c r="MO22" s="231" t="str">
        <f t="shared" si="256"/>
        <v/>
      </c>
      <c r="MP22" s="231" t="str">
        <f t="shared" si="257"/>
        <v/>
      </c>
      <c r="MQ22" s="231" t="str">
        <f t="shared" si="258"/>
        <v/>
      </c>
      <c r="MR22" s="231" t="str">
        <f t="shared" si="259"/>
        <v/>
      </c>
      <c r="MS22" s="231">
        <f t="shared" si="154"/>
        <v>84</v>
      </c>
      <c r="MT22" s="232" t="str">
        <f>IF(MS22="","",IF(MS22&gt;=KONVERSI!$A$5,KONVERSI!$E$5,IF(MS22&gt;=KONVERSI!$A$6,KONVERSI!$E$6,IF(MS22&gt;=KONVERSI!$A$7,KONVERSI!$E$7,KONVERSI!$E$8))))</f>
        <v>Baik</v>
      </c>
      <c r="MU22" s="233" t="str">
        <f t="shared" si="155"/>
        <v>Baik dalamprinsip perancangan, pembuatan dan penyajian produk kerajinan kerang, kaca, keramik dan botol plastik yang kreatif dan inovatif</v>
      </c>
      <c r="MV22" s="234">
        <f t="shared" si="260"/>
        <v>80.8</v>
      </c>
      <c r="MW22" s="232" t="str">
        <f>IF(MV22="","",IF(MV22&gt;=KONVERSI!$A$5,KONVERSI!$E$5,IF(MV22&gt;=KONVERSI!$A$6,KONVERSI!$E$6,IF(MV22&gt;=KONVERSI!$A$7,KONVERSI!$E$7,KONVERSI!$E$8))))</f>
        <v>Cukup Baik</v>
      </c>
      <c r="MX22" s="134" t="str">
        <f>IF(FI22&lt;$FN$4," "&amp;KONVERSI!$C$18&amp;INDEX($LY$8:$MR$8,MATCH(MV22,LY22:MR22,0))&amp;".",IF(KG22=0,"",IF(MV22&lt;&gt;0,MU22&amp;MW22&amp;".",MU22&amp;".")))</f>
        <v>Baik dalamprinsip perancangan, pembuatan dan penyajian produk kerajinan kerang, kaca, keramik dan botol plastik yang kreatif dan inovatifCukup Baik.</v>
      </c>
      <c r="MY22" s="235" t="str">
        <f t="shared" si="261"/>
        <v>NO</v>
      </c>
      <c r="MZ22" s="235" t="str">
        <f t="shared" si="262"/>
        <v>OK</v>
      </c>
      <c r="NA22" s="235" t="str">
        <f t="shared" si="263"/>
        <v/>
      </c>
      <c r="NB22" s="235" t="str">
        <f t="shared" si="264"/>
        <v/>
      </c>
      <c r="NC22" s="235" t="str">
        <f t="shared" si="265"/>
        <v/>
      </c>
      <c r="ND22" s="235" t="str">
        <f t="shared" si="266"/>
        <v/>
      </c>
      <c r="NE22" s="235" t="str">
        <f t="shared" si="267"/>
        <v/>
      </c>
      <c r="NF22" s="235" t="str">
        <f t="shared" si="268"/>
        <v/>
      </c>
      <c r="NG22" s="235" t="str">
        <f t="shared" si="269"/>
        <v/>
      </c>
      <c r="NH22" s="235" t="str">
        <f t="shared" si="270"/>
        <v/>
      </c>
      <c r="NI22" s="235" t="str">
        <f t="shared" si="271"/>
        <v/>
      </c>
      <c r="NJ22" s="235" t="str">
        <f t="shared" si="272"/>
        <v/>
      </c>
      <c r="NK22" s="235" t="str">
        <f t="shared" si="273"/>
        <v/>
      </c>
      <c r="NL22" s="235" t="str">
        <f t="shared" si="274"/>
        <v/>
      </c>
      <c r="NM22" s="235" t="str">
        <f t="shared" si="275"/>
        <v/>
      </c>
      <c r="NN22" s="235" t="str">
        <f t="shared" si="276"/>
        <v/>
      </c>
      <c r="NO22" s="235" t="str">
        <f t="shared" si="277"/>
        <v/>
      </c>
      <c r="NP22" s="235" t="str">
        <f t="shared" si="278"/>
        <v/>
      </c>
      <c r="NQ22" s="235" t="str">
        <f t="shared" si="279"/>
        <v/>
      </c>
      <c r="NR22" s="235" t="str">
        <f t="shared" si="280"/>
        <v/>
      </c>
      <c r="NS22" s="134" t="str">
        <f t="shared" si="281"/>
        <v/>
      </c>
      <c r="NT22" s="134" t="str">
        <f t="shared" si="282"/>
        <v>prinsip perancangan, pembuatan dan penyajian produk kerajinan kerang, kaca, keramik dan botol plastik yang kreatif dan inovatif</v>
      </c>
      <c r="NU22" s="134" t="str">
        <f t="shared" si="283"/>
        <v/>
      </c>
      <c r="NV22" s="134" t="str">
        <f t="shared" si="284"/>
        <v/>
      </c>
      <c r="NW22" s="134" t="str">
        <f t="shared" si="285"/>
        <v/>
      </c>
      <c r="NX22" s="134" t="str">
        <f t="shared" si="286"/>
        <v/>
      </c>
      <c r="NY22" s="134" t="str">
        <f t="shared" si="287"/>
        <v/>
      </c>
      <c r="NZ22" s="134" t="str">
        <f t="shared" si="288"/>
        <v/>
      </c>
      <c r="OA22" s="134" t="str">
        <f t="shared" si="289"/>
        <v/>
      </c>
      <c r="OB22" s="134" t="str">
        <f t="shared" si="290"/>
        <v/>
      </c>
      <c r="OC22" s="134" t="str">
        <f t="shared" si="291"/>
        <v/>
      </c>
      <c r="OD22" s="134" t="str">
        <f t="shared" si="292"/>
        <v/>
      </c>
      <c r="OE22" s="134" t="str">
        <f t="shared" si="293"/>
        <v/>
      </c>
      <c r="OF22" s="134" t="str">
        <f t="shared" si="294"/>
        <v/>
      </c>
      <c r="OG22" s="134" t="str">
        <f t="shared" si="295"/>
        <v/>
      </c>
      <c r="OH22" s="134" t="str">
        <f t="shared" si="296"/>
        <v/>
      </c>
      <c r="OI22" s="134" t="str">
        <f t="shared" si="297"/>
        <v/>
      </c>
      <c r="OJ22" s="134" t="str">
        <f t="shared" si="298"/>
        <v/>
      </c>
      <c r="OK22" s="134" t="str">
        <f t="shared" si="299"/>
        <v/>
      </c>
      <c r="OL22" s="134" t="str">
        <f t="shared" si="300"/>
        <v/>
      </c>
      <c r="OM22" s="134" t="str">
        <f t="shared" si="301"/>
        <v>Baik dalam prinsip perancangan, pembuatan dan penyajian produk kerajinan kerang, kaca, keramik dan botol plastik yang kreatif dan inovatif</v>
      </c>
      <c r="ON22" s="134" t="str">
        <f t="shared" si="302"/>
        <v>Baik dalam prinsip perancangan, pembuatan dan penyajian produk kerajinan kerang, kaca, keramik dan botol plastik yang kreatif dan inovati.  </v>
      </c>
      <c r="OO22" s="236">
        <f t="shared" si="169"/>
        <v>1</v>
      </c>
      <c r="OP22" s="235" t="str">
        <f t="shared" si="303"/>
        <v>OK</v>
      </c>
      <c r="OQ22" s="235" t="str">
        <f t="shared" si="304"/>
        <v>NO</v>
      </c>
      <c r="OR22" s="235" t="str">
        <f t="shared" si="305"/>
        <v/>
      </c>
      <c r="OS22" s="235" t="str">
        <f t="shared" si="306"/>
        <v/>
      </c>
      <c r="OT22" s="235" t="str">
        <f t="shared" si="307"/>
        <v/>
      </c>
      <c r="OU22" s="235" t="str">
        <f t="shared" si="308"/>
        <v/>
      </c>
      <c r="OV22" s="235" t="str">
        <f t="shared" si="309"/>
        <v/>
      </c>
      <c r="OW22" s="235" t="str">
        <f t="shared" si="310"/>
        <v/>
      </c>
      <c r="OX22" s="235" t="str">
        <f t="shared" si="311"/>
        <v/>
      </c>
      <c r="OY22" s="235" t="str">
        <f t="shared" si="312"/>
        <v/>
      </c>
      <c r="OZ22" s="235" t="str">
        <f t="shared" si="313"/>
        <v/>
      </c>
      <c r="PA22" s="235" t="str">
        <f t="shared" si="314"/>
        <v/>
      </c>
      <c r="PB22" s="235" t="str">
        <f t="shared" si="315"/>
        <v/>
      </c>
      <c r="PC22" s="235" t="str">
        <f t="shared" si="316"/>
        <v/>
      </c>
      <c r="PD22" s="235" t="str">
        <f t="shared" si="317"/>
        <v/>
      </c>
      <c r="PE22" s="235" t="str">
        <f t="shared" si="318"/>
        <v/>
      </c>
      <c r="PF22" s="235" t="str">
        <f t="shared" si="319"/>
        <v/>
      </c>
      <c r="PG22" s="235" t="str">
        <f t="shared" si="320"/>
        <v/>
      </c>
      <c r="PH22" s="235" t="str">
        <f t="shared" si="321"/>
        <v/>
      </c>
      <c r="PI22" s="235" t="str">
        <f t="shared" si="322"/>
        <v/>
      </c>
      <c r="PJ22" s="134" t="str">
        <f t="shared" si="323"/>
        <v>jenis, sifat, karakter dan teknik pengolahan kerang, kaca, keramik dan botol plastik</v>
      </c>
      <c r="PK22" s="134" t="str">
        <f t="shared" si="324"/>
        <v/>
      </c>
      <c r="PL22" s="134" t="str">
        <f t="shared" si="325"/>
        <v/>
      </c>
      <c r="PM22" s="134" t="str">
        <f t="shared" si="326"/>
        <v/>
      </c>
      <c r="PN22" s="134" t="str">
        <f t="shared" si="327"/>
        <v/>
      </c>
      <c r="PO22" s="134" t="str">
        <f t="shared" si="328"/>
        <v/>
      </c>
      <c r="PP22" s="134" t="str">
        <f t="shared" si="329"/>
        <v/>
      </c>
      <c r="PQ22" s="134" t="str">
        <f t="shared" si="330"/>
        <v/>
      </c>
      <c r="PR22" s="134" t="str">
        <f t="shared" si="331"/>
        <v/>
      </c>
      <c r="PS22" s="134" t="str">
        <f t="shared" si="332"/>
        <v/>
      </c>
      <c r="PT22" s="134" t="str">
        <f t="shared" si="333"/>
        <v/>
      </c>
      <c r="PU22" s="134" t="str">
        <f t="shared" si="334"/>
        <v/>
      </c>
      <c r="PV22" s="134" t="str">
        <f t="shared" si="335"/>
        <v/>
      </c>
      <c r="PW22" s="134" t="str">
        <f t="shared" si="336"/>
        <v/>
      </c>
      <c r="PX22" s="134" t="str">
        <f t="shared" si="337"/>
        <v/>
      </c>
      <c r="PY22" s="134" t="str">
        <f t="shared" si="338"/>
        <v/>
      </c>
      <c r="PZ22" s="134" t="str">
        <f t="shared" si="339"/>
        <v/>
      </c>
      <c r="QA22" s="134" t="str">
        <f t="shared" si="340"/>
        <v/>
      </c>
      <c r="QB22" s="134" t="str">
        <f t="shared" si="341"/>
        <v/>
      </c>
      <c r="QC22" s="134" t="str">
        <f t="shared" si="342"/>
        <v/>
      </c>
      <c r="QD22" s="134" t="str">
        <f>IF(MT22=MW22,"",IF(MV22="","",IF(MV22&gt;=KONVERSI!$A$7,'KI3'!MW22&amp;" dalam"&amp;PJ22&amp;PK22&amp;PL22&amp;PM22&amp;PN22&amp;PO22&amp;PP22&amp;PQ22&amp;PR22&amp;PS22&amp;PT22&amp;PU22&amp;PV22&amp;PW22&amp;PX22&amp;PY22&amp;PZ22&amp;QA22&amp;QB22&amp;QC22,KONVERSI!$C$18&amp;" dalam"&amp;PJ22&amp;PK22&amp;PL22&amp;PM22&amp;PN22&amp;PO22&amp;PP22&amp;PQ22&amp;PR22&amp;PS22&amp;PT22&amp;PU22&amp;PV22&amp;PW22&amp;PX22&amp;PY22&amp;PZ22&amp;QA22&amp;QB22&amp;QC22)))</f>
        <v>Cukup Baik dalamjenis, sifat, karakter dan teknik pengolahan kerang, kaca, keramik dan botol plastik</v>
      </c>
      <c r="QE22" s="134" t="str">
        <f t="shared" si="343"/>
        <v>Cukup Baik dalamjenis, sifat, karakter dan teknik pengolahan kerang, kaca, keramik dan botol plasti.</v>
      </c>
      <c r="QF22" s="236">
        <f t="shared" si="172"/>
        <v>1</v>
      </c>
      <c r="QG22" s="134" t="str">
        <f t="shared" si="173"/>
        <v>Baik dalam prinsip perancangan, pembuatan dan penyajian produk kerajinan kerang, kaca, keramik dan botol plastik yang kreatif dan inovati.  Cukup Baik dalamjenis, sifat, karakter dan teknik pengolahan kerang, kaca, keramik dan botol plasti.</v>
      </c>
    </row>
    <row r="23" ht="27.6" customHeight="1" spans="1:449">
      <c r="A23" s="179"/>
      <c r="B23" s="177">
        <v>15</v>
      </c>
      <c r="C23" s="178" t="str">
        <f>siswa!C19</f>
        <v>JULI ROSISKA</v>
      </c>
      <c r="D23" s="174">
        <f>siswa!D19</f>
        <v>2782</v>
      </c>
      <c r="E23" s="175">
        <v>86</v>
      </c>
      <c r="F23" s="175">
        <v>86</v>
      </c>
      <c r="G23" s="248"/>
      <c r="H23" s="176"/>
      <c r="I23" s="176"/>
      <c r="J23" s="175">
        <v>100</v>
      </c>
      <c r="K23" s="176"/>
      <c r="L23" s="223">
        <f t="shared" si="174"/>
        <v>91.6</v>
      </c>
      <c r="M23" s="250">
        <v>86</v>
      </c>
      <c r="N23" s="250">
        <v>86</v>
      </c>
      <c r="O23" s="248"/>
      <c r="P23" s="176"/>
      <c r="Q23" s="176"/>
      <c r="R23" s="250">
        <v>88</v>
      </c>
      <c r="S23" s="176"/>
      <c r="T23" s="223">
        <f t="shared" si="175"/>
        <v>86.8</v>
      </c>
      <c r="U23" s="248"/>
      <c r="V23" s="248"/>
      <c r="W23" s="248"/>
      <c r="X23" s="176"/>
      <c r="Y23" s="176"/>
      <c r="Z23" s="250"/>
      <c r="AA23" s="176"/>
      <c r="AB23" s="223">
        <f t="shared" si="176"/>
        <v>0</v>
      </c>
      <c r="AC23" s="248"/>
      <c r="AD23" s="248"/>
      <c r="AE23" s="248"/>
      <c r="AF23" s="248"/>
      <c r="AG23" s="176"/>
      <c r="AH23" s="250"/>
      <c r="AI23" s="176"/>
      <c r="AJ23" s="223">
        <f t="shared" si="177"/>
        <v>0</v>
      </c>
      <c r="AK23" s="181"/>
      <c r="AL23" s="176"/>
      <c r="AM23" s="176"/>
      <c r="AN23" s="176"/>
      <c r="AO23" s="176"/>
      <c r="AP23" s="176"/>
      <c r="AQ23" s="176"/>
      <c r="AR23" s="223">
        <f t="shared" si="178"/>
        <v>0</v>
      </c>
      <c r="AS23" s="181"/>
      <c r="AT23" s="176"/>
      <c r="AU23" s="176"/>
      <c r="AV23" s="176"/>
      <c r="AW23" s="176"/>
      <c r="AX23" s="176"/>
      <c r="AY23" s="176"/>
      <c r="AZ23" s="223">
        <f t="shared" si="179"/>
        <v>0</v>
      </c>
      <c r="BA23" s="181"/>
      <c r="BB23" s="176"/>
      <c r="BC23" s="176"/>
      <c r="BD23" s="176"/>
      <c r="BE23" s="176"/>
      <c r="BF23" s="176"/>
      <c r="BG23" s="176"/>
      <c r="BH23" s="223">
        <f t="shared" si="180"/>
        <v>0</v>
      </c>
      <c r="BI23" s="181"/>
      <c r="BJ23" s="176"/>
      <c r="BK23" s="176"/>
      <c r="BL23" s="176"/>
      <c r="BM23" s="176"/>
      <c r="BN23" s="176"/>
      <c r="BO23" s="176"/>
      <c r="BP23" s="223">
        <f t="shared" si="181"/>
        <v>0</v>
      </c>
      <c r="BQ23" s="181"/>
      <c r="BR23" s="176"/>
      <c r="BS23" s="176"/>
      <c r="BT23" s="176"/>
      <c r="BU23" s="176"/>
      <c r="BV23" s="176"/>
      <c r="BW23" s="176"/>
      <c r="BX23" s="223">
        <f t="shared" si="182"/>
        <v>0</v>
      </c>
      <c r="BY23" s="181"/>
      <c r="BZ23" s="176"/>
      <c r="CA23" s="176"/>
      <c r="CB23" s="176"/>
      <c r="CC23" s="176"/>
      <c r="CD23" s="176"/>
      <c r="CE23" s="176"/>
      <c r="CF23" s="223">
        <f t="shared" si="183"/>
        <v>0</v>
      </c>
      <c r="CG23" s="181"/>
      <c r="CH23" s="176"/>
      <c r="CI23" s="176"/>
      <c r="CJ23" s="176"/>
      <c r="CK23" s="176"/>
      <c r="CL23" s="176"/>
      <c r="CM23" s="176"/>
      <c r="CN23" s="223">
        <f t="shared" si="184"/>
        <v>0</v>
      </c>
      <c r="CO23" s="181"/>
      <c r="CP23" s="176"/>
      <c r="CQ23" s="176"/>
      <c r="CR23" s="176"/>
      <c r="CS23" s="176"/>
      <c r="CT23" s="176"/>
      <c r="CU23" s="176"/>
      <c r="CV23" s="223">
        <f t="shared" si="185"/>
        <v>0</v>
      </c>
      <c r="CW23" s="181"/>
      <c r="CX23" s="176"/>
      <c r="CY23" s="176"/>
      <c r="CZ23" s="176"/>
      <c r="DA23" s="176"/>
      <c r="DB23" s="176"/>
      <c r="DC23" s="176"/>
      <c r="DD23" s="223">
        <f t="shared" si="186"/>
        <v>0</v>
      </c>
      <c r="DE23" s="181"/>
      <c r="DF23" s="176"/>
      <c r="DG23" s="176"/>
      <c r="DH23" s="176"/>
      <c r="DI23" s="176"/>
      <c r="DJ23" s="176"/>
      <c r="DK23" s="176"/>
      <c r="DL23" s="223">
        <f t="shared" si="187"/>
        <v>0</v>
      </c>
      <c r="DM23" s="181"/>
      <c r="DN23" s="176"/>
      <c r="DO23" s="176"/>
      <c r="DP23" s="176"/>
      <c r="DQ23" s="176"/>
      <c r="DR23" s="176"/>
      <c r="DS23" s="176"/>
      <c r="DT23" s="223">
        <f t="shared" si="188"/>
        <v>0</v>
      </c>
      <c r="DU23" s="181"/>
      <c r="DV23" s="176"/>
      <c r="DW23" s="176"/>
      <c r="DX23" s="176"/>
      <c r="DY23" s="176"/>
      <c r="DZ23" s="176"/>
      <c r="EA23" s="176"/>
      <c r="EB23" s="223">
        <f t="shared" si="189"/>
        <v>0</v>
      </c>
      <c r="EC23" s="181"/>
      <c r="ED23" s="176"/>
      <c r="EE23" s="176"/>
      <c r="EF23" s="176"/>
      <c r="EG23" s="176"/>
      <c r="EH23" s="176"/>
      <c r="EI23" s="176"/>
      <c r="EJ23" s="223">
        <f t="shared" si="190"/>
        <v>0</v>
      </c>
      <c r="EK23" s="181"/>
      <c r="EL23" s="176"/>
      <c r="EM23" s="176"/>
      <c r="EN23" s="176"/>
      <c r="EO23" s="176"/>
      <c r="EP23" s="176"/>
      <c r="EQ23" s="176"/>
      <c r="ER23" s="223">
        <f t="shared" si="191"/>
        <v>0</v>
      </c>
      <c r="ES23" s="181"/>
      <c r="ET23" s="176"/>
      <c r="EU23" s="176"/>
      <c r="EV23" s="176"/>
      <c r="EW23" s="176"/>
      <c r="EX23" s="176"/>
      <c r="EY23" s="176"/>
      <c r="EZ23" s="223">
        <f t="shared" si="192"/>
        <v>0</v>
      </c>
      <c r="FA23" s="181"/>
      <c r="FB23" s="176"/>
      <c r="FC23" s="176"/>
      <c r="FD23" s="176"/>
      <c r="FE23" s="176"/>
      <c r="FF23" s="176"/>
      <c r="FG23" s="176"/>
      <c r="FH23" s="223">
        <f t="shared" si="193"/>
        <v>0</v>
      </c>
      <c r="FI23" s="291">
        <f t="shared" si="194"/>
        <v>89</v>
      </c>
      <c r="FJ23" s="250">
        <v>74</v>
      </c>
      <c r="FK23" s="250"/>
      <c r="FL23" s="291">
        <f t="shared" si="195"/>
        <v>84</v>
      </c>
      <c r="FM23" s="312" t="str">
        <f>IFERROR(IF(FL23="","",IF(FL23&gt;=KONVERSI!$A$5,KONVERSI!$D$5,IF(FL23&gt;=KONVERSI!$A$6,KONVERSI!$D$6,IF(FL23&gt;=KONVERSI!$A$7,KONVERSI!$D$7,KONVERSI!$D$8)))),"")</f>
        <v>B</v>
      </c>
      <c r="FN23" s="232" t="str">
        <f t="shared" si="196"/>
        <v>Tuntas</v>
      </c>
      <c r="FO23" s="313"/>
      <c r="FP23" s="314">
        <f t="shared" si="197"/>
        <v>86</v>
      </c>
      <c r="FQ23" s="194">
        <f t="shared" si="33"/>
        <v>86</v>
      </c>
      <c r="FR23" s="194">
        <f t="shared" si="34"/>
        <v>86</v>
      </c>
      <c r="FS23" s="194" t="str">
        <f t="shared" si="35"/>
        <v/>
      </c>
      <c r="FT23" s="194" t="str">
        <f t="shared" si="36"/>
        <v/>
      </c>
      <c r="FU23" s="194" t="str">
        <f t="shared" si="37"/>
        <v/>
      </c>
      <c r="FV23" s="194">
        <f t="shared" si="38"/>
        <v>91.6</v>
      </c>
      <c r="FW23" s="194">
        <f t="shared" si="39"/>
        <v>86</v>
      </c>
      <c r="FX23" s="194">
        <f t="shared" si="344"/>
        <v>86</v>
      </c>
      <c r="FY23" s="194" t="str">
        <f t="shared" si="40"/>
        <v/>
      </c>
      <c r="FZ23" s="194" t="str">
        <f t="shared" si="41"/>
        <v/>
      </c>
      <c r="GA23" s="194" t="str">
        <f t="shared" si="42"/>
        <v/>
      </c>
      <c r="GB23" s="194">
        <f t="shared" si="43"/>
        <v>86.8</v>
      </c>
      <c r="GC23" s="194" t="str">
        <f t="shared" si="44"/>
        <v/>
      </c>
      <c r="GD23" s="194" t="str">
        <f t="shared" si="45"/>
        <v/>
      </c>
      <c r="GE23" s="194" t="str">
        <f t="shared" si="46"/>
        <v/>
      </c>
      <c r="GF23" s="194" t="str">
        <f t="shared" si="47"/>
        <v/>
      </c>
      <c r="GG23" s="194" t="str">
        <f t="shared" si="48"/>
        <v/>
      </c>
      <c r="GH23" s="194" t="str">
        <f t="shared" si="49"/>
        <v/>
      </c>
      <c r="GI23" s="194" t="str">
        <f t="shared" si="50"/>
        <v/>
      </c>
      <c r="GJ23" s="194" t="str">
        <f t="shared" si="51"/>
        <v/>
      </c>
      <c r="GK23" s="194" t="str">
        <f t="shared" si="52"/>
        <v/>
      </c>
      <c r="GL23" s="194" t="str">
        <f t="shared" si="53"/>
        <v/>
      </c>
      <c r="GM23" s="194" t="str">
        <f t="shared" si="54"/>
        <v/>
      </c>
      <c r="GN23" s="194" t="str">
        <f t="shared" si="55"/>
        <v/>
      </c>
      <c r="GO23" s="194" t="str">
        <f t="shared" si="56"/>
        <v/>
      </c>
      <c r="GP23" s="194" t="str">
        <f t="shared" si="57"/>
        <v/>
      </c>
      <c r="GQ23" s="194" t="str">
        <f t="shared" si="58"/>
        <v/>
      </c>
      <c r="GR23" s="194" t="str">
        <f t="shared" si="59"/>
        <v/>
      </c>
      <c r="GS23" s="194" t="str">
        <f t="shared" si="60"/>
        <v/>
      </c>
      <c r="GT23" s="194" t="str">
        <f t="shared" si="61"/>
        <v/>
      </c>
      <c r="GU23" s="194" t="str">
        <f t="shared" si="62"/>
        <v/>
      </c>
      <c r="GV23" s="194" t="str">
        <f t="shared" si="63"/>
        <v/>
      </c>
      <c r="GW23" s="194" t="str">
        <f t="shared" si="64"/>
        <v/>
      </c>
      <c r="GX23" s="194" t="str">
        <f t="shared" si="65"/>
        <v/>
      </c>
      <c r="GY23" s="194" t="str">
        <f t="shared" si="66"/>
        <v/>
      </c>
      <c r="GZ23" s="194" t="str">
        <f t="shared" si="67"/>
        <v/>
      </c>
      <c r="HA23" s="194" t="str">
        <f t="shared" si="68"/>
        <v/>
      </c>
      <c r="HB23" s="194" t="str">
        <f t="shared" si="69"/>
        <v/>
      </c>
      <c r="HC23" s="194" t="str">
        <f t="shared" si="70"/>
        <v/>
      </c>
      <c r="HD23" s="194" t="str">
        <f t="shared" si="71"/>
        <v/>
      </c>
      <c r="HE23" s="194" t="str">
        <f t="shared" si="72"/>
        <v/>
      </c>
      <c r="HF23" s="194" t="str">
        <f t="shared" si="73"/>
        <v/>
      </c>
      <c r="HG23" s="194" t="str">
        <f t="shared" si="74"/>
        <v/>
      </c>
      <c r="HH23" s="194" t="str">
        <f t="shared" si="75"/>
        <v/>
      </c>
      <c r="HI23" s="194" t="str">
        <f t="shared" si="76"/>
        <v/>
      </c>
      <c r="HJ23" s="194" t="str">
        <f t="shared" si="77"/>
        <v/>
      </c>
      <c r="HK23" s="194" t="str">
        <f t="shared" si="78"/>
        <v/>
      </c>
      <c r="HL23" s="194" t="str">
        <f t="shared" si="79"/>
        <v/>
      </c>
      <c r="HM23" s="194" t="str">
        <f t="shared" si="80"/>
        <v/>
      </c>
      <c r="HN23" s="194" t="str">
        <f t="shared" si="81"/>
        <v/>
      </c>
      <c r="HO23" s="194" t="str">
        <f t="shared" si="82"/>
        <v/>
      </c>
      <c r="HP23" s="194" t="str">
        <f t="shared" si="83"/>
        <v/>
      </c>
      <c r="HQ23" s="194" t="str">
        <f t="shared" si="84"/>
        <v/>
      </c>
      <c r="HR23" s="194" t="str">
        <f t="shared" si="85"/>
        <v/>
      </c>
      <c r="HS23" s="194" t="str">
        <f t="shared" si="86"/>
        <v/>
      </c>
      <c r="HT23" s="194" t="str">
        <f t="shared" si="87"/>
        <v/>
      </c>
      <c r="HU23" s="194" t="str">
        <f t="shared" si="88"/>
        <v/>
      </c>
      <c r="HV23" s="194" t="str">
        <f t="shared" si="89"/>
        <v/>
      </c>
      <c r="HW23" s="194" t="str">
        <f t="shared" si="90"/>
        <v/>
      </c>
      <c r="HX23" s="194" t="str">
        <f t="shared" si="91"/>
        <v/>
      </c>
      <c r="HY23" s="194" t="str">
        <f t="shared" si="92"/>
        <v/>
      </c>
      <c r="HZ23" s="194" t="str">
        <f t="shared" si="93"/>
        <v/>
      </c>
      <c r="IA23" s="194" t="str">
        <f t="shared" si="94"/>
        <v/>
      </c>
      <c r="IB23" s="194" t="str">
        <f t="shared" si="95"/>
        <v/>
      </c>
      <c r="IC23" s="194" t="str">
        <f t="shared" si="96"/>
        <v/>
      </c>
      <c r="ID23" s="194" t="str">
        <f t="shared" si="97"/>
        <v/>
      </c>
      <c r="IE23" s="194" t="str">
        <f t="shared" si="98"/>
        <v/>
      </c>
      <c r="IF23" s="194" t="str">
        <f t="shared" si="99"/>
        <v/>
      </c>
      <c r="IG23" s="194" t="str">
        <f t="shared" si="100"/>
        <v/>
      </c>
      <c r="IH23" s="194" t="str">
        <f t="shared" si="101"/>
        <v/>
      </c>
      <c r="II23" s="194" t="str">
        <f t="shared" si="102"/>
        <v/>
      </c>
      <c r="IJ23" s="194" t="str">
        <f t="shared" si="103"/>
        <v/>
      </c>
      <c r="IK23" s="194" t="str">
        <f t="shared" si="104"/>
        <v/>
      </c>
      <c r="IL23" s="194" t="str">
        <f t="shared" si="105"/>
        <v/>
      </c>
      <c r="IM23" s="194" t="str">
        <f t="shared" si="106"/>
        <v/>
      </c>
      <c r="IN23" s="194" t="str">
        <f t="shared" si="107"/>
        <v/>
      </c>
      <c r="IO23" s="194" t="str">
        <f t="shared" si="108"/>
        <v/>
      </c>
      <c r="IP23" s="194" t="str">
        <f t="shared" si="109"/>
        <v/>
      </c>
      <c r="IQ23" s="194" t="str">
        <f t="shared" si="110"/>
        <v/>
      </c>
      <c r="IR23" s="194" t="str">
        <f t="shared" si="111"/>
        <v/>
      </c>
      <c r="IS23" s="194" t="str">
        <f t="shared" si="112"/>
        <v/>
      </c>
      <c r="IT23" s="194" t="str">
        <f t="shared" si="113"/>
        <v/>
      </c>
      <c r="IU23" s="194" t="str">
        <f t="shared" si="114"/>
        <v/>
      </c>
      <c r="IV23" s="194" t="str">
        <f t="shared" si="115"/>
        <v/>
      </c>
      <c r="IW23" s="194" t="str">
        <f t="shared" si="116"/>
        <v/>
      </c>
      <c r="IX23" s="194" t="str">
        <f t="shared" si="117"/>
        <v/>
      </c>
      <c r="IY23" s="194" t="str">
        <f t="shared" si="118"/>
        <v/>
      </c>
      <c r="IZ23" s="194" t="str">
        <f t="shared" si="119"/>
        <v/>
      </c>
      <c r="JA23" s="194" t="str">
        <f t="shared" si="120"/>
        <v/>
      </c>
      <c r="JB23" s="194" t="str">
        <f t="shared" si="121"/>
        <v/>
      </c>
      <c r="JC23" s="194" t="str">
        <f t="shared" si="122"/>
        <v/>
      </c>
      <c r="JD23" s="194" t="str">
        <f t="shared" si="123"/>
        <v/>
      </c>
      <c r="JE23" s="194" t="str">
        <f t="shared" si="124"/>
        <v/>
      </c>
      <c r="JF23" s="194" t="str">
        <f t="shared" si="125"/>
        <v/>
      </c>
      <c r="JG23" s="194" t="str">
        <f t="shared" si="126"/>
        <v/>
      </c>
      <c r="JH23" s="194" t="str">
        <f t="shared" si="127"/>
        <v/>
      </c>
      <c r="JI23" s="194" t="str">
        <f t="shared" si="128"/>
        <v/>
      </c>
      <c r="JJ23" s="194" t="str">
        <f t="shared" si="129"/>
        <v/>
      </c>
      <c r="JK23" s="194" t="str">
        <f t="shared" si="130"/>
        <v/>
      </c>
      <c r="JL23" s="194" t="str">
        <f t="shared" si="131"/>
        <v/>
      </c>
      <c r="JM23" s="194" t="str">
        <f t="shared" si="132"/>
        <v/>
      </c>
      <c r="JN23" s="194" t="str">
        <f t="shared" si="133"/>
        <v/>
      </c>
      <c r="JO23" s="194" t="str">
        <f t="shared" si="134"/>
        <v/>
      </c>
      <c r="JP23" s="194" t="str">
        <f t="shared" si="135"/>
        <v/>
      </c>
      <c r="JQ23" s="194" t="str">
        <f t="shared" si="136"/>
        <v/>
      </c>
      <c r="JR23" s="194" t="str">
        <f t="shared" si="137"/>
        <v/>
      </c>
      <c r="JS23" s="194" t="str">
        <f t="shared" si="138"/>
        <v/>
      </c>
      <c r="JT23" s="194" t="str">
        <f t="shared" si="139"/>
        <v/>
      </c>
      <c r="JU23" s="194" t="str">
        <f t="shared" si="140"/>
        <v/>
      </c>
      <c r="JV23" s="194" t="str">
        <f t="shared" si="141"/>
        <v/>
      </c>
      <c r="JW23" s="194" t="str">
        <f t="shared" si="142"/>
        <v/>
      </c>
      <c r="JX23" s="194" t="str">
        <f t="shared" si="143"/>
        <v/>
      </c>
      <c r="JY23" s="194" t="str">
        <f t="shared" si="144"/>
        <v/>
      </c>
      <c r="JZ23" s="194" t="str">
        <f t="shared" si="145"/>
        <v/>
      </c>
      <c r="KA23" s="194" t="str">
        <f t="shared" si="146"/>
        <v/>
      </c>
      <c r="KB23" s="194" t="str">
        <f t="shared" si="147"/>
        <v/>
      </c>
      <c r="KC23" s="194" t="str">
        <f t="shared" si="148"/>
        <v/>
      </c>
      <c r="KD23" s="194" t="str">
        <f t="shared" si="149"/>
        <v/>
      </c>
      <c r="KE23" s="194" t="str">
        <f t="shared" si="150"/>
        <v/>
      </c>
      <c r="KF23" s="194" t="str">
        <f t="shared" si="151"/>
        <v/>
      </c>
      <c r="KG23" s="194">
        <f>SUM(LE23:LX23)/COUNTA(RefKI3KI4!$B$5:$B$24)</f>
        <v>89.2</v>
      </c>
      <c r="KH23" s="232">
        <f t="shared" si="198"/>
        <v>0</v>
      </c>
      <c r="KI23" s="340" t="str">
        <f t="shared" si="199"/>
        <v>ok</v>
      </c>
      <c r="KJ23" s="340" t="str">
        <f t="shared" si="200"/>
        <v>ok</v>
      </c>
      <c r="KK23" s="340" t="str">
        <f t="shared" si="201"/>
        <v/>
      </c>
      <c r="KL23" s="340" t="str">
        <f t="shared" si="202"/>
        <v/>
      </c>
      <c r="KM23" s="340" t="str">
        <f t="shared" si="203"/>
        <v/>
      </c>
      <c r="KN23" s="340" t="str">
        <f t="shared" si="204"/>
        <v/>
      </c>
      <c r="KO23" s="340" t="str">
        <f t="shared" si="205"/>
        <v/>
      </c>
      <c r="KP23" s="340" t="str">
        <f t="shared" si="206"/>
        <v/>
      </c>
      <c r="KQ23" s="340" t="str">
        <f t="shared" si="207"/>
        <v/>
      </c>
      <c r="KR23" s="340" t="str">
        <f t="shared" si="208"/>
        <v/>
      </c>
      <c r="KS23" s="340" t="str">
        <f t="shared" si="209"/>
        <v/>
      </c>
      <c r="KT23" s="340" t="str">
        <f t="shared" si="210"/>
        <v/>
      </c>
      <c r="KU23" s="340" t="str">
        <f t="shared" si="211"/>
        <v/>
      </c>
      <c r="KV23" s="340" t="str">
        <f t="shared" si="212"/>
        <v/>
      </c>
      <c r="KW23" s="340" t="str">
        <f t="shared" si="213"/>
        <v/>
      </c>
      <c r="KX23" s="340" t="str">
        <f t="shared" si="214"/>
        <v/>
      </c>
      <c r="KY23" s="340" t="str">
        <f t="shared" si="215"/>
        <v/>
      </c>
      <c r="KZ23" s="340" t="str">
        <f t="shared" si="216"/>
        <v/>
      </c>
      <c r="LA23" s="340" t="str">
        <f t="shared" si="217"/>
        <v/>
      </c>
      <c r="LB23" s="340" t="str">
        <f t="shared" si="218"/>
        <v/>
      </c>
      <c r="LC23" s="340">
        <f t="shared" si="219"/>
        <v>0</v>
      </c>
      <c r="LD23" s="228">
        <v>15</v>
      </c>
      <c r="LE23" s="229">
        <f t="shared" si="220"/>
        <v>91.6</v>
      </c>
      <c r="LF23" s="229">
        <f t="shared" si="221"/>
        <v>86.8</v>
      </c>
      <c r="LG23" s="229" t="str">
        <f t="shared" si="222"/>
        <v/>
      </c>
      <c r="LH23" s="229" t="str">
        <f t="shared" si="223"/>
        <v/>
      </c>
      <c r="LI23" s="229" t="str">
        <f t="shared" si="224"/>
        <v/>
      </c>
      <c r="LJ23" s="229" t="str">
        <f t="shared" si="225"/>
        <v/>
      </c>
      <c r="LK23" s="229" t="str">
        <f t="shared" si="226"/>
        <v/>
      </c>
      <c r="LL23" s="229" t="str">
        <f t="shared" si="227"/>
        <v/>
      </c>
      <c r="LM23" s="229" t="str">
        <f t="shared" si="228"/>
        <v/>
      </c>
      <c r="LN23" s="229" t="str">
        <f t="shared" si="229"/>
        <v/>
      </c>
      <c r="LO23" s="229" t="str">
        <f t="shared" si="230"/>
        <v/>
      </c>
      <c r="LP23" s="229" t="str">
        <f t="shared" si="231"/>
        <v/>
      </c>
      <c r="LQ23" s="229" t="str">
        <f t="shared" si="232"/>
        <v/>
      </c>
      <c r="LR23" s="229" t="str">
        <f t="shared" si="233"/>
        <v/>
      </c>
      <c r="LS23" s="229" t="str">
        <f t="shared" si="234"/>
        <v/>
      </c>
      <c r="LT23" s="229" t="str">
        <f t="shared" si="235"/>
        <v/>
      </c>
      <c r="LU23" s="229" t="str">
        <f t="shared" si="236"/>
        <v/>
      </c>
      <c r="LV23" s="229" t="str">
        <f t="shared" si="237"/>
        <v/>
      </c>
      <c r="LW23" s="229" t="str">
        <f t="shared" si="238"/>
        <v/>
      </c>
      <c r="LX23" s="229" t="str">
        <f t="shared" si="239"/>
        <v/>
      </c>
      <c r="LY23" s="231">
        <f t="shared" si="240"/>
        <v>91.6</v>
      </c>
      <c r="LZ23" s="231">
        <f t="shared" si="241"/>
        <v>86.8</v>
      </c>
      <c r="MA23" s="231" t="str">
        <f t="shared" si="242"/>
        <v/>
      </c>
      <c r="MB23" s="231" t="str">
        <f t="shared" si="243"/>
        <v/>
      </c>
      <c r="MC23" s="231" t="str">
        <f t="shared" si="244"/>
        <v/>
      </c>
      <c r="MD23" s="231" t="str">
        <f t="shared" si="245"/>
        <v/>
      </c>
      <c r="ME23" s="231" t="str">
        <f t="shared" si="246"/>
        <v/>
      </c>
      <c r="MF23" s="231" t="str">
        <f t="shared" si="247"/>
        <v/>
      </c>
      <c r="MG23" s="231" t="str">
        <f t="shared" si="248"/>
        <v/>
      </c>
      <c r="MH23" s="231" t="str">
        <f t="shared" si="249"/>
        <v/>
      </c>
      <c r="MI23" s="231" t="str">
        <f t="shared" si="250"/>
        <v/>
      </c>
      <c r="MJ23" s="231" t="str">
        <f t="shared" si="251"/>
        <v/>
      </c>
      <c r="MK23" s="231" t="str">
        <f t="shared" si="252"/>
        <v/>
      </c>
      <c r="ML23" s="231" t="str">
        <f t="shared" si="253"/>
        <v/>
      </c>
      <c r="MM23" s="231" t="str">
        <f t="shared" si="254"/>
        <v/>
      </c>
      <c r="MN23" s="231" t="str">
        <f t="shared" si="255"/>
        <v/>
      </c>
      <c r="MO23" s="231" t="str">
        <f t="shared" si="256"/>
        <v/>
      </c>
      <c r="MP23" s="231" t="str">
        <f t="shared" si="257"/>
        <v/>
      </c>
      <c r="MQ23" s="231" t="str">
        <f t="shared" si="258"/>
        <v/>
      </c>
      <c r="MR23" s="231" t="str">
        <f t="shared" si="259"/>
        <v/>
      </c>
      <c r="MS23" s="231">
        <f t="shared" si="154"/>
        <v>91.6</v>
      </c>
      <c r="MT23" s="232" t="str">
        <f>IF(MS23="","",IF(MS23&gt;=KONVERSI!$A$5,KONVERSI!$E$5,IF(MS23&gt;=KONVERSI!$A$6,KONVERSI!$E$6,IF(MS23&gt;=KONVERSI!$A$7,KONVERSI!$E$7,KONVERSI!$E$8))))</f>
        <v>Baik</v>
      </c>
      <c r="MU23" s="233" t="str">
        <f t="shared" si="155"/>
        <v>Baik dalamjenis, sifat, karakter dan teknik pengolahan kerang, kaca, keramik dan botol plastik</v>
      </c>
      <c r="MV23" s="234">
        <f t="shared" si="260"/>
        <v>86.8</v>
      </c>
      <c r="MW23" s="232" t="str">
        <f>IF(MV23="","",IF(MV23&gt;=KONVERSI!$A$5,KONVERSI!$E$5,IF(MV23&gt;=KONVERSI!$A$6,KONVERSI!$E$6,IF(MV23&gt;=KONVERSI!$A$7,KONVERSI!$E$7,KONVERSI!$E$8))))</f>
        <v>Baik</v>
      </c>
      <c r="MX23" s="134" t="str">
        <f>IF(FI23&lt;$FN$4," "&amp;KONVERSI!$C$18&amp;INDEX($LY$8:$MR$8,MATCH(MV23,LY23:MR23,0))&amp;".",IF(KG23=0,"",IF(MV23&lt;&gt;0,MU23&amp;MW23&amp;".",MU23&amp;".")))</f>
        <v>Baik dalamjenis, sifat, karakter dan teknik pengolahan kerang, kaca, keramik dan botol plastikBaik.</v>
      </c>
      <c r="MY23" s="235" t="str">
        <f t="shared" si="261"/>
        <v>OK</v>
      </c>
      <c r="MZ23" s="235" t="str">
        <f t="shared" si="262"/>
        <v>NO</v>
      </c>
      <c r="NA23" s="235" t="str">
        <f t="shared" si="263"/>
        <v/>
      </c>
      <c r="NB23" s="235" t="str">
        <f t="shared" si="264"/>
        <v/>
      </c>
      <c r="NC23" s="235" t="str">
        <f t="shared" si="265"/>
        <v/>
      </c>
      <c r="ND23" s="235" t="str">
        <f t="shared" si="266"/>
        <v/>
      </c>
      <c r="NE23" s="235" t="str">
        <f t="shared" si="267"/>
        <v/>
      </c>
      <c r="NF23" s="235" t="str">
        <f t="shared" si="268"/>
        <v/>
      </c>
      <c r="NG23" s="235" t="str">
        <f t="shared" si="269"/>
        <v/>
      </c>
      <c r="NH23" s="235" t="str">
        <f t="shared" si="270"/>
        <v/>
      </c>
      <c r="NI23" s="235" t="str">
        <f t="shared" si="271"/>
        <v/>
      </c>
      <c r="NJ23" s="235" t="str">
        <f t="shared" si="272"/>
        <v/>
      </c>
      <c r="NK23" s="235" t="str">
        <f t="shared" si="273"/>
        <v/>
      </c>
      <c r="NL23" s="235" t="str">
        <f t="shared" si="274"/>
        <v/>
      </c>
      <c r="NM23" s="235" t="str">
        <f t="shared" si="275"/>
        <v/>
      </c>
      <c r="NN23" s="235" t="str">
        <f t="shared" si="276"/>
        <v/>
      </c>
      <c r="NO23" s="235" t="str">
        <f t="shared" si="277"/>
        <v/>
      </c>
      <c r="NP23" s="235" t="str">
        <f t="shared" si="278"/>
        <v/>
      </c>
      <c r="NQ23" s="235" t="str">
        <f t="shared" si="279"/>
        <v/>
      </c>
      <c r="NR23" s="235" t="str">
        <f t="shared" si="280"/>
        <v/>
      </c>
      <c r="NS23" s="134" t="str">
        <f t="shared" si="281"/>
        <v>jenis, sifat, karakter dan teknik pengolahan kerang, kaca, keramik dan botol plastik</v>
      </c>
      <c r="NT23" s="134" t="str">
        <f t="shared" si="282"/>
        <v/>
      </c>
      <c r="NU23" s="134" t="str">
        <f t="shared" si="283"/>
        <v/>
      </c>
      <c r="NV23" s="134" t="str">
        <f t="shared" si="284"/>
        <v/>
      </c>
      <c r="NW23" s="134" t="str">
        <f t="shared" si="285"/>
        <v/>
      </c>
      <c r="NX23" s="134" t="str">
        <f t="shared" si="286"/>
        <v/>
      </c>
      <c r="NY23" s="134" t="str">
        <f t="shared" si="287"/>
        <v/>
      </c>
      <c r="NZ23" s="134" t="str">
        <f t="shared" si="288"/>
        <v/>
      </c>
      <c r="OA23" s="134" t="str">
        <f t="shared" si="289"/>
        <v/>
      </c>
      <c r="OB23" s="134" t="str">
        <f t="shared" si="290"/>
        <v/>
      </c>
      <c r="OC23" s="134" t="str">
        <f t="shared" si="291"/>
        <v/>
      </c>
      <c r="OD23" s="134" t="str">
        <f t="shared" si="292"/>
        <v/>
      </c>
      <c r="OE23" s="134" t="str">
        <f t="shared" si="293"/>
        <v/>
      </c>
      <c r="OF23" s="134" t="str">
        <f t="shared" si="294"/>
        <v/>
      </c>
      <c r="OG23" s="134" t="str">
        <f t="shared" si="295"/>
        <v/>
      </c>
      <c r="OH23" s="134" t="str">
        <f t="shared" si="296"/>
        <v/>
      </c>
      <c r="OI23" s="134" t="str">
        <f t="shared" si="297"/>
        <v/>
      </c>
      <c r="OJ23" s="134" t="str">
        <f t="shared" si="298"/>
        <v/>
      </c>
      <c r="OK23" s="134" t="str">
        <f t="shared" si="299"/>
        <v/>
      </c>
      <c r="OL23" s="134" t="str">
        <f t="shared" si="300"/>
        <v/>
      </c>
      <c r="OM23" s="134" t="str">
        <f t="shared" si="301"/>
        <v>Baik dalam jenis, sifat, karakter dan teknik pengolahan kerang, kaca, keramik dan botol plastik</v>
      </c>
      <c r="ON23" s="134" t="str">
        <f t="shared" si="302"/>
        <v>Baik dalam jenis, sifat, karakter dan teknik pengolahan kerang, kaca, keramik dan botol plasti.  </v>
      </c>
      <c r="OO23" s="236">
        <f t="shared" si="169"/>
        <v>1</v>
      </c>
      <c r="OP23" s="235" t="str">
        <f t="shared" si="303"/>
        <v>NO</v>
      </c>
      <c r="OQ23" s="235" t="str">
        <f t="shared" si="304"/>
        <v>OK</v>
      </c>
      <c r="OR23" s="235" t="str">
        <f t="shared" si="305"/>
        <v/>
      </c>
      <c r="OS23" s="235" t="str">
        <f t="shared" si="306"/>
        <v/>
      </c>
      <c r="OT23" s="235" t="str">
        <f t="shared" si="307"/>
        <v/>
      </c>
      <c r="OU23" s="235" t="str">
        <f t="shared" si="308"/>
        <v/>
      </c>
      <c r="OV23" s="235" t="str">
        <f t="shared" si="309"/>
        <v/>
      </c>
      <c r="OW23" s="235" t="str">
        <f t="shared" si="310"/>
        <v/>
      </c>
      <c r="OX23" s="235" t="str">
        <f t="shared" si="311"/>
        <v/>
      </c>
      <c r="OY23" s="235" t="str">
        <f t="shared" si="312"/>
        <v/>
      </c>
      <c r="OZ23" s="235" t="str">
        <f t="shared" si="313"/>
        <v/>
      </c>
      <c r="PA23" s="235" t="str">
        <f t="shared" si="314"/>
        <v/>
      </c>
      <c r="PB23" s="235" t="str">
        <f t="shared" si="315"/>
        <v/>
      </c>
      <c r="PC23" s="235" t="str">
        <f t="shared" si="316"/>
        <v/>
      </c>
      <c r="PD23" s="235" t="str">
        <f t="shared" si="317"/>
        <v/>
      </c>
      <c r="PE23" s="235" t="str">
        <f t="shared" si="318"/>
        <v/>
      </c>
      <c r="PF23" s="235" t="str">
        <f t="shared" si="319"/>
        <v/>
      </c>
      <c r="PG23" s="235" t="str">
        <f t="shared" si="320"/>
        <v/>
      </c>
      <c r="PH23" s="235" t="str">
        <f t="shared" si="321"/>
        <v/>
      </c>
      <c r="PI23" s="235" t="str">
        <f t="shared" si="322"/>
        <v/>
      </c>
      <c r="PJ23" s="134" t="str">
        <f t="shared" si="323"/>
        <v/>
      </c>
      <c r="PK23" s="134" t="str">
        <f t="shared" si="324"/>
        <v>prinsip perancangan, pembuatan dan penyajian produk kerajinan kerang, kaca, keramik dan botol plastik yang kreatif dan inovatif</v>
      </c>
      <c r="PL23" s="134" t="str">
        <f t="shared" si="325"/>
        <v/>
      </c>
      <c r="PM23" s="134" t="str">
        <f t="shared" si="326"/>
        <v/>
      </c>
      <c r="PN23" s="134" t="str">
        <f t="shared" si="327"/>
        <v/>
      </c>
      <c r="PO23" s="134" t="str">
        <f t="shared" si="328"/>
        <v/>
      </c>
      <c r="PP23" s="134" t="str">
        <f t="shared" si="329"/>
        <v/>
      </c>
      <c r="PQ23" s="134" t="str">
        <f t="shared" si="330"/>
        <v/>
      </c>
      <c r="PR23" s="134" t="str">
        <f t="shared" si="331"/>
        <v/>
      </c>
      <c r="PS23" s="134" t="str">
        <f t="shared" si="332"/>
        <v/>
      </c>
      <c r="PT23" s="134" t="str">
        <f t="shared" si="333"/>
        <v/>
      </c>
      <c r="PU23" s="134" t="str">
        <f t="shared" si="334"/>
        <v/>
      </c>
      <c r="PV23" s="134" t="str">
        <f t="shared" si="335"/>
        <v/>
      </c>
      <c r="PW23" s="134" t="str">
        <f t="shared" si="336"/>
        <v/>
      </c>
      <c r="PX23" s="134" t="str">
        <f t="shared" si="337"/>
        <v/>
      </c>
      <c r="PY23" s="134" t="str">
        <f t="shared" si="338"/>
        <v/>
      </c>
      <c r="PZ23" s="134" t="str">
        <f t="shared" si="339"/>
        <v/>
      </c>
      <c r="QA23" s="134" t="str">
        <f t="shared" si="340"/>
        <v/>
      </c>
      <c r="QB23" s="134" t="str">
        <f t="shared" si="341"/>
        <v/>
      </c>
      <c r="QC23" s="134" t="str">
        <f t="shared" si="342"/>
        <v/>
      </c>
      <c r="QD23" s="134" t="str">
        <f>IF(MT23=MW23,"",IF(MV23="","",IF(MV23&gt;=KONVERSI!$A$7,'KI3'!MW23&amp;" dalam"&amp;PJ23&amp;PK23&amp;PL23&amp;PM23&amp;PN23&amp;PO23&amp;PP23&amp;PQ23&amp;PR23&amp;PS23&amp;PT23&amp;PU23&amp;PV23&amp;PW23&amp;PX23&amp;PY23&amp;PZ23&amp;QA23&amp;QB23&amp;QC23,KONVERSI!$C$18&amp;" dalam"&amp;PJ23&amp;PK23&amp;PL23&amp;PM23&amp;PN23&amp;PO23&amp;PP23&amp;PQ23&amp;PR23&amp;PS23&amp;PT23&amp;PU23&amp;PV23&amp;PW23&amp;PX23&amp;PY23&amp;PZ23&amp;QA23&amp;QB23&amp;QC23)))</f>
        <v/>
      </c>
      <c r="QE23" s="134" t="str">
        <f t="shared" si="343"/>
        <v/>
      </c>
      <c r="QF23" s="236">
        <f t="shared" si="172"/>
        <v>1</v>
      </c>
      <c r="QG23" s="134" t="str">
        <f t="shared" si="173"/>
        <v>Baik dalam jenis, sifat, karakter dan teknik pengolahan kerang, kaca, keramik dan botol plasti.  </v>
      </c>
    </row>
    <row r="24" ht="27.6" customHeight="1" spans="1:449">
      <c r="A24" s="179"/>
      <c r="B24" s="177">
        <v>16</v>
      </c>
      <c r="C24" s="178" t="str">
        <f>siswa!C20</f>
        <v>MAWARNI ZAI</v>
      </c>
      <c r="D24" s="174">
        <f>siswa!D20</f>
        <v>2795</v>
      </c>
      <c r="E24" s="175">
        <v>86</v>
      </c>
      <c r="F24" s="175">
        <v>86</v>
      </c>
      <c r="G24" s="248"/>
      <c r="H24" s="176"/>
      <c r="I24" s="176"/>
      <c r="J24" s="175">
        <v>82</v>
      </c>
      <c r="K24" s="176"/>
      <c r="L24" s="223">
        <f t="shared" si="174"/>
        <v>84.4</v>
      </c>
      <c r="M24" s="250">
        <v>88</v>
      </c>
      <c r="N24" s="250">
        <v>100</v>
      </c>
      <c r="O24" s="248"/>
      <c r="P24" s="176"/>
      <c r="Q24" s="176"/>
      <c r="R24" s="250">
        <v>84</v>
      </c>
      <c r="S24" s="176"/>
      <c r="T24" s="223">
        <f t="shared" si="175"/>
        <v>90</v>
      </c>
      <c r="U24" s="248"/>
      <c r="V24" s="248"/>
      <c r="W24" s="248"/>
      <c r="X24" s="176"/>
      <c r="Y24" s="176"/>
      <c r="Z24" s="250"/>
      <c r="AA24" s="176"/>
      <c r="AB24" s="223">
        <f t="shared" si="176"/>
        <v>0</v>
      </c>
      <c r="AC24" s="248"/>
      <c r="AD24" s="248"/>
      <c r="AE24" s="248"/>
      <c r="AF24" s="248"/>
      <c r="AG24" s="176"/>
      <c r="AH24" s="250"/>
      <c r="AI24" s="176"/>
      <c r="AJ24" s="223">
        <f t="shared" si="177"/>
        <v>0</v>
      </c>
      <c r="AK24" s="181"/>
      <c r="AL24" s="176"/>
      <c r="AM24" s="176"/>
      <c r="AN24" s="176"/>
      <c r="AO24" s="176"/>
      <c r="AP24" s="176"/>
      <c r="AQ24" s="176"/>
      <c r="AR24" s="223">
        <f t="shared" si="178"/>
        <v>0</v>
      </c>
      <c r="AS24" s="181"/>
      <c r="AT24" s="176"/>
      <c r="AU24" s="176"/>
      <c r="AV24" s="176"/>
      <c r="AW24" s="176"/>
      <c r="AX24" s="176"/>
      <c r="AY24" s="176"/>
      <c r="AZ24" s="223">
        <f t="shared" si="179"/>
        <v>0</v>
      </c>
      <c r="BA24" s="181"/>
      <c r="BB24" s="176"/>
      <c r="BC24" s="176"/>
      <c r="BD24" s="176"/>
      <c r="BE24" s="176"/>
      <c r="BF24" s="176"/>
      <c r="BG24" s="176"/>
      <c r="BH24" s="223">
        <f t="shared" si="180"/>
        <v>0</v>
      </c>
      <c r="BI24" s="181"/>
      <c r="BJ24" s="176"/>
      <c r="BK24" s="176"/>
      <c r="BL24" s="176"/>
      <c r="BM24" s="176"/>
      <c r="BN24" s="176"/>
      <c r="BO24" s="176"/>
      <c r="BP24" s="223">
        <f t="shared" si="181"/>
        <v>0</v>
      </c>
      <c r="BQ24" s="181"/>
      <c r="BR24" s="176"/>
      <c r="BS24" s="176"/>
      <c r="BT24" s="176"/>
      <c r="BU24" s="176"/>
      <c r="BV24" s="176"/>
      <c r="BW24" s="176"/>
      <c r="BX24" s="223">
        <f t="shared" si="182"/>
        <v>0</v>
      </c>
      <c r="BY24" s="181"/>
      <c r="BZ24" s="176"/>
      <c r="CA24" s="176"/>
      <c r="CB24" s="176"/>
      <c r="CC24" s="176"/>
      <c r="CD24" s="176"/>
      <c r="CE24" s="176"/>
      <c r="CF24" s="223">
        <f t="shared" si="183"/>
        <v>0</v>
      </c>
      <c r="CG24" s="181"/>
      <c r="CH24" s="176"/>
      <c r="CI24" s="176"/>
      <c r="CJ24" s="176"/>
      <c r="CK24" s="176"/>
      <c r="CL24" s="176"/>
      <c r="CM24" s="176"/>
      <c r="CN24" s="223">
        <f t="shared" si="184"/>
        <v>0</v>
      </c>
      <c r="CO24" s="181"/>
      <c r="CP24" s="176"/>
      <c r="CQ24" s="176"/>
      <c r="CR24" s="176"/>
      <c r="CS24" s="176"/>
      <c r="CT24" s="176"/>
      <c r="CU24" s="176"/>
      <c r="CV24" s="223">
        <f t="shared" si="185"/>
        <v>0</v>
      </c>
      <c r="CW24" s="181"/>
      <c r="CX24" s="176"/>
      <c r="CY24" s="176"/>
      <c r="CZ24" s="176"/>
      <c r="DA24" s="176"/>
      <c r="DB24" s="176"/>
      <c r="DC24" s="176"/>
      <c r="DD24" s="223">
        <f t="shared" si="186"/>
        <v>0</v>
      </c>
      <c r="DE24" s="181"/>
      <c r="DF24" s="176"/>
      <c r="DG24" s="176"/>
      <c r="DH24" s="176"/>
      <c r="DI24" s="176"/>
      <c r="DJ24" s="176"/>
      <c r="DK24" s="176"/>
      <c r="DL24" s="223">
        <f t="shared" si="187"/>
        <v>0</v>
      </c>
      <c r="DM24" s="181"/>
      <c r="DN24" s="176"/>
      <c r="DO24" s="176"/>
      <c r="DP24" s="176"/>
      <c r="DQ24" s="176"/>
      <c r="DR24" s="176"/>
      <c r="DS24" s="176"/>
      <c r="DT24" s="223">
        <f t="shared" si="188"/>
        <v>0</v>
      </c>
      <c r="DU24" s="181"/>
      <c r="DV24" s="176"/>
      <c r="DW24" s="176"/>
      <c r="DX24" s="176"/>
      <c r="DY24" s="176"/>
      <c r="DZ24" s="176"/>
      <c r="EA24" s="176"/>
      <c r="EB24" s="223">
        <f t="shared" si="189"/>
        <v>0</v>
      </c>
      <c r="EC24" s="181"/>
      <c r="ED24" s="176"/>
      <c r="EE24" s="176"/>
      <c r="EF24" s="176"/>
      <c r="EG24" s="176"/>
      <c r="EH24" s="176"/>
      <c r="EI24" s="176"/>
      <c r="EJ24" s="223">
        <f t="shared" si="190"/>
        <v>0</v>
      </c>
      <c r="EK24" s="181"/>
      <c r="EL24" s="176"/>
      <c r="EM24" s="176"/>
      <c r="EN24" s="176"/>
      <c r="EO24" s="176"/>
      <c r="EP24" s="176"/>
      <c r="EQ24" s="176"/>
      <c r="ER24" s="223">
        <f t="shared" si="191"/>
        <v>0</v>
      </c>
      <c r="ES24" s="181"/>
      <c r="ET24" s="176"/>
      <c r="EU24" s="176"/>
      <c r="EV24" s="176"/>
      <c r="EW24" s="176"/>
      <c r="EX24" s="176"/>
      <c r="EY24" s="176"/>
      <c r="EZ24" s="223">
        <f t="shared" si="192"/>
        <v>0</v>
      </c>
      <c r="FA24" s="181"/>
      <c r="FB24" s="176"/>
      <c r="FC24" s="176"/>
      <c r="FD24" s="176"/>
      <c r="FE24" s="176"/>
      <c r="FF24" s="176"/>
      <c r="FG24" s="176"/>
      <c r="FH24" s="223">
        <f t="shared" si="193"/>
        <v>0</v>
      </c>
      <c r="FI24" s="291">
        <f t="shared" si="194"/>
        <v>87</v>
      </c>
      <c r="FJ24" s="250">
        <v>74</v>
      </c>
      <c r="FK24" s="250"/>
      <c r="FL24" s="291">
        <f t="shared" si="195"/>
        <v>83</v>
      </c>
      <c r="FM24" s="312" t="str">
        <f>IFERROR(IF(FL24="","",IF(FL24&gt;=KONVERSI!$A$5,KONVERSI!$D$5,IF(FL24&gt;=KONVERSI!$A$6,KONVERSI!$D$6,IF(FL24&gt;=KONVERSI!$A$7,KONVERSI!$D$7,KONVERSI!$D$8)))),"")</f>
        <v>B</v>
      </c>
      <c r="FN24" s="232" t="str">
        <f t="shared" si="196"/>
        <v>Tuntas</v>
      </c>
      <c r="FO24" s="313"/>
      <c r="FP24" s="314">
        <f t="shared" si="197"/>
        <v>90</v>
      </c>
      <c r="FQ24" s="194">
        <f t="shared" si="33"/>
        <v>86</v>
      </c>
      <c r="FR24" s="194">
        <f t="shared" si="34"/>
        <v>86</v>
      </c>
      <c r="FS24" s="194" t="str">
        <f t="shared" si="35"/>
        <v/>
      </c>
      <c r="FT24" s="194" t="str">
        <f t="shared" si="36"/>
        <v/>
      </c>
      <c r="FU24" s="194" t="str">
        <f t="shared" si="37"/>
        <v/>
      </c>
      <c r="FV24" s="194">
        <f t="shared" si="38"/>
        <v>84.4</v>
      </c>
      <c r="FW24" s="194">
        <f t="shared" si="39"/>
        <v>88</v>
      </c>
      <c r="FX24" s="194">
        <f t="shared" si="344"/>
        <v>100</v>
      </c>
      <c r="FY24" s="194" t="str">
        <f t="shared" si="40"/>
        <v/>
      </c>
      <c r="FZ24" s="194" t="str">
        <f t="shared" si="41"/>
        <v/>
      </c>
      <c r="GA24" s="194" t="str">
        <f t="shared" si="42"/>
        <v/>
      </c>
      <c r="GB24" s="194">
        <f t="shared" si="43"/>
        <v>90</v>
      </c>
      <c r="GC24" s="194" t="str">
        <f t="shared" si="44"/>
        <v/>
      </c>
      <c r="GD24" s="194" t="str">
        <f t="shared" si="45"/>
        <v/>
      </c>
      <c r="GE24" s="194" t="str">
        <f t="shared" si="46"/>
        <v/>
      </c>
      <c r="GF24" s="194" t="str">
        <f t="shared" si="47"/>
        <v/>
      </c>
      <c r="GG24" s="194" t="str">
        <f t="shared" si="48"/>
        <v/>
      </c>
      <c r="GH24" s="194" t="str">
        <f t="shared" si="49"/>
        <v/>
      </c>
      <c r="GI24" s="194" t="str">
        <f t="shared" si="50"/>
        <v/>
      </c>
      <c r="GJ24" s="194" t="str">
        <f t="shared" si="51"/>
        <v/>
      </c>
      <c r="GK24" s="194" t="str">
        <f t="shared" si="52"/>
        <v/>
      </c>
      <c r="GL24" s="194" t="str">
        <f t="shared" si="53"/>
        <v/>
      </c>
      <c r="GM24" s="194" t="str">
        <f t="shared" si="54"/>
        <v/>
      </c>
      <c r="GN24" s="194" t="str">
        <f t="shared" si="55"/>
        <v/>
      </c>
      <c r="GO24" s="194" t="str">
        <f t="shared" si="56"/>
        <v/>
      </c>
      <c r="GP24" s="194" t="str">
        <f t="shared" si="57"/>
        <v/>
      </c>
      <c r="GQ24" s="194" t="str">
        <f t="shared" si="58"/>
        <v/>
      </c>
      <c r="GR24" s="194" t="str">
        <f t="shared" si="59"/>
        <v/>
      </c>
      <c r="GS24" s="194" t="str">
        <f t="shared" si="60"/>
        <v/>
      </c>
      <c r="GT24" s="194" t="str">
        <f t="shared" si="61"/>
        <v/>
      </c>
      <c r="GU24" s="194" t="str">
        <f t="shared" si="62"/>
        <v/>
      </c>
      <c r="GV24" s="194" t="str">
        <f t="shared" si="63"/>
        <v/>
      </c>
      <c r="GW24" s="194" t="str">
        <f t="shared" si="64"/>
        <v/>
      </c>
      <c r="GX24" s="194" t="str">
        <f t="shared" si="65"/>
        <v/>
      </c>
      <c r="GY24" s="194" t="str">
        <f t="shared" si="66"/>
        <v/>
      </c>
      <c r="GZ24" s="194" t="str">
        <f t="shared" si="67"/>
        <v/>
      </c>
      <c r="HA24" s="194" t="str">
        <f t="shared" si="68"/>
        <v/>
      </c>
      <c r="HB24" s="194" t="str">
        <f t="shared" si="69"/>
        <v/>
      </c>
      <c r="HC24" s="194" t="str">
        <f t="shared" si="70"/>
        <v/>
      </c>
      <c r="HD24" s="194" t="str">
        <f t="shared" si="71"/>
        <v/>
      </c>
      <c r="HE24" s="194" t="str">
        <f t="shared" si="72"/>
        <v/>
      </c>
      <c r="HF24" s="194" t="str">
        <f t="shared" si="73"/>
        <v/>
      </c>
      <c r="HG24" s="194" t="str">
        <f t="shared" si="74"/>
        <v/>
      </c>
      <c r="HH24" s="194" t="str">
        <f t="shared" si="75"/>
        <v/>
      </c>
      <c r="HI24" s="194" t="str">
        <f t="shared" si="76"/>
        <v/>
      </c>
      <c r="HJ24" s="194" t="str">
        <f t="shared" si="77"/>
        <v/>
      </c>
      <c r="HK24" s="194" t="str">
        <f t="shared" si="78"/>
        <v/>
      </c>
      <c r="HL24" s="194" t="str">
        <f t="shared" si="79"/>
        <v/>
      </c>
      <c r="HM24" s="194" t="str">
        <f t="shared" si="80"/>
        <v/>
      </c>
      <c r="HN24" s="194" t="str">
        <f t="shared" si="81"/>
        <v/>
      </c>
      <c r="HO24" s="194" t="str">
        <f t="shared" si="82"/>
        <v/>
      </c>
      <c r="HP24" s="194" t="str">
        <f t="shared" si="83"/>
        <v/>
      </c>
      <c r="HQ24" s="194" t="str">
        <f t="shared" si="84"/>
        <v/>
      </c>
      <c r="HR24" s="194" t="str">
        <f t="shared" si="85"/>
        <v/>
      </c>
      <c r="HS24" s="194" t="str">
        <f t="shared" si="86"/>
        <v/>
      </c>
      <c r="HT24" s="194" t="str">
        <f t="shared" si="87"/>
        <v/>
      </c>
      <c r="HU24" s="194" t="str">
        <f t="shared" si="88"/>
        <v/>
      </c>
      <c r="HV24" s="194" t="str">
        <f t="shared" si="89"/>
        <v/>
      </c>
      <c r="HW24" s="194" t="str">
        <f t="shared" si="90"/>
        <v/>
      </c>
      <c r="HX24" s="194" t="str">
        <f t="shared" si="91"/>
        <v/>
      </c>
      <c r="HY24" s="194" t="str">
        <f t="shared" si="92"/>
        <v/>
      </c>
      <c r="HZ24" s="194" t="str">
        <f t="shared" si="93"/>
        <v/>
      </c>
      <c r="IA24" s="194" t="str">
        <f t="shared" si="94"/>
        <v/>
      </c>
      <c r="IB24" s="194" t="str">
        <f t="shared" si="95"/>
        <v/>
      </c>
      <c r="IC24" s="194" t="str">
        <f t="shared" si="96"/>
        <v/>
      </c>
      <c r="ID24" s="194" t="str">
        <f t="shared" si="97"/>
        <v/>
      </c>
      <c r="IE24" s="194" t="str">
        <f t="shared" si="98"/>
        <v/>
      </c>
      <c r="IF24" s="194" t="str">
        <f t="shared" si="99"/>
        <v/>
      </c>
      <c r="IG24" s="194" t="str">
        <f t="shared" si="100"/>
        <v/>
      </c>
      <c r="IH24" s="194" t="str">
        <f t="shared" si="101"/>
        <v/>
      </c>
      <c r="II24" s="194" t="str">
        <f t="shared" si="102"/>
        <v/>
      </c>
      <c r="IJ24" s="194" t="str">
        <f t="shared" si="103"/>
        <v/>
      </c>
      <c r="IK24" s="194" t="str">
        <f t="shared" si="104"/>
        <v/>
      </c>
      <c r="IL24" s="194" t="str">
        <f t="shared" si="105"/>
        <v/>
      </c>
      <c r="IM24" s="194" t="str">
        <f t="shared" si="106"/>
        <v/>
      </c>
      <c r="IN24" s="194" t="str">
        <f t="shared" si="107"/>
        <v/>
      </c>
      <c r="IO24" s="194" t="str">
        <f t="shared" si="108"/>
        <v/>
      </c>
      <c r="IP24" s="194" t="str">
        <f t="shared" si="109"/>
        <v/>
      </c>
      <c r="IQ24" s="194" t="str">
        <f t="shared" si="110"/>
        <v/>
      </c>
      <c r="IR24" s="194" t="str">
        <f t="shared" si="111"/>
        <v/>
      </c>
      <c r="IS24" s="194" t="str">
        <f t="shared" si="112"/>
        <v/>
      </c>
      <c r="IT24" s="194" t="str">
        <f t="shared" si="113"/>
        <v/>
      </c>
      <c r="IU24" s="194" t="str">
        <f t="shared" si="114"/>
        <v/>
      </c>
      <c r="IV24" s="194" t="str">
        <f t="shared" si="115"/>
        <v/>
      </c>
      <c r="IW24" s="194" t="str">
        <f t="shared" si="116"/>
        <v/>
      </c>
      <c r="IX24" s="194" t="str">
        <f t="shared" si="117"/>
        <v/>
      </c>
      <c r="IY24" s="194" t="str">
        <f t="shared" si="118"/>
        <v/>
      </c>
      <c r="IZ24" s="194" t="str">
        <f t="shared" si="119"/>
        <v/>
      </c>
      <c r="JA24" s="194" t="str">
        <f t="shared" si="120"/>
        <v/>
      </c>
      <c r="JB24" s="194" t="str">
        <f t="shared" si="121"/>
        <v/>
      </c>
      <c r="JC24" s="194" t="str">
        <f t="shared" si="122"/>
        <v/>
      </c>
      <c r="JD24" s="194" t="str">
        <f t="shared" si="123"/>
        <v/>
      </c>
      <c r="JE24" s="194" t="str">
        <f t="shared" si="124"/>
        <v/>
      </c>
      <c r="JF24" s="194" t="str">
        <f t="shared" si="125"/>
        <v/>
      </c>
      <c r="JG24" s="194" t="str">
        <f t="shared" si="126"/>
        <v/>
      </c>
      <c r="JH24" s="194" t="str">
        <f t="shared" si="127"/>
        <v/>
      </c>
      <c r="JI24" s="194" t="str">
        <f t="shared" si="128"/>
        <v/>
      </c>
      <c r="JJ24" s="194" t="str">
        <f t="shared" si="129"/>
        <v/>
      </c>
      <c r="JK24" s="194" t="str">
        <f t="shared" si="130"/>
        <v/>
      </c>
      <c r="JL24" s="194" t="str">
        <f t="shared" si="131"/>
        <v/>
      </c>
      <c r="JM24" s="194" t="str">
        <f t="shared" si="132"/>
        <v/>
      </c>
      <c r="JN24" s="194" t="str">
        <f t="shared" si="133"/>
        <v/>
      </c>
      <c r="JO24" s="194" t="str">
        <f t="shared" si="134"/>
        <v/>
      </c>
      <c r="JP24" s="194" t="str">
        <f t="shared" si="135"/>
        <v/>
      </c>
      <c r="JQ24" s="194" t="str">
        <f t="shared" si="136"/>
        <v/>
      </c>
      <c r="JR24" s="194" t="str">
        <f t="shared" si="137"/>
        <v/>
      </c>
      <c r="JS24" s="194" t="str">
        <f t="shared" si="138"/>
        <v/>
      </c>
      <c r="JT24" s="194" t="str">
        <f t="shared" si="139"/>
        <v/>
      </c>
      <c r="JU24" s="194" t="str">
        <f t="shared" si="140"/>
        <v/>
      </c>
      <c r="JV24" s="194" t="str">
        <f t="shared" si="141"/>
        <v/>
      </c>
      <c r="JW24" s="194" t="str">
        <f t="shared" si="142"/>
        <v/>
      </c>
      <c r="JX24" s="194" t="str">
        <f t="shared" si="143"/>
        <v/>
      </c>
      <c r="JY24" s="194" t="str">
        <f t="shared" si="144"/>
        <v/>
      </c>
      <c r="JZ24" s="194" t="str">
        <f t="shared" si="145"/>
        <v/>
      </c>
      <c r="KA24" s="194" t="str">
        <f t="shared" si="146"/>
        <v/>
      </c>
      <c r="KB24" s="194" t="str">
        <f t="shared" si="147"/>
        <v/>
      </c>
      <c r="KC24" s="194" t="str">
        <f t="shared" si="148"/>
        <v/>
      </c>
      <c r="KD24" s="194" t="str">
        <f t="shared" si="149"/>
        <v/>
      </c>
      <c r="KE24" s="194" t="str">
        <f t="shared" si="150"/>
        <v/>
      </c>
      <c r="KF24" s="194" t="str">
        <f t="shared" si="151"/>
        <v/>
      </c>
      <c r="KG24" s="194">
        <f>SUM(LE24:LX24)/COUNTA(RefKI3KI4!$B$5:$B$24)</f>
        <v>87.2</v>
      </c>
      <c r="KH24" s="232">
        <f t="shared" si="198"/>
        <v>0</v>
      </c>
      <c r="KI24" s="340" t="str">
        <f t="shared" si="199"/>
        <v>ok</v>
      </c>
      <c r="KJ24" s="340" t="str">
        <f t="shared" si="200"/>
        <v>ok</v>
      </c>
      <c r="KK24" s="340" t="str">
        <f t="shared" si="201"/>
        <v/>
      </c>
      <c r="KL24" s="340" t="str">
        <f t="shared" si="202"/>
        <v/>
      </c>
      <c r="KM24" s="340" t="str">
        <f t="shared" si="203"/>
        <v/>
      </c>
      <c r="KN24" s="340" t="str">
        <f t="shared" si="204"/>
        <v/>
      </c>
      <c r="KO24" s="340" t="str">
        <f t="shared" si="205"/>
        <v/>
      </c>
      <c r="KP24" s="340" t="str">
        <f t="shared" si="206"/>
        <v/>
      </c>
      <c r="KQ24" s="340" t="str">
        <f t="shared" si="207"/>
        <v/>
      </c>
      <c r="KR24" s="340" t="str">
        <f t="shared" si="208"/>
        <v/>
      </c>
      <c r="KS24" s="340" t="str">
        <f t="shared" si="209"/>
        <v/>
      </c>
      <c r="KT24" s="340" t="str">
        <f t="shared" si="210"/>
        <v/>
      </c>
      <c r="KU24" s="340" t="str">
        <f t="shared" si="211"/>
        <v/>
      </c>
      <c r="KV24" s="340" t="str">
        <f t="shared" si="212"/>
        <v/>
      </c>
      <c r="KW24" s="340" t="str">
        <f t="shared" si="213"/>
        <v/>
      </c>
      <c r="KX24" s="340" t="str">
        <f t="shared" si="214"/>
        <v/>
      </c>
      <c r="KY24" s="340" t="str">
        <f t="shared" si="215"/>
        <v/>
      </c>
      <c r="KZ24" s="340" t="str">
        <f t="shared" si="216"/>
        <v/>
      </c>
      <c r="LA24" s="340" t="str">
        <f t="shared" si="217"/>
        <v/>
      </c>
      <c r="LB24" s="340" t="str">
        <f t="shared" si="218"/>
        <v/>
      </c>
      <c r="LC24" s="340">
        <f t="shared" si="219"/>
        <v>0</v>
      </c>
      <c r="LD24" s="228">
        <v>16</v>
      </c>
      <c r="LE24" s="229">
        <f t="shared" si="220"/>
        <v>84.4</v>
      </c>
      <c r="LF24" s="229">
        <f t="shared" si="221"/>
        <v>90</v>
      </c>
      <c r="LG24" s="229" t="str">
        <f t="shared" si="222"/>
        <v/>
      </c>
      <c r="LH24" s="229" t="str">
        <f t="shared" si="223"/>
        <v/>
      </c>
      <c r="LI24" s="229" t="str">
        <f t="shared" si="224"/>
        <v/>
      </c>
      <c r="LJ24" s="229" t="str">
        <f t="shared" si="225"/>
        <v/>
      </c>
      <c r="LK24" s="229" t="str">
        <f t="shared" si="226"/>
        <v/>
      </c>
      <c r="LL24" s="229" t="str">
        <f t="shared" si="227"/>
        <v/>
      </c>
      <c r="LM24" s="229" t="str">
        <f t="shared" si="228"/>
        <v/>
      </c>
      <c r="LN24" s="229" t="str">
        <f t="shared" si="229"/>
        <v/>
      </c>
      <c r="LO24" s="229" t="str">
        <f t="shared" si="230"/>
        <v/>
      </c>
      <c r="LP24" s="229" t="str">
        <f t="shared" si="231"/>
        <v/>
      </c>
      <c r="LQ24" s="229" t="str">
        <f t="shared" si="232"/>
        <v/>
      </c>
      <c r="LR24" s="229" t="str">
        <f t="shared" si="233"/>
        <v/>
      </c>
      <c r="LS24" s="229" t="str">
        <f t="shared" si="234"/>
        <v/>
      </c>
      <c r="LT24" s="229" t="str">
        <f t="shared" si="235"/>
        <v/>
      </c>
      <c r="LU24" s="229" t="str">
        <f t="shared" si="236"/>
        <v/>
      </c>
      <c r="LV24" s="229" t="str">
        <f t="shared" si="237"/>
        <v/>
      </c>
      <c r="LW24" s="229" t="str">
        <f t="shared" si="238"/>
        <v/>
      </c>
      <c r="LX24" s="229" t="str">
        <f t="shared" si="239"/>
        <v/>
      </c>
      <c r="LY24" s="231">
        <f t="shared" si="240"/>
        <v>84.4</v>
      </c>
      <c r="LZ24" s="231">
        <f t="shared" si="241"/>
        <v>90</v>
      </c>
      <c r="MA24" s="231" t="str">
        <f t="shared" si="242"/>
        <v/>
      </c>
      <c r="MB24" s="231" t="str">
        <f t="shared" si="243"/>
        <v/>
      </c>
      <c r="MC24" s="231" t="str">
        <f t="shared" si="244"/>
        <v/>
      </c>
      <c r="MD24" s="231" t="str">
        <f t="shared" si="245"/>
        <v/>
      </c>
      <c r="ME24" s="231" t="str">
        <f t="shared" si="246"/>
        <v/>
      </c>
      <c r="MF24" s="231" t="str">
        <f t="shared" si="247"/>
        <v/>
      </c>
      <c r="MG24" s="231" t="str">
        <f t="shared" si="248"/>
        <v/>
      </c>
      <c r="MH24" s="231" t="str">
        <f t="shared" si="249"/>
        <v/>
      </c>
      <c r="MI24" s="231" t="str">
        <f t="shared" si="250"/>
        <v/>
      </c>
      <c r="MJ24" s="231" t="str">
        <f t="shared" si="251"/>
        <v/>
      </c>
      <c r="MK24" s="231" t="str">
        <f t="shared" si="252"/>
        <v/>
      </c>
      <c r="ML24" s="231" t="str">
        <f t="shared" si="253"/>
        <v/>
      </c>
      <c r="MM24" s="231" t="str">
        <f t="shared" si="254"/>
        <v/>
      </c>
      <c r="MN24" s="231" t="str">
        <f t="shared" si="255"/>
        <v/>
      </c>
      <c r="MO24" s="231" t="str">
        <f t="shared" si="256"/>
        <v/>
      </c>
      <c r="MP24" s="231" t="str">
        <f t="shared" si="257"/>
        <v/>
      </c>
      <c r="MQ24" s="231" t="str">
        <f t="shared" si="258"/>
        <v/>
      </c>
      <c r="MR24" s="231" t="str">
        <f t="shared" si="259"/>
        <v/>
      </c>
      <c r="MS24" s="231">
        <f t="shared" si="154"/>
        <v>90</v>
      </c>
      <c r="MT24" s="232" t="str">
        <f>IF(MS24="","",IF(MS24&gt;=KONVERSI!$A$5,KONVERSI!$E$5,IF(MS24&gt;=KONVERSI!$A$6,KONVERSI!$E$6,IF(MS24&gt;=KONVERSI!$A$7,KONVERSI!$E$7,KONVERSI!$E$8))))</f>
        <v>Baik</v>
      </c>
      <c r="MU24" s="233" t="str">
        <f t="shared" si="155"/>
        <v>Baik dalamprinsip perancangan, pembuatan dan penyajian produk kerajinan kerang, kaca, keramik dan botol plastik yang kreatif dan inovatif</v>
      </c>
      <c r="MV24" s="234">
        <f t="shared" si="260"/>
        <v>84.4</v>
      </c>
      <c r="MW24" s="232" t="str">
        <f>IF(MV24="","",IF(MV24&gt;=KONVERSI!$A$5,KONVERSI!$E$5,IF(MV24&gt;=KONVERSI!$A$6,KONVERSI!$E$6,IF(MV24&gt;=KONVERSI!$A$7,KONVERSI!$E$7,KONVERSI!$E$8))))</f>
        <v>Baik</v>
      </c>
      <c r="MX24" s="134" t="str">
        <f>IF(FI24&lt;$FN$4," "&amp;KONVERSI!$C$18&amp;INDEX($LY$8:$MR$8,MATCH(MV24,LY24:MR24,0))&amp;".",IF(KG24=0,"",IF(MV24&lt;&gt;0,MU24&amp;MW24&amp;".",MU24&amp;".")))</f>
        <v>Baik dalamprinsip perancangan, pembuatan dan penyajian produk kerajinan kerang, kaca, keramik dan botol plastik yang kreatif dan inovatifBaik.</v>
      </c>
      <c r="MY24" s="235" t="str">
        <f t="shared" si="261"/>
        <v>NO</v>
      </c>
      <c r="MZ24" s="235" t="str">
        <f t="shared" si="262"/>
        <v>OK</v>
      </c>
      <c r="NA24" s="235" t="str">
        <f t="shared" si="263"/>
        <v/>
      </c>
      <c r="NB24" s="235" t="str">
        <f t="shared" si="264"/>
        <v/>
      </c>
      <c r="NC24" s="235" t="str">
        <f t="shared" si="265"/>
        <v/>
      </c>
      <c r="ND24" s="235" t="str">
        <f t="shared" si="266"/>
        <v/>
      </c>
      <c r="NE24" s="235" t="str">
        <f t="shared" si="267"/>
        <v/>
      </c>
      <c r="NF24" s="235" t="str">
        <f t="shared" si="268"/>
        <v/>
      </c>
      <c r="NG24" s="235" t="str">
        <f t="shared" si="269"/>
        <v/>
      </c>
      <c r="NH24" s="235" t="str">
        <f t="shared" si="270"/>
        <v/>
      </c>
      <c r="NI24" s="235" t="str">
        <f t="shared" si="271"/>
        <v/>
      </c>
      <c r="NJ24" s="235" t="str">
        <f t="shared" si="272"/>
        <v/>
      </c>
      <c r="NK24" s="235" t="str">
        <f t="shared" si="273"/>
        <v/>
      </c>
      <c r="NL24" s="235" t="str">
        <f t="shared" si="274"/>
        <v/>
      </c>
      <c r="NM24" s="235" t="str">
        <f t="shared" si="275"/>
        <v/>
      </c>
      <c r="NN24" s="235" t="str">
        <f t="shared" si="276"/>
        <v/>
      </c>
      <c r="NO24" s="235" t="str">
        <f t="shared" si="277"/>
        <v/>
      </c>
      <c r="NP24" s="235" t="str">
        <f t="shared" si="278"/>
        <v/>
      </c>
      <c r="NQ24" s="235" t="str">
        <f t="shared" si="279"/>
        <v/>
      </c>
      <c r="NR24" s="235" t="str">
        <f t="shared" si="280"/>
        <v/>
      </c>
      <c r="NS24" s="134" t="str">
        <f t="shared" si="281"/>
        <v/>
      </c>
      <c r="NT24" s="134" t="str">
        <f t="shared" si="282"/>
        <v>prinsip perancangan, pembuatan dan penyajian produk kerajinan kerang, kaca, keramik dan botol plastik yang kreatif dan inovatif</v>
      </c>
      <c r="NU24" s="134" t="str">
        <f t="shared" si="283"/>
        <v/>
      </c>
      <c r="NV24" s="134" t="str">
        <f t="shared" si="284"/>
        <v/>
      </c>
      <c r="NW24" s="134" t="str">
        <f t="shared" si="285"/>
        <v/>
      </c>
      <c r="NX24" s="134" t="str">
        <f t="shared" si="286"/>
        <v/>
      </c>
      <c r="NY24" s="134" t="str">
        <f t="shared" si="287"/>
        <v/>
      </c>
      <c r="NZ24" s="134" t="str">
        <f t="shared" si="288"/>
        <v/>
      </c>
      <c r="OA24" s="134" t="str">
        <f t="shared" si="289"/>
        <v/>
      </c>
      <c r="OB24" s="134" t="str">
        <f t="shared" si="290"/>
        <v/>
      </c>
      <c r="OC24" s="134" t="str">
        <f t="shared" si="291"/>
        <v/>
      </c>
      <c r="OD24" s="134" t="str">
        <f t="shared" si="292"/>
        <v/>
      </c>
      <c r="OE24" s="134" t="str">
        <f t="shared" si="293"/>
        <v/>
      </c>
      <c r="OF24" s="134" t="str">
        <f t="shared" si="294"/>
        <v/>
      </c>
      <c r="OG24" s="134" t="str">
        <f t="shared" si="295"/>
        <v/>
      </c>
      <c r="OH24" s="134" t="str">
        <f t="shared" si="296"/>
        <v/>
      </c>
      <c r="OI24" s="134" t="str">
        <f t="shared" si="297"/>
        <v/>
      </c>
      <c r="OJ24" s="134" t="str">
        <f t="shared" si="298"/>
        <v/>
      </c>
      <c r="OK24" s="134" t="str">
        <f t="shared" si="299"/>
        <v/>
      </c>
      <c r="OL24" s="134" t="str">
        <f t="shared" si="300"/>
        <v/>
      </c>
      <c r="OM24" s="134" t="str">
        <f t="shared" si="301"/>
        <v>Baik dalam prinsip perancangan, pembuatan dan penyajian produk kerajinan kerang, kaca, keramik dan botol plastik yang kreatif dan inovatif</v>
      </c>
      <c r="ON24" s="134" t="str">
        <f t="shared" si="302"/>
        <v>Baik dalam prinsip perancangan, pembuatan dan penyajian produk kerajinan kerang, kaca, keramik dan botol plastik yang kreatif dan inovati.  </v>
      </c>
      <c r="OO24" s="236">
        <f t="shared" si="169"/>
        <v>1</v>
      </c>
      <c r="OP24" s="235" t="str">
        <f t="shared" si="303"/>
        <v>OK</v>
      </c>
      <c r="OQ24" s="235" t="str">
        <f t="shared" si="304"/>
        <v>NO</v>
      </c>
      <c r="OR24" s="235" t="str">
        <f t="shared" si="305"/>
        <v/>
      </c>
      <c r="OS24" s="235" t="str">
        <f t="shared" si="306"/>
        <v/>
      </c>
      <c r="OT24" s="235" t="str">
        <f t="shared" si="307"/>
        <v/>
      </c>
      <c r="OU24" s="235" t="str">
        <f t="shared" si="308"/>
        <v/>
      </c>
      <c r="OV24" s="235" t="str">
        <f t="shared" si="309"/>
        <v/>
      </c>
      <c r="OW24" s="235" t="str">
        <f t="shared" si="310"/>
        <v/>
      </c>
      <c r="OX24" s="235" t="str">
        <f t="shared" si="311"/>
        <v/>
      </c>
      <c r="OY24" s="235" t="str">
        <f t="shared" si="312"/>
        <v/>
      </c>
      <c r="OZ24" s="235" t="str">
        <f t="shared" si="313"/>
        <v/>
      </c>
      <c r="PA24" s="235" t="str">
        <f t="shared" si="314"/>
        <v/>
      </c>
      <c r="PB24" s="235" t="str">
        <f t="shared" si="315"/>
        <v/>
      </c>
      <c r="PC24" s="235" t="str">
        <f t="shared" si="316"/>
        <v/>
      </c>
      <c r="PD24" s="235" t="str">
        <f t="shared" si="317"/>
        <v/>
      </c>
      <c r="PE24" s="235" t="str">
        <f t="shared" si="318"/>
        <v/>
      </c>
      <c r="PF24" s="235" t="str">
        <f t="shared" si="319"/>
        <v/>
      </c>
      <c r="PG24" s="235" t="str">
        <f t="shared" si="320"/>
        <v/>
      </c>
      <c r="PH24" s="235" t="str">
        <f t="shared" si="321"/>
        <v/>
      </c>
      <c r="PI24" s="235" t="str">
        <f t="shared" si="322"/>
        <v/>
      </c>
      <c r="PJ24" s="134" t="str">
        <f t="shared" si="323"/>
        <v>jenis, sifat, karakter dan teknik pengolahan kerang, kaca, keramik dan botol plastik</v>
      </c>
      <c r="PK24" s="134" t="str">
        <f t="shared" si="324"/>
        <v/>
      </c>
      <c r="PL24" s="134" t="str">
        <f t="shared" si="325"/>
        <v/>
      </c>
      <c r="PM24" s="134" t="str">
        <f t="shared" si="326"/>
        <v/>
      </c>
      <c r="PN24" s="134" t="str">
        <f t="shared" si="327"/>
        <v/>
      </c>
      <c r="PO24" s="134" t="str">
        <f t="shared" si="328"/>
        <v/>
      </c>
      <c r="PP24" s="134" t="str">
        <f t="shared" si="329"/>
        <v/>
      </c>
      <c r="PQ24" s="134" t="str">
        <f t="shared" si="330"/>
        <v/>
      </c>
      <c r="PR24" s="134" t="str">
        <f t="shared" si="331"/>
        <v/>
      </c>
      <c r="PS24" s="134" t="str">
        <f t="shared" si="332"/>
        <v/>
      </c>
      <c r="PT24" s="134" t="str">
        <f t="shared" si="333"/>
        <v/>
      </c>
      <c r="PU24" s="134" t="str">
        <f t="shared" si="334"/>
        <v/>
      </c>
      <c r="PV24" s="134" t="str">
        <f t="shared" si="335"/>
        <v/>
      </c>
      <c r="PW24" s="134" t="str">
        <f t="shared" si="336"/>
        <v/>
      </c>
      <c r="PX24" s="134" t="str">
        <f t="shared" si="337"/>
        <v/>
      </c>
      <c r="PY24" s="134" t="str">
        <f t="shared" si="338"/>
        <v/>
      </c>
      <c r="PZ24" s="134" t="str">
        <f t="shared" si="339"/>
        <v/>
      </c>
      <c r="QA24" s="134" t="str">
        <f t="shared" si="340"/>
        <v/>
      </c>
      <c r="QB24" s="134" t="str">
        <f t="shared" si="341"/>
        <v/>
      </c>
      <c r="QC24" s="134" t="str">
        <f t="shared" si="342"/>
        <v/>
      </c>
      <c r="QD24" s="134" t="str">
        <f>IF(MT24=MW24,"",IF(MV24="","",IF(MV24&gt;=KONVERSI!$A$7,'KI3'!MW24&amp;" dalam"&amp;PJ24&amp;PK24&amp;PL24&amp;PM24&amp;PN24&amp;PO24&amp;PP24&amp;PQ24&amp;PR24&amp;PS24&amp;PT24&amp;PU24&amp;PV24&amp;PW24&amp;PX24&amp;PY24&amp;PZ24&amp;QA24&amp;QB24&amp;QC24,KONVERSI!$C$18&amp;" dalam"&amp;PJ24&amp;PK24&amp;PL24&amp;PM24&amp;PN24&amp;PO24&amp;PP24&amp;PQ24&amp;PR24&amp;PS24&amp;PT24&amp;PU24&amp;PV24&amp;PW24&amp;PX24&amp;PY24&amp;PZ24&amp;QA24&amp;QB24&amp;QC24)))</f>
        <v/>
      </c>
      <c r="QE24" s="134" t="str">
        <f t="shared" si="343"/>
        <v/>
      </c>
      <c r="QF24" s="236">
        <f t="shared" si="172"/>
        <v>1</v>
      </c>
      <c r="QG24" s="134" t="str">
        <f t="shared" si="173"/>
        <v>Baik dalam prinsip perancangan, pembuatan dan penyajian produk kerajinan kerang, kaca, keramik dan botol plastik yang kreatif dan inovati.  </v>
      </c>
    </row>
    <row r="25" ht="27.6" customHeight="1" spans="1:449">
      <c r="A25" s="179"/>
      <c r="B25" s="177">
        <v>17</v>
      </c>
      <c r="C25" s="178" t="str">
        <f>siswa!C21</f>
        <v>MUHAMMAD JUNAIDI SAPUTRA</v>
      </c>
      <c r="D25" s="174">
        <f>siswa!D21</f>
        <v>2804</v>
      </c>
      <c r="E25" s="175">
        <v>88</v>
      </c>
      <c r="F25" s="175">
        <v>88</v>
      </c>
      <c r="G25" s="248"/>
      <c r="H25" s="176"/>
      <c r="I25" s="176"/>
      <c r="J25" s="175">
        <v>88</v>
      </c>
      <c r="K25" s="176"/>
      <c r="L25" s="223">
        <f t="shared" si="174"/>
        <v>88</v>
      </c>
      <c r="M25" s="250">
        <v>88</v>
      </c>
      <c r="N25" s="250">
        <v>88</v>
      </c>
      <c r="O25" s="248"/>
      <c r="P25" s="176"/>
      <c r="Q25" s="176"/>
      <c r="R25" s="250">
        <v>86</v>
      </c>
      <c r="S25" s="176"/>
      <c r="T25" s="223">
        <f t="shared" si="175"/>
        <v>87.2</v>
      </c>
      <c r="U25" s="248"/>
      <c r="V25" s="248"/>
      <c r="W25" s="248"/>
      <c r="X25" s="176"/>
      <c r="Y25" s="176"/>
      <c r="Z25" s="250"/>
      <c r="AA25" s="176"/>
      <c r="AB25" s="223">
        <f t="shared" si="176"/>
        <v>0</v>
      </c>
      <c r="AC25" s="248"/>
      <c r="AD25" s="248"/>
      <c r="AE25" s="248"/>
      <c r="AF25" s="248"/>
      <c r="AG25" s="176"/>
      <c r="AH25" s="250"/>
      <c r="AI25" s="176"/>
      <c r="AJ25" s="223">
        <f t="shared" si="177"/>
        <v>0</v>
      </c>
      <c r="AK25" s="181"/>
      <c r="AL25" s="176"/>
      <c r="AM25" s="176"/>
      <c r="AN25" s="176"/>
      <c r="AO25" s="176"/>
      <c r="AP25" s="176"/>
      <c r="AQ25" s="176"/>
      <c r="AR25" s="223">
        <f t="shared" si="178"/>
        <v>0</v>
      </c>
      <c r="AS25" s="181"/>
      <c r="AT25" s="176"/>
      <c r="AU25" s="176"/>
      <c r="AV25" s="176"/>
      <c r="AW25" s="176"/>
      <c r="AX25" s="176"/>
      <c r="AY25" s="176"/>
      <c r="AZ25" s="223">
        <f t="shared" si="179"/>
        <v>0</v>
      </c>
      <c r="BA25" s="181"/>
      <c r="BB25" s="176"/>
      <c r="BC25" s="176"/>
      <c r="BD25" s="176"/>
      <c r="BE25" s="176"/>
      <c r="BF25" s="176"/>
      <c r="BG25" s="176"/>
      <c r="BH25" s="223">
        <f t="shared" si="180"/>
        <v>0</v>
      </c>
      <c r="BI25" s="181"/>
      <c r="BJ25" s="176"/>
      <c r="BK25" s="176"/>
      <c r="BL25" s="176"/>
      <c r="BM25" s="176"/>
      <c r="BN25" s="176"/>
      <c r="BO25" s="176"/>
      <c r="BP25" s="223">
        <f t="shared" si="181"/>
        <v>0</v>
      </c>
      <c r="BQ25" s="181"/>
      <c r="BR25" s="176"/>
      <c r="BS25" s="176"/>
      <c r="BT25" s="176"/>
      <c r="BU25" s="176"/>
      <c r="BV25" s="176"/>
      <c r="BW25" s="176"/>
      <c r="BX25" s="223">
        <f t="shared" si="182"/>
        <v>0</v>
      </c>
      <c r="BY25" s="181"/>
      <c r="BZ25" s="176"/>
      <c r="CA25" s="176"/>
      <c r="CB25" s="176"/>
      <c r="CC25" s="176"/>
      <c r="CD25" s="176"/>
      <c r="CE25" s="176"/>
      <c r="CF25" s="223">
        <f t="shared" si="183"/>
        <v>0</v>
      </c>
      <c r="CG25" s="181"/>
      <c r="CH25" s="176"/>
      <c r="CI25" s="176"/>
      <c r="CJ25" s="176"/>
      <c r="CK25" s="176"/>
      <c r="CL25" s="176"/>
      <c r="CM25" s="176"/>
      <c r="CN25" s="223">
        <f t="shared" si="184"/>
        <v>0</v>
      </c>
      <c r="CO25" s="181"/>
      <c r="CP25" s="176"/>
      <c r="CQ25" s="176"/>
      <c r="CR25" s="176"/>
      <c r="CS25" s="176"/>
      <c r="CT25" s="176"/>
      <c r="CU25" s="176"/>
      <c r="CV25" s="223">
        <f t="shared" si="185"/>
        <v>0</v>
      </c>
      <c r="CW25" s="181"/>
      <c r="CX25" s="176"/>
      <c r="CY25" s="176"/>
      <c r="CZ25" s="176"/>
      <c r="DA25" s="176"/>
      <c r="DB25" s="176"/>
      <c r="DC25" s="176"/>
      <c r="DD25" s="223">
        <f t="shared" si="186"/>
        <v>0</v>
      </c>
      <c r="DE25" s="181"/>
      <c r="DF25" s="176"/>
      <c r="DG25" s="176"/>
      <c r="DH25" s="176"/>
      <c r="DI25" s="176"/>
      <c r="DJ25" s="176"/>
      <c r="DK25" s="176"/>
      <c r="DL25" s="223">
        <f t="shared" si="187"/>
        <v>0</v>
      </c>
      <c r="DM25" s="181"/>
      <c r="DN25" s="176"/>
      <c r="DO25" s="176"/>
      <c r="DP25" s="176"/>
      <c r="DQ25" s="176"/>
      <c r="DR25" s="176"/>
      <c r="DS25" s="176"/>
      <c r="DT25" s="223">
        <f t="shared" si="188"/>
        <v>0</v>
      </c>
      <c r="DU25" s="181"/>
      <c r="DV25" s="176"/>
      <c r="DW25" s="176"/>
      <c r="DX25" s="176"/>
      <c r="DY25" s="176"/>
      <c r="DZ25" s="176"/>
      <c r="EA25" s="176"/>
      <c r="EB25" s="223">
        <f t="shared" si="189"/>
        <v>0</v>
      </c>
      <c r="EC25" s="181"/>
      <c r="ED25" s="176"/>
      <c r="EE25" s="176"/>
      <c r="EF25" s="176"/>
      <c r="EG25" s="176"/>
      <c r="EH25" s="176"/>
      <c r="EI25" s="176"/>
      <c r="EJ25" s="223">
        <f t="shared" si="190"/>
        <v>0</v>
      </c>
      <c r="EK25" s="181"/>
      <c r="EL25" s="176"/>
      <c r="EM25" s="176"/>
      <c r="EN25" s="176"/>
      <c r="EO25" s="176"/>
      <c r="EP25" s="176"/>
      <c r="EQ25" s="176"/>
      <c r="ER25" s="223">
        <f t="shared" si="191"/>
        <v>0</v>
      </c>
      <c r="ES25" s="181"/>
      <c r="ET25" s="176"/>
      <c r="EU25" s="176"/>
      <c r="EV25" s="176"/>
      <c r="EW25" s="176"/>
      <c r="EX25" s="176"/>
      <c r="EY25" s="176"/>
      <c r="EZ25" s="223">
        <f t="shared" si="192"/>
        <v>0</v>
      </c>
      <c r="FA25" s="181"/>
      <c r="FB25" s="176"/>
      <c r="FC25" s="176"/>
      <c r="FD25" s="176"/>
      <c r="FE25" s="176"/>
      <c r="FF25" s="176"/>
      <c r="FG25" s="176"/>
      <c r="FH25" s="223">
        <f t="shared" si="193"/>
        <v>0</v>
      </c>
      <c r="FI25" s="291">
        <f t="shared" si="194"/>
        <v>88</v>
      </c>
      <c r="FJ25" s="250">
        <v>88</v>
      </c>
      <c r="FK25" s="250"/>
      <c r="FL25" s="291">
        <f t="shared" si="195"/>
        <v>88</v>
      </c>
      <c r="FM25" s="312" t="str">
        <f>IFERROR(IF(FL25="","",IF(FL25&gt;=KONVERSI!$A$5,KONVERSI!$D$5,IF(FL25&gt;=KONVERSI!$A$6,KONVERSI!$D$6,IF(FL25&gt;=KONVERSI!$A$7,KONVERSI!$D$7,KONVERSI!$D$8)))),"")</f>
        <v>B</v>
      </c>
      <c r="FN25" s="232" t="str">
        <f t="shared" si="196"/>
        <v>Tuntas</v>
      </c>
      <c r="FO25" s="313"/>
      <c r="FP25" s="314">
        <f t="shared" si="197"/>
        <v>88</v>
      </c>
      <c r="FQ25" s="194">
        <f t="shared" si="33"/>
        <v>88</v>
      </c>
      <c r="FR25" s="194">
        <f t="shared" si="34"/>
        <v>88</v>
      </c>
      <c r="FS25" s="194" t="str">
        <f t="shared" si="35"/>
        <v/>
      </c>
      <c r="FT25" s="194" t="str">
        <f t="shared" si="36"/>
        <v/>
      </c>
      <c r="FU25" s="194" t="str">
        <f t="shared" si="37"/>
        <v/>
      </c>
      <c r="FV25" s="194">
        <f t="shared" si="38"/>
        <v>88</v>
      </c>
      <c r="FW25" s="194">
        <f t="shared" si="39"/>
        <v>88</v>
      </c>
      <c r="FX25" s="194">
        <f t="shared" si="344"/>
        <v>88</v>
      </c>
      <c r="FY25" s="194" t="str">
        <f t="shared" si="40"/>
        <v/>
      </c>
      <c r="FZ25" s="194" t="str">
        <f t="shared" si="41"/>
        <v/>
      </c>
      <c r="GA25" s="194" t="str">
        <f t="shared" si="42"/>
        <v/>
      </c>
      <c r="GB25" s="194">
        <f t="shared" si="43"/>
        <v>87.2</v>
      </c>
      <c r="GC25" s="194" t="str">
        <f t="shared" si="44"/>
        <v/>
      </c>
      <c r="GD25" s="194" t="str">
        <f t="shared" si="45"/>
        <v/>
      </c>
      <c r="GE25" s="194" t="str">
        <f t="shared" si="46"/>
        <v/>
      </c>
      <c r="GF25" s="194" t="str">
        <f t="shared" si="47"/>
        <v/>
      </c>
      <c r="GG25" s="194" t="str">
        <f t="shared" si="48"/>
        <v/>
      </c>
      <c r="GH25" s="194" t="str">
        <f t="shared" si="49"/>
        <v/>
      </c>
      <c r="GI25" s="194" t="str">
        <f t="shared" si="50"/>
        <v/>
      </c>
      <c r="GJ25" s="194" t="str">
        <f t="shared" si="51"/>
        <v/>
      </c>
      <c r="GK25" s="194" t="str">
        <f t="shared" si="52"/>
        <v/>
      </c>
      <c r="GL25" s="194" t="str">
        <f t="shared" si="53"/>
        <v/>
      </c>
      <c r="GM25" s="194" t="str">
        <f t="shared" si="54"/>
        <v/>
      </c>
      <c r="GN25" s="194" t="str">
        <f t="shared" si="55"/>
        <v/>
      </c>
      <c r="GO25" s="194" t="str">
        <f t="shared" si="56"/>
        <v/>
      </c>
      <c r="GP25" s="194" t="str">
        <f t="shared" si="57"/>
        <v/>
      </c>
      <c r="GQ25" s="194" t="str">
        <f t="shared" si="58"/>
        <v/>
      </c>
      <c r="GR25" s="194" t="str">
        <f t="shared" si="59"/>
        <v/>
      </c>
      <c r="GS25" s="194" t="str">
        <f t="shared" si="60"/>
        <v/>
      </c>
      <c r="GT25" s="194" t="str">
        <f t="shared" si="61"/>
        <v/>
      </c>
      <c r="GU25" s="194" t="str">
        <f t="shared" si="62"/>
        <v/>
      </c>
      <c r="GV25" s="194" t="str">
        <f t="shared" si="63"/>
        <v/>
      </c>
      <c r="GW25" s="194" t="str">
        <f t="shared" si="64"/>
        <v/>
      </c>
      <c r="GX25" s="194" t="str">
        <f t="shared" si="65"/>
        <v/>
      </c>
      <c r="GY25" s="194" t="str">
        <f t="shared" si="66"/>
        <v/>
      </c>
      <c r="GZ25" s="194" t="str">
        <f t="shared" si="67"/>
        <v/>
      </c>
      <c r="HA25" s="194" t="str">
        <f t="shared" si="68"/>
        <v/>
      </c>
      <c r="HB25" s="194" t="str">
        <f t="shared" si="69"/>
        <v/>
      </c>
      <c r="HC25" s="194" t="str">
        <f t="shared" si="70"/>
        <v/>
      </c>
      <c r="HD25" s="194" t="str">
        <f t="shared" si="71"/>
        <v/>
      </c>
      <c r="HE25" s="194" t="str">
        <f t="shared" si="72"/>
        <v/>
      </c>
      <c r="HF25" s="194" t="str">
        <f t="shared" si="73"/>
        <v/>
      </c>
      <c r="HG25" s="194" t="str">
        <f t="shared" si="74"/>
        <v/>
      </c>
      <c r="HH25" s="194" t="str">
        <f t="shared" si="75"/>
        <v/>
      </c>
      <c r="HI25" s="194" t="str">
        <f t="shared" si="76"/>
        <v/>
      </c>
      <c r="HJ25" s="194" t="str">
        <f t="shared" si="77"/>
        <v/>
      </c>
      <c r="HK25" s="194" t="str">
        <f t="shared" si="78"/>
        <v/>
      </c>
      <c r="HL25" s="194" t="str">
        <f t="shared" si="79"/>
        <v/>
      </c>
      <c r="HM25" s="194" t="str">
        <f t="shared" si="80"/>
        <v/>
      </c>
      <c r="HN25" s="194" t="str">
        <f t="shared" si="81"/>
        <v/>
      </c>
      <c r="HO25" s="194" t="str">
        <f t="shared" si="82"/>
        <v/>
      </c>
      <c r="HP25" s="194" t="str">
        <f t="shared" si="83"/>
        <v/>
      </c>
      <c r="HQ25" s="194" t="str">
        <f t="shared" si="84"/>
        <v/>
      </c>
      <c r="HR25" s="194" t="str">
        <f t="shared" si="85"/>
        <v/>
      </c>
      <c r="HS25" s="194" t="str">
        <f t="shared" si="86"/>
        <v/>
      </c>
      <c r="HT25" s="194" t="str">
        <f t="shared" si="87"/>
        <v/>
      </c>
      <c r="HU25" s="194" t="str">
        <f t="shared" si="88"/>
        <v/>
      </c>
      <c r="HV25" s="194" t="str">
        <f t="shared" si="89"/>
        <v/>
      </c>
      <c r="HW25" s="194" t="str">
        <f t="shared" si="90"/>
        <v/>
      </c>
      <c r="HX25" s="194" t="str">
        <f t="shared" si="91"/>
        <v/>
      </c>
      <c r="HY25" s="194" t="str">
        <f t="shared" si="92"/>
        <v/>
      </c>
      <c r="HZ25" s="194" t="str">
        <f t="shared" si="93"/>
        <v/>
      </c>
      <c r="IA25" s="194" t="str">
        <f t="shared" si="94"/>
        <v/>
      </c>
      <c r="IB25" s="194" t="str">
        <f t="shared" si="95"/>
        <v/>
      </c>
      <c r="IC25" s="194" t="str">
        <f t="shared" si="96"/>
        <v/>
      </c>
      <c r="ID25" s="194" t="str">
        <f t="shared" si="97"/>
        <v/>
      </c>
      <c r="IE25" s="194" t="str">
        <f t="shared" si="98"/>
        <v/>
      </c>
      <c r="IF25" s="194" t="str">
        <f t="shared" si="99"/>
        <v/>
      </c>
      <c r="IG25" s="194" t="str">
        <f t="shared" si="100"/>
        <v/>
      </c>
      <c r="IH25" s="194" t="str">
        <f t="shared" si="101"/>
        <v/>
      </c>
      <c r="II25" s="194" t="str">
        <f t="shared" si="102"/>
        <v/>
      </c>
      <c r="IJ25" s="194" t="str">
        <f t="shared" si="103"/>
        <v/>
      </c>
      <c r="IK25" s="194" t="str">
        <f t="shared" si="104"/>
        <v/>
      </c>
      <c r="IL25" s="194" t="str">
        <f t="shared" si="105"/>
        <v/>
      </c>
      <c r="IM25" s="194" t="str">
        <f t="shared" si="106"/>
        <v/>
      </c>
      <c r="IN25" s="194" t="str">
        <f t="shared" si="107"/>
        <v/>
      </c>
      <c r="IO25" s="194" t="str">
        <f t="shared" si="108"/>
        <v/>
      </c>
      <c r="IP25" s="194" t="str">
        <f t="shared" si="109"/>
        <v/>
      </c>
      <c r="IQ25" s="194" t="str">
        <f t="shared" si="110"/>
        <v/>
      </c>
      <c r="IR25" s="194" t="str">
        <f t="shared" si="111"/>
        <v/>
      </c>
      <c r="IS25" s="194" t="str">
        <f t="shared" si="112"/>
        <v/>
      </c>
      <c r="IT25" s="194" t="str">
        <f t="shared" si="113"/>
        <v/>
      </c>
      <c r="IU25" s="194" t="str">
        <f t="shared" si="114"/>
        <v/>
      </c>
      <c r="IV25" s="194" t="str">
        <f t="shared" si="115"/>
        <v/>
      </c>
      <c r="IW25" s="194" t="str">
        <f t="shared" si="116"/>
        <v/>
      </c>
      <c r="IX25" s="194" t="str">
        <f t="shared" si="117"/>
        <v/>
      </c>
      <c r="IY25" s="194" t="str">
        <f t="shared" si="118"/>
        <v/>
      </c>
      <c r="IZ25" s="194" t="str">
        <f t="shared" si="119"/>
        <v/>
      </c>
      <c r="JA25" s="194" t="str">
        <f t="shared" si="120"/>
        <v/>
      </c>
      <c r="JB25" s="194" t="str">
        <f t="shared" si="121"/>
        <v/>
      </c>
      <c r="JC25" s="194" t="str">
        <f t="shared" si="122"/>
        <v/>
      </c>
      <c r="JD25" s="194" t="str">
        <f t="shared" si="123"/>
        <v/>
      </c>
      <c r="JE25" s="194" t="str">
        <f t="shared" si="124"/>
        <v/>
      </c>
      <c r="JF25" s="194" t="str">
        <f t="shared" si="125"/>
        <v/>
      </c>
      <c r="JG25" s="194" t="str">
        <f t="shared" si="126"/>
        <v/>
      </c>
      <c r="JH25" s="194" t="str">
        <f t="shared" si="127"/>
        <v/>
      </c>
      <c r="JI25" s="194" t="str">
        <f t="shared" si="128"/>
        <v/>
      </c>
      <c r="JJ25" s="194" t="str">
        <f t="shared" si="129"/>
        <v/>
      </c>
      <c r="JK25" s="194" t="str">
        <f t="shared" si="130"/>
        <v/>
      </c>
      <c r="JL25" s="194" t="str">
        <f t="shared" si="131"/>
        <v/>
      </c>
      <c r="JM25" s="194" t="str">
        <f t="shared" si="132"/>
        <v/>
      </c>
      <c r="JN25" s="194" t="str">
        <f t="shared" si="133"/>
        <v/>
      </c>
      <c r="JO25" s="194" t="str">
        <f t="shared" si="134"/>
        <v/>
      </c>
      <c r="JP25" s="194" t="str">
        <f t="shared" si="135"/>
        <v/>
      </c>
      <c r="JQ25" s="194" t="str">
        <f t="shared" si="136"/>
        <v/>
      </c>
      <c r="JR25" s="194" t="str">
        <f t="shared" si="137"/>
        <v/>
      </c>
      <c r="JS25" s="194" t="str">
        <f t="shared" si="138"/>
        <v/>
      </c>
      <c r="JT25" s="194" t="str">
        <f t="shared" si="139"/>
        <v/>
      </c>
      <c r="JU25" s="194" t="str">
        <f t="shared" si="140"/>
        <v/>
      </c>
      <c r="JV25" s="194" t="str">
        <f t="shared" si="141"/>
        <v/>
      </c>
      <c r="JW25" s="194" t="str">
        <f t="shared" si="142"/>
        <v/>
      </c>
      <c r="JX25" s="194" t="str">
        <f t="shared" si="143"/>
        <v/>
      </c>
      <c r="JY25" s="194" t="str">
        <f t="shared" si="144"/>
        <v/>
      </c>
      <c r="JZ25" s="194" t="str">
        <f t="shared" si="145"/>
        <v/>
      </c>
      <c r="KA25" s="194" t="str">
        <f t="shared" si="146"/>
        <v/>
      </c>
      <c r="KB25" s="194" t="str">
        <f t="shared" si="147"/>
        <v/>
      </c>
      <c r="KC25" s="194" t="str">
        <f t="shared" si="148"/>
        <v/>
      </c>
      <c r="KD25" s="194" t="str">
        <f t="shared" si="149"/>
        <v/>
      </c>
      <c r="KE25" s="194" t="str">
        <f t="shared" si="150"/>
        <v/>
      </c>
      <c r="KF25" s="194" t="str">
        <f t="shared" si="151"/>
        <v/>
      </c>
      <c r="KG25" s="194">
        <f>SUM(LE25:LX25)/COUNTA(RefKI3KI4!$B$5:$B$24)</f>
        <v>87.6</v>
      </c>
      <c r="KH25" s="232">
        <f t="shared" si="198"/>
        <v>0</v>
      </c>
      <c r="KI25" s="340" t="str">
        <f t="shared" si="199"/>
        <v>ok</v>
      </c>
      <c r="KJ25" s="340" t="str">
        <f t="shared" si="200"/>
        <v>ok</v>
      </c>
      <c r="KK25" s="340" t="str">
        <f t="shared" si="201"/>
        <v/>
      </c>
      <c r="KL25" s="340" t="str">
        <f t="shared" si="202"/>
        <v/>
      </c>
      <c r="KM25" s="340" t="str">
        <f t="shared" si="203"/>
        <v/>
      </c>
      <c r="KN25" s="340" t="str">
        <f t="shared" si="204"/>
        <v/>
      </c>
      <c r="KO25" s="340" t="str">
        <f t="shared" si="205"/>
        <v/>
      </c>
      <c r="KP25" s="340" t="str">
        <f t="shared" si="206"/>
        <v/>
      </c>
      <c r="KQ25" s="340" t="str">
        <f t="shared" si="207"/>
        <v/>
      </c>
      <c r="KR25" s="340" t="str">
        <f t="shared" si="208"/>
        <v/>
      </c>
      <c r="KS25" s="340" t="str">
        <f t="shared" si="209"/>
        <v/>
      </c>
      <c r="KT25" s="340" t="str">
        <f t="shared" si="210"/>
        <v/>
      </c>
      <c r="KU25" s="340" t="str">
        <f t="shared" si="211"/>
        <v/>
      </c>
      <c r="KV25" s="340" t="str">
        <f t="shared" si="212"/>
        <v/>
      </c>
      <c r="KW25" s="340" t="str">
        <f t="shared" si="213"/>
        <v/>
      </c>
      <c r="KX25" s="340" t="str">
        <f t="shared" si="214"/>
        <v/>
      </c>
      <c r="KY25" s="340" t="str">
        <f t="shared" si="215"/>
        <v/>
      </c>
      <c r="KZ25" s="340" t="str">
        <f t="shared" si="216"/>
        <v/>
      </c>
      <c r="LA25" s="340" t="str">
        <f t="shared" si="217"/>
        <v/>
      </c>
      <c r="LB25" s="340" t="str">
        <f t="shared" si="218"/>
        <v/>
      </c>
      <c r="LC25" s="340">
        <f t="shared" si="219"/>
        <v>0</v>
      </c>
      <c r="LD25" s="228">
        <v>17</v>
      </c>
      <c r="LE25" s="229">
        <f t="shared" si="220"/>
        <v>88</v>
      </c>
      <c r="LF25" s="229">
        <f t="shared" si="221"/>
        <v>87.2</v>
      </c>
      <c r="LG25" s="229" t="str">
        <f t="shared" si="222"/>
        <v/>
      </c>
      <c r="LH25" s="229" t="str">
        <f t="shared" si="223"/>
        <v/>
      </c>
      <c r="LI25" s="229" t="str">
        <f t="shared" si="224"/>
        <v/>
      </c>
      <c r="LJ25" s="229" t="str">
        <f t="shared" si="225"/>
        <v/>
      </c>
      <c r="LK25" s="229" t="str">
        <f t="shared" si="226"/>
        <v/>
      </c>
      <c r="LL25" s="229" t="str">
        <f t="shared" si="227"/>
        <v/>
      </c>
      <c r="LM25" s="229" t="str">
        <f t="shared" si="228"/>
        <v/>
      </c>
      <c r="LN25" s="229" t="str">
        <f t="shared" si="229"/>
        <v/>
      </c>
      <c r="LO25" s="229" t="str">
        <f t="shared" si="230"/>
        <v/>
      </c>
      <c r="LP25" s="229" t="str">
        <f t="shared" si="231"/>
        <v/>
      </c>
      <c r="LQ25" s="229" t="str">
        <f t="shared" si="232"/>
        <v/>
      </c>
      <c r="LR25" s="229" t="str">
        <f t="shared" si="233"/>
        <v/>
      </c>
      <c r="LS25" s="229" t="str">
        <f t="shared" si="234"/>
        <v/>
      </c>
      <c r="LT25" s="229" t="str">
        <f t="shared" si="235"/>
        <v/>
      </c>
      <c r="LU25" s="229" t="str">
        <f t="shared" si="236"/>
        <v/>
      </c>
      <c r="LV25" s="229" t="str">
        <f t="shared" si="237"/>
        <v/>
      </c>
      <c r="LW25" s="229" t="str">
        <f t="shared" si="238"/>
        <v/>
      </c>
      <c r="LX25" s="229" t="str">
        <f t="shared" si="239"/>
        <v/>
      </c>
      <c r="LY25" s="231">
        <f t="shared" si="240"/>
        <v>88</v>
      </c>
      <c r="LZ25" s="231">
        <f t="shared" si="241"/>
        <v>87.2</v>
      </c>
      <c r="MA25" s="231" t="str">
        <f t="shared" si="242"/>
        <v/>
      </c>
      <c r="MB25" s="231" t="str">
        <f t="shared" si="243"/>
        <v/>
      </c>
      <c r="MC25" s="231" t="str">
        <f t="shared" si="244"/>
        <v/>
      </c>
      <c r="MD25" s="231" t="str">
        <f t="shared" si="245"/>
        <v/>
      </c>
      <c r="ME25" s="231" t="str">
        <f t="shared" si="246"/>
        <v/>
      </c>
      <c r="MF25" s="231" t="str">
        <f t="shared" si="247"/>
        <v/>
      </c>
      <c r="MG25" s="231" t="str">
        <f t="shared" si="248"/>
        <v/>
      </c>
      <c r="MH25" s="231" t="str">
        <f t="shared" si="249"/>
        <v/>
      </c>
      <c r="MI25" s="231" t="str">
        <f t="shared" si="250"/>
        <v/>
      </c>
      <c r="MJ25" s="231" t="str">
        <f t="shared" si="251"/>
        <v/>
      </c>
      <c r="MK25" s="231" t="str">
        <f t="shared" si="252"/>
        <v/>
      </c>
      <c r="ML25" s="231" t="str">
        <f t="shared" si="253"/>
        <v/>
      </c>
      <c r="MM25" s="231" t="str">
        <f t="shared" si="254"/>
        <v/>
      </c>
      <c r="MN25" s="231" t="str">
        <f t="shared" si="255"/>
        <v/>
      </c>
      <c r="MO25" s="231" t="str">
        <f t="shared" si="256"/>
        <v/>
      </c>
      <c r="MP25" s="231" t="str">
        <f t="shared" si="257"/>
        <v/>
      </c>
      <c r="MQ25" s="231" t="str">
        <f t="shared" si="258"/>
        <v/>
      </c>
      <c r="MR25" s="231" t="str">
        <f t="shared" si="259"/>
        <v/>
      </c>
      <c r="MS25" s="231">
        <f t="shared" si="154"/>
        <v>88</v>
      </c>
      <c r="MT25" s="232" t="str">
        <f>IF(MS25="","",IF(MS25&gt;=KONVERSI!$A$5,KONVERSI!$E$5,IF(MS25&gt;=KONVERSI!$A$6,KONVERSI!$E$6,IF(MS25&gt;=KONVERSI!$A$7,KONVERSI!$E$7,KONVERSI!$E$8))))</f>
        <v>Baik</v>
      </c>
      <c r="MU25" s="233" t="str">
        <f t="shared" si="155"/>
        <v>Baik dalamjenis, sifat, karakter dan teknik pengolahan kerang, kaca, keramik dan botol plastik</v>
      </c>
      <c r="MV25" s="234">
        <f t="shared" si="260"/>
        <v>87.2</v>
      </c>
      <c r="MW25" s="232" t="str">
        <f>IF(MV25="","",IF(MV25&gt;=KONVERSI!$A$5,KONVERSI!$E$5,IF(MV25&gt;=KONVERSI!$A$6,KONVERSI!$E$6,IF(MV25&gt;=KONVERSI!$A$7,KONVERSI!$E$7,KONVERSI!$E$8))))</f>
        <v>Baik</v>
      </c>
      <c r="MX25" s="134" t="str">
        <f>IF(FI25&lt;$FN$4," "&amp;KONVERSI!$C$18&amp;INDEX($LY$8:$MR$8,MATCH(MV25,LY25:MR25,0))&amp;".",IF(KG25=0,"",IF(MV25&lt;&gt;0,MU25&amp;MW25&amp;".",MU25&amp;".")))</f>
        <v>Baik dalamjenis, sifat, karakter dan teknik pengolahan kerang, kaca, keramik dan botol plastikBaik.</v>
      </c>
      <c r="MY25" s="235" t="str">
        <f t="shared" si="261"/>
        <v>OK</v>
      </c>
      <c r="MZ25" s="235" t="str">
        <f t="shared" si="262"/>
        <v>NO</v>
      </c>
      <c r="NA25" s="235" t="str">
        <f t="shared" si="263"/>
        <v/>
      </c>
      <c r="NB25" s="235" t="str">
        <f t="shared" si="264"/>
        <v/>
      </c>
      <c r="NC25" s="235" t="str">
        <f t="shared" si="265"/>
        <v/>
      </c>
      <c r="ND25" s="235" t="str">
        <f t="shared" si="266"/>
        <v/>
      </c>
      <c r="NE25" s="235" t="str">
        <f t="shared" si="267"/>
        <v/>
      </c>
      <c r="NF25" s="235" t="str">
        <f t="shared" si="268"/>
        <v/>
      </c>
      <c r="NG25" s="235" t="str">
        <f t="shared" si="269"/>
        <v/>
      </c>
      <c r="NH25" s="235" t="str">
        <f t="shared" si="270"/>
        <v/>
      </c>
      <c r="NI25" s="235" t="str">
        <f t="shared" si="271"/>
        <v/>
      </c>
      <c r="NJ25" s="235" t="str">
        <f t="shared" si="272"/>
        <v/>
      </c>
      <c r="NK25" s="235" t="str">
        <f t="shared" si="273"/>
        <v/>
      </c>
      <c r="NL25" s="235" t="str">
        <f t="shared" si="274"/>
        <v/>
      </c>
      <c r="NM25" s="235" t="str">
        <f t="shared" si="275"/>
        <v/>
      </c>
      <c r="NN25" s="235" t="str">
        <f t="shared" si="276"/>
        <v/>
      </c>
      <c r="NO25" s="235" t="str">
        <f t="shared" si="277"/>
        <v/>
      </c>
      <c r="NP25" s="235" t="str">
        <f t="shared" si="278"/>
        <v/>
      </c>
      <c r="NQ25" s="235" t="str">
        <f t="shared" si="279"/>
        <v/>
      </c>
      <c r="NR25" s="235" t="str">
        <f t="shared" si="280"/>
        <v/>
      </c>
      <c r="NS25" s="134" t="str">
        <f t="shared" si="281"/>
        <v>jenis, sifat, karakter dan teknik pengolahan kerang, kaca, keramik dan botol plastik</v>
      </c>
      <c r="NT25" s="134" t="str">
        <f t="shared" si="282"/>
        <v/>
      </c>
      <c r="NU25" s="134" t="str">
        <f t="shared" si="283"/>
        <v/>
      </c>
      <c r="NV25" s="134" t="str">
        <f t="shared" si="284"/>
        <v/>
      </c>
      <c r="NW25" s="134" t="str">
        <f t="shared" si="285"/>
        <v/>
      </c>
      <c r="NX25" s="134" t="str">
        <f t="shared" si="286"/>
        <v/>
      </c>
      <c r="NY25" s="134" t="str">
        <f t="shared" si="287"/>
        <v/>
      </c>
      <c r="NZ25" s="134" t="str">
        <f t="shared" si="288"/>
        <v/>
      </c>
      <c r="OA25" s="134" t="str">
        <f t="shared" si="289"/>
        <v/>
      </c>
      <c r="OB25" s="134" t="str">
        <f t="shared" si="290"/>
        <v/>
      </c>
      <c r="OC25" s="134" t="str">
        <f t="shared" si="291"/>
        <v/>
      </c>
      <c r="OD25" s="134" t="str">
        <f t="shared" si="292"/>
        <v/>
      </c>
      <c r="OE25" s="134" t="str">
        <f t="shared" si="293"/>
        <v/>
      </c>
      <c r="OF25" s="134" t="str">
        <f t="shared" si="294"/>
        <v/>
      </c>
      <c r="OG25" s="134" t="str">
        <f t="shared" si="295"/>
        <v/>
      </c>
      <c r="OH25" s="134" t="str">
        <f t="shared" si="296"/>
        <v/>
      </c>
      <c r="OI25" s="134" t="str">
        <f t="shared" si="297"/>
        <v/>
      </c>
      <c r="OJ25" s="134" t="str">
        <f t="shared" si="298"/>
        <v/>
      </c>
      <c r="OK25" s="134" t="str">
        <f t="shared" si="299"/>
        <v/>
      </c>
      <c r="OL25" s="134" t="str">
        <f t="shared" si="300"/>
        <v/>
      </c>
      <c r="OM25" s="134" t="str">
        <f t="shared" si="301"/>
        <v>Baik dalam jenis, sifat, karakter dan teknik pengolahan kerang, kaca, keramik dan botol plastik</v>
      </c>
      <c r="ON25" s="134" t="str">
        <f t="shared" si="302"/>
        <v>Baik dalam jenis, sifat, karakter dan teknik pengolahan kerang, kaca, keramik dan botol plasti.  </v>
      </c>
      <c r="OO25" s="236">
        <f t="shared" si="169"/>
        <v>1</v>
      </c>
      <c r="OP25" s="235" t="str">
        <f t="shared" si="303"/>
        <v>NO</v>
      </c>
      <c r="OQ25" s="235" t="str">
        <f t="shared" si="304"/>
        <v>OK</v>
      </c>
      <c r="OR25" s="235" t="str">
        <f t="shared" si="305"/>
        <v/>
      </c>
      <c r="OS25" s="235" t="str">
        <f t="shared" si="306"/>
        <v/>
      </c>
      <c r="OT25" s="235" t="str">
        <f t="shared" si="307"/>
        <v/>
      </c>
      <c r="OU25" s="235" t="str">
        <f t="shared" si="308"/>
        <v/>
      </c>
      <c r="OV25" s="235" t="str">
        <f t="shared" si="309"/>
        <v/>
      </c>
      <c r="OW25" s="235" t="str">
        <f t="shared" si="310"/>
        <v/>
      </c>
      <c r="OX25" s="235" t="str">
        <f t="shared" si="311"/>
        <v/>
      </c>
      <c r="OY25" s="235" t="str">
        <f t="shared" si="312"/>
        <v/>
      </c>
      <c r="OZ25" s="235" t="str">
        <f t="shared" si="313"/>
        <v/>
      </c>
      <c r="PA25" s="235" t="str">
        <f t="shared" si="314"/>
        <v/>
      </c>
      <c r="PB25" s="235" t="str">
        <f t="shared" si="315"/>
        <v/>
      </c>
      <c r="PC25" s="235" t="str">
        <f t="shared" si="316"/>
        <v/>
      </c>
      <c r="PD25" s="235" t="str">
        <f t="shared" si="317"/>
        <v/>
      </c>
      <c r="PE25" s="235" t="str">
        <f t="shared" si="318"/>
        <v/>
      </c>
      <c r="PF25" s="235" t="str">
        <f t="shared" si="319"/>
        <v/>
      </c>
      <c r="PG25" s="235" t="str">
        <f t="shared" si="320"/>
        <v/>
      </c>
      <c r="PH25" s="235" t="str">
        <f t="shared" si="321"/>
        <v/>
      </c>
      <c r="PI25" s="235" t="str">
        <f t="shared" si="322"/>
        <v/>
      </c>
      <c r="PJ25" s="134" t="str">
        <f t="shared" si="323"/>
        <v/>
      </c>
      <c r="PK25" s="134" t="str">
        <f t="shared" si="324"/>
        <v>prinsip perancangan, pembuatan dan penyajian produk kerajinan kerang, kaca, keramik dan botol plastik yang kreatif dan inovatif</v>
      </c>
      <c r="PL25" s="134" t="str">
        <f t="shared" si="325"/>
        <v/>
      </c>
      <c r="PM25" s="134" t="str">
        <f t="shared" si="326"/>
        <v/>
      </c>
      <c r="PN25" s="134" t="str">
        <f t="shared" si="327"/>
        <v/>
      </c>
      <c r="PO25" s="134" t="str">
        <f t="shared" si="328"/>
        <v/>
      </c>
      <c r="PP25" s="134" t="str">
        <f t="shared" si="329"/>
        <v/>
      </c>
      <c r="PQ25" s="134" t="str">
        <f t="shared" si="330"/>
        <v/>
      </c>
      <c r="PR25" s="134" t="str">
        <f t="shared" si="331"/>
        <v/>
      </c>
      <c r="PS25" s="134" t="str">
        <f t="shared" si="332"/>
        <v/>
      </c>
      <c r="PT25" s="134" t="str">
        <f t="shared" si="333"/>
        <v/>
      </c>
      <c r="PU25" s="134" t="str">
        <f t="shared" si="334"/>
        <v/>
      </c>
      <c r="PV25" s="134" t="str">
        <f t="shared" si="335"/>
        <v/>
      </c>
      <c r="PW25" s="134" t="str">
        <f t="shared" si="336"/>
        <v/>
      </c>
      <c r="PX25" s="134" t="str">
        <f t="shared" si="337"/>
        <v/>
      </c>
      <c r="PY25" s="134" t="str">
        <f t="shared" si="338"/>
        <v/>
      </c>
      <c r="PZ25" s="134" t="str">
        <f t="shared" si="339"/>
        <v/>
      </c>
      <c r="QA25" s="134" t="str">
        <f t="shared" si="340"/>
        <v/>
      </c>
      <c r="QB25" s="134" t="str">
        <f t="shared" si="341"/>
        <v/>
      </c>
      <c r="QC25" s="134" t="str">
        <f t="shared" si="342"/>
        <v/>
      </c>
      <c r="QD25" s="134" t="str">
        <f>IF(MT25=MW25,"",IF(MV25="","",IF(MV25&gt;=KONVERSI!$A$7,'KI3'!MW25&amp;" dalam"&amp;PJ25&amp;PK25&amp;PL25&amp;PM25&amp;PN25&amp;PO25&amp;PP25&amp;PQ25&amp;PR25&amp;PS25&amp;PT25&amp;PU25&amp;PV25&amp;PW25&amp;PX25&amp;PY25&amp;PZ25&amp;QA25&amp;QB25&amp;QC25,KONVERSI!$C$18&amp;" dalam"&amp;PJ25&amp;PK25&amp;PL25&amp;PM25&amp;PN25&amp;PO25&amp;PP25&amp;PQ25&amp;PR25&amp;PS25&amp;PT25&amp;PU25&amp;PV25&amp;PW25&amp;PX25&amp;PY25&amp;PZ25&amp;QA25&amp;QB25&amp;QC25)))</f>
        <v/>
      </c>
      <c r="QE25" s="134" t="str">
        <f t="shared" si="343"/>
        <v/>
      </c>
      <c r="QF25" s="236">
        <f t="shared" si="172"/>
        <v>1</v>
      </c>
      <c r="QG25" s="134" t="str">
        <f t="shared" si="173"/>
        <v>Baik dalam jenis, sifat, karakter dan teknik pengolahan kerang, kaca, keramik dan botol plasti.  </v>
      </c>
    </row>
    <row r="26" ht="27.6" customHeight="1" spans="1:449">
      <c r="A26" s="136"/>
      <c r="B26" s="177">
        <v>18</v>
      </c>
      <c r="C26" s="178" t="str">
        <f>siswa!C22</f>
        <v>MUHAMMAD SAHIT</v>
      </c>
      <c r="D26" s="174">
        <f>siswa!D22</f>
        <v>2805</v>
      </c>
      <c r="E26" s="175">
        <v>82</v>
      </c>
      <c r="F26" s="175">
        <v>82</v>
      </c>
      <c r="G26" s="248"/>
      <c r="H26" s="176"/>
      <c r="I26" s="176"/>
      <c r="J26" s="175">
        <v>74</v>
      </c>
      <c r="K26" s="176"/>
      <c r="L26" s="223">
        <f t="shared" si="174"/>
        <v>78.8</v>
      </c>
      <c r="M26" s="250">
        <v>73</v>
      </c>
      <c r="N26" s="250">
        <v>73</v>
      </c>
      <c r="O26" s="248"/>
      <c r="P26" s="176"/>
      <c r="Q26" s="176"/>
      <c r="R26" s="250">
        <v>73</v>
      </c>
      <c r="S26" s="176"/>
      <c r="T26" s="223">
        <f t="shared" si="175"/>
        <v>73</v>
      </c>
      <c r="U26" s="248"/>
      <c r="V26" s="248"/>
      <c r="W26" s="248"/>
      <c r="X26" s="176"/>
      <c r="Y26" s="176"/>
      <c r="Z26" s="250"/>
      <c r="AA26" s="176"/>
      <c r="AB26" s="223">
        <f t="shared" si="176"/>
        <v>0</v>
      </c>
      <c r="AC26" s="248"/>
      <c r="AD26" s="248"/>
      <c r="AE26" s="248"/>
      <c r="AF26" s="248"/>
      <c r="AG26" s="176"/>
      <c r="AH26" s="250"/>
      <c r="AI26" s="176"/>
      <c r="AJ26" s="223">
        <f t="shared" si="177"/>
        <v>0</v>
      </c>
      <c r="AK26" s="181"/>
      <c r="AL26" s="176"/>
      <c r="AM26" s="176"/>
      <c r="AN26" s="176"/>
      <c r="AO26" s="176"/>
      <c r="AP26" s="176"/>
      <c r="AQ26" s="176"/>
      <c r="AR26" s="223">
        <f t="shared" si="178"/>
        <v>0</v>
      </c>
      <c r="AS26" s="181"/>
      <c r="AT26" s="176"/>
      <c r="AU26" s="176"/>
      <c r="AV26" s="176"/>
      <c r="AW26" s="176"/>
      <c r="AX26" s="176"/>
      <c r="AY26" s="176"/>
      <c r="AZ26" s="223">
        <f t="shared" si="179"/>
        <v>0</v>
      </c>
      <c r="BA26" s="181"/>
      <c r="BB26" s="176"/>
      <c r="BC26" s="176"/>
      <c r="BD26" s="176"/>
      <c r="BE26" s="176"/>
      <c r="BF26" s="176"/>
      <c r="BG26" s="176"/>
      <c r="BH26" s="223">
        <f t="shared" si="180"/>
        <v>0</v>
      </c>
      <c r="BI26" s="181"/>
      <c r="BJ26" s="176"/>
      <c r="BK26" s="176"/>
      <c r="BL26" s="176"/>
      <c r="BM26" s="176"/>
      <c r="BN26" s="176"/>
      <c r="BO26" s="176"/>
      <c r="BP26" s="223">
        <f t="shared" si="181"/>
        <v>0</v>
      </c>
      <c r="BQ26" s="181"/>
      <c r="BR26" s="176"/>
      <c r="BS26" s="176"/>
      <c r="BT26" s="176"/>
      <c r="BU26" s="176"/>
      <c r="BV26" s="176"/>
      <c r="BW26" s="176"/>
      <c r="BX26" s="223">
        <f t="shared" si="182"/>
        <v>0</v>
      </c>
      <c r="BY26" s="181"/>
      <c r="BZ26" s="176"/>
      <c r="CA26" s="176"/>
      <c r="CB26" s="176"/>
      <c r="CC26" s="176"/>
      <c r="CD26" s="176"/>
      <c r="CE26" s="176"/>
      <c r="CF26" s="223">
        <f t="shared" si="183"/>
        <v>0</v>
      </c>
      <c r="CG26" s="181"/>
      <c r="CH26" s="176"/>
      <c r="CI26" s="176"/>
      <c r="CJ26" s="176"/>
      <c r="CK26" s="176"/>
      <c r="CL26" s="176"/>
      <c r="CM26" s="176"/>
      <c r="CN26" s="223">
        <f t="shared" si="184"/>
        <v>0</v>
      </c>
      <c r="CO26" s="181"/>
      <c r="CP26" s="176"/>
      <c r="CQ26" s="176"/>
      <c r="CR26" s="176"/>
      <c r="CS26" s="176"/>
      <c r="CT26" s="176"/>
      <c r="CU26" s="176"/>
      <c r="CV26" s="223">
        <f t="shared" si="185"/>
        <v>0</v>
      </c>
      <c r="CW26" s="181"/>
      <c r="CX26" s="176"/>
      <c r="CY26" s="176"/>
      <c r="CZ26" s="176"/>
      <c r="DA26" s="176"/>
      <c r="DB26" s="176"/>
      <c r="DC26" s="176"/>
      <c r="DD26" s="223">
        <f t="shared" si="186"/>
        <v>0</v>
      </c>
      <c r="DE26" s="181"/>
      <c r="DF26" s="176"/>
      <c r="DG26" s="176"/>
      <c r="DH26" s="176"/>
      <c r="DI26" s="176"/>
      <c r="DJ26" s="176"/>
      <c r="DK26" s="176"/>
      <c r="DL26" s="223">
        <f t="shared" si="187"/>
        <v>0</v>
      </c>
      <c r="DM26" s="181"/>
      <c r="DN26" s="176"/>
      <c r="DO26" s="176"/>
      <c r="DP26" s="176"/>
      <c r="DQ26" s="176"/>
      <c r="DR26" s="176"/>
      <c r="DS26" s="176"/>
      <c r="DT26" s="223">
        <f t="shared" si="188"/>
        <v>0</v>
      </c>
      <c r="DU26" s="181"/>
      <c r="DV26" s="176"/>
      <c r="DW26" s="176"/>
      <c r="DX26" s="176"/>
      <c r="DY26" s="176"/>
      <c r="DZ26" s="176"/>
      <c r="EA26" s="176"/>
      <c r="EB26" s="223">
        <f t="shared" si="189"/>
        <v>0</v>
      </c>
      <c r="EC26" s="181"/>
      <c r="ED26" s="176"/>
      <c r="EE26" s="176"/>
      <c r="EF26" s="176"/>
      <c r="EG26" s="176"/>
      <c r="EH26" s="176"/>
      <c r="EI26" s="176"/>
      <c r="EJ26" s="223">
        <f t="shared" si="190"/>
        <v>0</v>
      </c>
      <c r="EK26" s="181"/>
      <c r="EL26" s="176"/>
      <c r="EM26" s="176"/>
      <c r="EN26" s="176"/>
      <c r="EO26" s="176"/>
      <c r="EP26" s="176"/>
      <c r="EQ26" s="176"/>
      <c r="ER26" s="223">
        <f t="shared" si="191"/>
        <v>0</v>
      </c>
      <c r="ES26" s="181"/>
      <c r="ET26" s="176"/>
      <c r="EU26" s="176"/>
      <c r="EV26" s="176"/>
      <c r="EW26" s="176"/>
      <c r="EX26" s="176"/>
      <c r="EY26" s="176"/>
      <c r="EZ26" s="223">
        <f t="shared" si="192"/>
        <v>0</v>
      </c>
      <c r="FA26" s="181"/>
      <c r="FB26" s="176"/>
      <c r="FC26" s="176"/>
      <c r="FD26" s="176"/>
      <c r="FE26" s="176"/>
      <c r="FF26" s="176"/>
      <c r="FG26" s="176"/>
      <c r="FH26" s="223">
        <f t="shared" si="193"/>
        <v>0</v>
      </c>
      <c r="FI26" s="291">
        <f t="shared" si="194"/>
        <v>76</v>
      </c>
      <c r="FJ26" s="250">
        <v>74</v>
      </c>
      <c r="FK26" s="250"/>
      <c r="FL26" s="291">
        <f t="shared" si="195"/>
        <v>75</v>
      </c>
      <c r="FM26" s="312" t="str">
        <f>IFERROR(IF(FL26="","",IF(FL26&gt;=KONVERSI!$A$5,KONVERSI!$D$5,IF(FL26&gt;=KONVERSI!$A$6,KONVERSI!$D$6,IF(FL26&gt;=KONVERSI!$A$7,KONVERSI!$D$7,KONVERSI!$D$8)))),"")</f>
        <v>C</v>
      </c>
      <c r="FN26" s="232" t="str">
        <f t="shared" si="196"/>
        <v>Tuntas</v>
      </c>
      <c r="FO26" s="313"/>
      <c r="FP26" s="314">
        <f t="shared" si="197"/>
        <v>77.5</v>
      </c>
      <c r="FQ26" s="194">
        <f t="shared" si="33"/>
        <v>82</v>
      </c>
      <c r="FR26" s="194">
        <f t="shared" si="34"/>
        <v>82</v>
      </c>
      <c r="FS26" s="194" t="str">
        <f t="shared" si="35"/>
        <v/>
      </c>
      <c r="FT26" s="194" t="str">
        <f t="shared" si="36"/>
        <v/>
      </c>
      <c r="FU26" s="194" t="str">
        <f t="shared" si="37"/>
        <v/>
      </c>
      <c r="FV26" s="194">
        <f t="shared" si="38"/>
        <v>78.8</v>
      </c>
      <c r="FW26" s="194">
        <f t="shared" si="39"/>
        <v>73</v>
      </c>
      <c r="FX26" s="194">
        <f t="shared" si="344"/>
        <v>73</v>
      </c>
      <c r="FY26" s="194" t="str">
        <f t="shared" si="40"/>
        <v/>
      </c>
      <c r="FZ26" s="194" t="str">
        <f t="shared" si="41"/>
        <v/>
      </c>
      <c r="GA26" s="194" t="str">
        <f t="shared" si="42"/>
        <v/>
      </c>
      <c r="GB26" s="194">
        <f t="shared" si="43"/>
        <v>73</v>
      </c>
      <c r="GC26" s="194" t="str">
        <f t="shared" si="44"/>
        <v/>
      </c>
      <c r="GD26" s="194" t="str">
        <f t="shared" si="45"/>
        <v/>
      </c>
      <c r="GE26" s="194" t="str">
        <f t="shared" si="46"/>
        <v/>
      </c>
      <c r="GF26" s="194" t="str">
        <f t="shared" si="47"/>
        <v/>
      </c>
      <c r="GG26" s="194" t="str">
        <f t="shared" si="48"/>
        <v/>
      </c>
      <c r="GH26" s="194" t="str">
        <f t="shared" si="49"/>
        <v/>
      </c>
      <c r="GI26" s="194" t="str">
        <f t="shared" si="50"/>
        <v/>
      </c>
      <c r="GJ26" s="194" t="str">
        <f t="shared" si="51"/>
        <v/>
      </c>
      <c r="GK26" s="194" t="str">
        <f t="shared" si="52"/>
        <v/>
      </c>
      <c r="GL26" s="194" t="str">
        <f t="shared" si="53"/>
        <v/>
      </c>
      <c r="GM26" s="194" t="str">
        <f t="shared" si="54"/>
        <v/>
      </c>
      <c r="GN26" s="194" t="str">
        <f t="shared" si="55"/>
        <v/>
      </c>
      <c r="GO26" s="194" t="str">
        <f t="shared" si="56"/>
        <v/>
      </c>
      <c r="GP26" s="194" t="str">
        <f t="shared" si="57"/>
        <v/>
      </c>
      <c r="GQ26" s="194" t="str">
        <f t="shared" si="58"/>
        <v/>
      </c>
      <c r="GR26" s="194" t="str">
        <f t="shared" si="59"/>
        <v/>
      </c>
      <c r="GS26" s="194" t="str">
        <f t="shared" si="60"/>
        <v/>
      </c>
      <c r="GT26" s="194" t="str">
        <f t="shared" si="61"/>
        <v/>
      </c>
      <c r="GU26" s="194" t="str">
        <f t="shared" si="62"/>
        <v/>
      </c>
      <c r="GV26" s="194" t="str">
        <f t="shared" si="63"/>
        <v/>
      </c>
      <c r="GW26" s="194" t="str">
        <f t="shared" si="64"/>
        <v/>
      </c>
      <c r="GX26" s="194" t="str">
        <f t="shared" si="65"/>
        <v/>
      </c>
      <c r="GY26" s="194" t="str">
        <f t="shared" si="66"/>
        <v/>
      </c>
      <c r="GZ26" s="194" t="str">
        <f t="shared" si="67"/>
        <v/>
      </c>
      <c r="HA26" s="194" t="str">
        <f t="shared" si="68"/>
        <v/>
      </c>
      <c r="HB26" s="194" t="str">
        <f t="shared" si="69"/>
        <v/>
      </c>
      <c r="HC26" s="194" t="str">
        <f t="shared" si="70"/>
        <v/>
      </c>
      <c r="HD26" s="194" t="str">
        <f t="shared" si="71"/>
        <v/>
      </c>
      <c r="HE26" s="194" t="str">
        <f t="shared" si="72"/>
        <v/>
      </c>
      <c r="HF26" s="194" t="str">
        <f t="shared" si="73"/>
        <v/>
      </c>
      <c r="HG26" s="194" t="str">
        <f t="shared" si="74"/>
        <v/>
      </c>
      <c r="HH26" s="194" t="str">
        <f t="shared" si="75"/>
        <v/>
      </c>
      <c r="HI26" s="194" t="str">
        <f t="shared" si="76"/>
        <v/>
      </c>
      <c r="HJ26" s="194" t="str">
        <f t="shared" si="77"/>
        <v/>
      </c>
      <c r="HK26" s="194" t="str">
        <f t="shared" si="78"/>
        <v/>
      </c>
      <c r="HL26" s="194" t="str">
        <f t="shared" si="79"/>
        <v/>
      </c>
      <c r="HM26" s="194" t="str">
        <f t="shared" si="80"/>
        <v/>
      </c>
      <c r="HN26" s="194" t="str">
        <f t="shared" si="81"/>
        <v/>
      </c>
      <c r="HO26" s="194" t="str">
        <f t="shared" si="82"/>
        <v/>
      </c>
      <c r="HP26" s="194" t="str">
        <f t="shared" si="83"/>
        <v/>
      </c>
      <c r="HQ26" s="194" t="str">
        <f t="shared" si="84"/>
        <v/>
      </c>
      <c r="HR26" s="194" t="str">
        <f t="shared" si="85"/>
        <v/>
      </c>
      <c r="HS26" s="194" t="str">
        <f t="shared" si="86"/>
        <v/>
      </c>
      <c r="HT26" s="194" t="str">
        <f t="shared" si="87"/>
        <v/>
      </c>
      <c r="HU26" s="194" t="str">
        <f t="shared" si="88"/>
        <v/>
      </c>
      <c r="HV26" s="194" t="str">
        <f t="shared" si="89"/>
        <v/>
      </c>
      <c r="HW26" s="194" t="str">
        <f t="shared" si="90"/>
        <v/>
      </c>
      <c r="HX26" s="194" t="str">
        <f t="shared" si="91"/>
        <v/>
      </c>
      <c r="HY26" s="194" t="str">
        <f t="shared" si="92"/>
        <v/>
      </c>
      <c r="HZ26" s="194" t="str">
        <f t="shared" si="93"/>
        <v/>
      </c>
      <c r="IA26" s="194" t="str">
        <f t="shared" si="94"/>
        <v/>
      </c>
      <c r="IB26" s="194" t="str">
        <f t="shared" si="95"/>
        <v/>
      </c>
      <c r="IC26" s="194" t="str">
        <f t="shared" si="96"/>
        <v/>
      </c>
      <c r="ID26" s="194" t="str">
        <f t="shared" si="97"/>
        <v/>
      </c>
      <c r="IE26" s="194" t="str">
        <f t="shared" si="98"/>
        <v/>
      </c>
      <c r="IF26" s="194" t="str">
        <f t="shared" si="99"/>
        <v/>
      </c>
      <c r="IG26" s="194" t="str">
        <f t="shared" si="100"/>
        <v/>
      </c>
      <c r="IH26" s="194" t="str">
        <f t="shared" si="101"/>
        <v/>
      </c>
      <c r="II26" s="194" t="str">
        <f t="shared" si="102"/>
        <v/>
      </c>
      <c r="IJ26" s="194" t="str">
        <f t="shared" si="103"/>
        <v/>
      </c>
      <c r="IK26" s="194" t="str">
        <f t="shared" si="104"/>
        <v/>
      </c>
      <c r="IL26" s="194" t="str">
        <f t="shared" si="105"/>
        <v/>
      </c>
      <c r="IM26" s="194" t="str">
        <f t="shared" si="106"/>
        <v/>
      </c>
      <c r="IN26" s="194" t="str">
        <f t="shared" si="107"/>
        <v/>
      </c>
      <c r="IO26" s="194" t="str">
        <f t="shared" si="108"/>
        <v/>
      </c>
      <c r="IP26" s="194" t="str">
        <f t="shared" si="109"/>
        <v/>
      </c>
      <c r="IQ26" s="194" t="str">
        <f t="shared" si="110"/>
        <v/>
      </c>
      <c r="IR26" s="194" t="str">
        <f t="shared" si="111"/>
        <v/>
      </c>
      <c r="IS26" s="194" t="str">
        <f t="shared" si="112"/>
        <v/>
      </c>
      <c r="IT26" s="194" t="str">
        <f t="shared" si="113"/>
        <v/>
      </c>
      <c r="IU26" s="194" t="str">
        <f t="shared" si="114"/>
        <v/>
      </c>
      <c r="IV26" s="194" t="str">
        <f t="shared" si="115"/>
        <v/>
      </c>
      <c r="IW26" s="194" t="str">
        <f t="shared" si="116"/>
        <v/>
      </c>
      <c r="IX26" s="194" t="str">
        <f t="shared" si="117"/>
        <v/>
      </c>
      <c r="IY26" s="194" t="str">
        <f t="shared" si="118"/>
        <v/>
      </c>
      <c r="IZ26" s="194" t="str">
        <f t="shared" si="119"/>
        <v/>
      </c>
      <c r="JA26" s="194" t="str">
        <f t="shared" si="120"/>
        <v/>
      </c>
      <c r="JB26" s="194" t="str">
        <f t="shared" si="121"/>
        <v/>
      </c>
      <c r="JC26" s="194" t="str">
        <f t="shared" si="122"/>
        <v/>
      </c>
      <c r="JD26" s="194" t="str">
        <f t="shared" si="123"/>
        <v/>
      </c>
      <c r="JE26" s="194" t="str">
        <f t="shared" si="124"/>
        <v/>
      </c>
      <c r="JF26" s="194" t="str">
        <f t="shared" si="125"/>
        <v/>
      </c>
      <c r="JG26" s="194" t="str">
        <f t="shared" si="126"/>
        <v/>
      </c>
      <c r="JH26" s="194" t="str">
        <f t="shared" si="127"/>
        <v/>
      </c>
      <c r="JI26" s="194" t="str">
        <f t="shared" si="128"/>
        <v/>
      </c>
      <c r="JJ26" s="194" t="str">
        <f t="shared" si="129"/>
        <v/>
      </c>
      <c r="JK26" s="194" t="str">
        <f t="shared" si="130"/>
        <v/>
      </c>
      <c r="JL26" s="194" t="str">
        <f t="shared" si="131"/>
        <v/>
      </c>
      <c r="JM26" s="194" t="str">
        <f t="shared" si="132"/>
        <v/>
      </c>
      <c r="JN26" s="194" t="str">
        <f t="shared" si="133"/>
        <v/>
      </c>
      <c r="JO26" s="194" t="str">
        <f t="shared" si="134"/>
        <v/>
      </c>
      <c r="JP26" s="194" t="str">
        <f t="shared" si="135"/>
        <v/>
      </c>
      <c r="JQ26" s="194" t="str">
        <f t="shared" si="136"/>
        <v/>
      </c>
      <c r="JR26" s="194" t="str">
        <f t="shared" si="137"/>
        <v/>
      </c>
      <c r="JS26" s="194" t="str">
        <f t="shared" si="138"/>
        <v/>
      </c>
      <c r="JT26" s="194" t="str">
        <f t="shared" si="139"/>
        <v/>
      </c>
      <c r="JU26" s="194" t="str">
        <f t="shared" si="140"/>
        <v/>
      </c>
      <c r="JV26" s="194" t="str">
        <f t="shared" si="141"/>
        <v/>
      </c>
      <c r="JW26" s="194" t="str">
        <f t="shared" si="142"/>
        <v/>
      </c>
      <c r="JX26" s="194" t="str">
        <f t="shared" si="143"/>
        <v/>
      </c>
      <c r="JY26" s="194" t="str">
        <f t="shared" si="144"/>
        <v/>
      </c>
      <c r="JZ26" s="194" t="str">
        <f t="shared" si="145"/>
        <v/>
      </c>
      <c r="KA26" s="194" t="str">
        <f t="shared" si="146"/>
        <v/>
      </c>
      <c r="KB26" s="194" t="str">
        <f t="shared" si="147"/>
        <v/>
      </c>
      <c r="KC26" s="194" t="str">
        <f t="shared" si="148"/>
        <v/>
      </c>
      <c r="KD26" s="194" t="str">
        <f t="shared" si="149"/>
        <v/>
      </c>
      <c r="KE26" s="194" t="str">
        <f t="shared" si="150"/>
        <v/>
      </c>
      <c r="KF26" s="194" t="str">
        <f t="shared" si="151"/>
        <v/>
      </c>
      <c r="KG26" s="194">
        <f>SUM(LE26:LX26)/COUNTA(RefKI3KI4!$B$5:$B$24)</f>
        <v>75.9</v>
      </c>
      <c r="KH26" s="232">
        <f t="shared" si="198"/>
        <v>0</v>
      </c>
      <c r="KI26" s="340" t="str">
        <f t="shared" si="199"/>
        <v>ok</v>
      </c>
      <c r="KJ26" s="340" t="str">
        <f t="shared" si="200"/>
        <v>ok</v>
      </c>
      <c r="KK26" s="340" t="str">
        <f t="shared" si="201"/>
        <v/>
      </c>
      <c r="KL26" s="340" t="str">
        <f t="shared" si="202"/>
        <v/>
      </c>
      <c r="KM26" s="340" t="str">
        <f t="shared" si="203"/>
        <v/>
      </c>
      <c r="KN26" s="340" t="str">
        <f t="shared" si="204"/>
        <v/>
      </c>
      <c r="KO26" s="340" t="str">
        <f t="shared" si="205"/>
        <v/>
      </c>
      <c r="KP26" s="340" t="str">
        <f t="shared" si="206"/>
        <v/>
      </c>
      <c r="KQ26" s="340" t="str">
        <f t="shared" si="207"/>
        <v/>
      </c>
      <c r="KR26" s="340" t="str">
        <f t="shared" si="208"/>
        <v/>
      </c>
      <c r="KS26" s="340" t="str">
        <f t="shared" si="209"/>
        <v/>
      </c>
      <c r="KT26" s="340" t="str">
        <f t="shared" si="210"/>
        <v/>
      </c>
      <c r="KU26" s="340" t="str">
        <f t="shared" si="211"/>
        <v/>
      </c>
      <c r="KV26" s="340" t="str">
        <f t="shared" si="212"/>
        <v/>
      </c>
      <c r="KW26" s="340" t="str">
        <f t="shared" si="213"/>
        <v/>
      </c>
      <c r="KX26" s="340" t="str">
        <f t="shared" si="214"/>
        <v/>
      </c>
      <c r="KY26" s="340" t="str">
        <f t="shared" si="215"/>
        <v/>
      </c>
      <c r="KZ26" s="340" t="str">
        <f t="shared" si="216"/>
        <v/>
      </c>
      <c r="LA26" s="340" t="str">
        <f t="shared" si="217"/>
        <v/>
      </c>
      <c r="LB26" s="340" t="str">
        <f t="shared" si="218"/>
        <v/>
      </c>
      <c r="LC26" s="340">
        <f t="shared" si="219"/>
        <v>0</v>
      </c>
      <c r="LD26" s="228">
        <v>18</v>
      </c>
      <c r="LE26" s="229">
        <f t="shared" si="220"/>
        <v>78.8</v>
      </c>
      <c r="LF26" s="229">
        <f t="shared" si="221"/>
        <v>73</v>
      </c>
      <c r="LG26" s="229" t="str">
        <f t="shared" si="222"/>
        <v/>
      </c>
      <c r="LH26" s="229" t="str">
        <f t="shared" si="223"/>
        <v/>
      </c>
      <c r="LI26" s="229" t="str">
        <f t="shared" si="224"/>
        <v/>
      </c>
      <c r="LJ26" s="229" t="str">
        <f t="shared" si="225"/>
        <v/>
      </c>
      <c r="LK26" s="229" t="str">
        <f t="shared" si="226"/>
        <v/>
      </c>
      <c r="LL26" s="229" t="str">
        <f t="shared" si="227"/>
        <v/>
      </c>
      <c r="LM26" s="229" t="str">
        <f t="shared" si="228"/>
        <v/>
      </c>
      <c r="LN26" s="229" t="str">
        <f t="shared" si="229"/>
        <v/>
      </c>
      <c r="LO26" s="229" t="str">
        <f t="shared" si="230"/>
        <v/>
      </c>
      <c r="LP26" s="229" t="str">
        <f t="shared" si="231"/>
        <v/>
      </c>
      <c r="LQ26" s="229" t="str">
        <f t="shared" si="232"/>
        <v/>
      </c>
      <c r="LR26" s="229" t="str">
        <f t="shared" si="233"/>
        <v/>
      </c>
      <c r="LS26" s="229" t="str">
        <f t="shared" si="234"/>
        <v/>
      </c>
      <c r="LT26" s="229" t="str">
        <f t="shared" si="235"/>
        <v/>
      </c>
      <c r="LU26" s="229" t="str">
        <f t="shared" si="236"/>
        <v/>
      </c>
      <c r="LV26" s="229" t="str">
        <f t="shared" si="237"/>
        <v/>
      </c>
      <c r="LW26" s="229" t="str">
        <f t="shared" si="238"/>
        <v/>
      </c>
      <c r="LX26" s="229" t="str">
        <f t="shared" si="239"/>
        <v/>
      </c>
      <c r="LY26" s="231">
        <f t="shared" si="240"/>
        <v>78.8</v>
      </c>
      <c r="LZ26" s="231">
        <f t="shared" si="241"/>
        <v>73</v>
      </c>
      <c r="MA26" s="231" t="str">
        <f t="shared" si="242"/>
        <v/>
      </c>
      <c r="MB26" s="231" t="str">
        <f t="shared" si="243"/>
        <v/>
      </c>
      <c r="MC26" s="231" t="str">
        <f t="shared" si="244"/>
        <v/>
      </c>
      <c r="MD26" s="231" t="str">
        <f t="shared" si="245"/>
        <v/>
      </c>
      <c r="ME26" s="231" t="str">
        <f t="shared" si="246"/>
        <v/>
      </c>
      <c r="MF26" s="231" t="str">
        <f t="shared" si="247"/>
        <v/>
      </c>
      <c r="MG26" s="231" t="str">
        <f t="shared" si="248"/>
        <v/>
      </c>
      <c r="MH26" s="231" t="str">
        <f t="shared" si="249"/>
        <v/>
      </c>
      <c r="MI26" s="231" t="str">
        <f t="shared" si="250"/>
        <v/>
      </c>
      <c r="MJ26" s="231" t="str">
        <f t="shared" si="251"/>
        <v/>
      </c>
      <c r="MK26" s="231" t="str">
        <f t="shared" si="252"/>
        <v/>
      </c>
      <c r="ML26" s="231" t="str">
        <f t="shared" si="253"/>
        <v/>
      </c>
      <c r="MM26" s="231" t="str">
        <f t="shared" si="254"/>
        <v/>
      </c>
      <c r="MN26" s="231" t="str">
        <f t="shared" si="255"/>
        <v/>
      </c>
      <c r="MO26" s="231" t="str">
        <f t="shared" si="256"/>
        <v/>
      </c>
      <c r="MP26" s="231" t="str">
        <f t="shared" si="257"/>
        <v/>
      </c>
      <c r="MQ26" s="231" t="str">
        <f t="shared" si="258"/>
        <v/>
      </c>
      <c r="MR26" s="231" t="str">
        <f t="shared" si="259"/>
        <v/>
      </c>
      <c r="MS26" s="231">
        <f t="shared" si="154"/>
        <v>78.8</v>
      </c>
      <c r="MT26" s="232" t="str">
        <f>IF(MS26="","",IF(MS26&gt;=KONVERSI!$A$5,KONVERSI!$E$5,IF(MS26&gt;=KONVERSI!$A$6,KONVERSI!$E$6,IF(MS26&gt;=KONVERSI!$A$7,KONVERSI!$E$7,KONVERSI!$E$8))))</f>
        <v>Cukup Baik</v>
      </c>
      <c r="MU26" s="233" t="str">
        <f t="shared" si="155"/>
        <v>Cukup Baik dalamjenis, sifat, karakter dan teknik pengolahan kerang, kaca, keramik dan botol plastik</v>
      </c>
      <c r="MV26" s="234">
        <f t="shared" si="260"/>
        <v>73</v>
      </c>
      <c r="MW26" s="232" t="str">
        <f>IF(MV26="","",IF(MV26&gt;=KONVERSI!$A$5,KONVERSI!$E$5,IF(MV26&gt;=KONVERSI!$A$6,KONVERSI!$E$6,IF(MV26&gt;=KONVERSI!$A$7,KONVERSI!$E$7,KONVERSI!$E$8))))</f>
        <v>Cukup Baik</v>
      </c>
      <c r="MX26" s="134" t="str">
        <f>IF(FI26&lt;$FN$4," "&amp;KONVERSI!$C$18&amp;INDEX($LY$8:$MR$8,MATCH(MV26,LY26:MR26,0))&amp;".",IF(KG26=0,"",IF(MV26&lt;&gt;0,MU26&amp;MW26&amp;".",MU26&amp;".")))</f>
        <v>Cukup Baik dalamjenis, sifat, karakter dan teknik pengolahan kerang, kaca, keramik dan botol plastikCukup Baik.</v>
      </c>
      <c r="MY26" s="235" t="str">
        <f t="shared" si="261"/>
        <v>OK</v>
      </c>
      <c r="MZ26" s="235" t="str">
        <f t="shared" si="262"/>
        <v>NO</v>
      </c>
      <c r="NA26" s="235" t="str">
        <f t="shared" si="263"/>
        <v/>
      </c>
      <c r="NB26" s="235" t="str">
        <f t="shared" si="264"/>
        <v/>
      </c>
      <c r="NC26" s="235" t="str">
        <f t="shared" si="265"/>
        <v/>
      </c>
      <c r="ND26" s="235" t="str">
        <f t="shared" si="266"/>
        <v/>
      </c>
      <c r="NE26" s="235" t="str">
        <f t="shared" si="267"/>
        <v/>
      </c>
      <c r="NF26" s="235" t="str">
        <f t="shared" si="268"/>
        <v/>
      </c>
      <c r="NG26" s="235" t="str">
        <f t="shared" si="269"/>
        <v/>
      </c>
      <c r="NH26" s="235" t="str">
        <f t="shared" si="270"/>
        <v/>
      </c>
      <c r="NI26" s="235" t="str">
        <f t="shared" si="271"/>
        <v/>
      </c>
      <c r="NJ26" s="235" t="str">
        <f t="shared" si="272"/>
        <v/>
      </c>
      <c r="NK26" s="235" t="str">
        <f t="shared" si="273"/>
        <v/>
      </c>
      <c r="NL26" s="235" t="str">
        <f t="shared" si="274"/>
        <v/>
      </c>
      <c r="NM26" s="235" t="str">
        <f t="shared" si="275"/>
        <v/>
      </c>
      <c r="NN26" s="235" t="str">
        <f t="shared" si="276"/>
        <v/>
      </c>
      <c r="NO26" s="235" t="str">
        <f t="shared" si="277"/>
        <v/>
      </c>
      <c r="NP26" s="235" t="str">
        <f t="shared" si="278"/>
        <v/>
      </c>
      <c r="NQ26" s="235" t="str">
        <f t="shared" si="279"/>
        <v/>
      </c>
      <c r="NR26" s="235" t="str">
        <f t="shared" si="280"/>
        <v/>
      </c>
      <c r="NS26" s="134" t="str">
        <f t="shared" si="281"/>
        <v>jenis, sifat, karakter dan teknik pengolahan kerang, kaca, keramik dan botol plastik</v>
      </c>
      <c r="NT26" s="134" t="str">
        <f t="shared" si="282"/>
        <v/>
      </c>
      <c r="NU26" s="134" t="str">
        <f t="shared" si="283"/>
        <v/>
      </c>
      <c r="NV26" s="134" t="str">
        <f t="shared" si="284"/>
        <v/>
      </c>
      <c r="NW26" s="134" t="str">
        <f t="shared" si="285"/>
        <v/>
      </c>
      <c r="NX26" s="134" t="str">
        <f t="shared" si="286"/>
        <v/>
      </c>
      <c r="NY26" s="134" t="str">
        <f t="shared" si="287"/>
        <v/>
      </c>
      <c r="NZ26" s="134" t="str">
        <f t="shared" si="288"/>
        <v/>
      </c>
      <c r="OA26" s="134" t="str">
        <f t="shared" si="289"/>
        <v/>
      </c>
      <c r="OB26" s="134" t="str">
        <f t="shared" si="290"/>
        <v/>
      </c>
      <c r="OC26" s="134" t="str">
        <f t="shared" si="291"/>
        <v/>
      </c>
      <c r="OD26" s="134" t="str">
        <f t="shared" si="292"/>
        <v/>
      </c>
      <c r="OE26" s="134" t="str">
        <f t="shared" si="293"/>
        <v/>
      </c>
      <c r="OF26" s="134" t="str">
        <f t="shared" si="294"/>
        <v/>
      </c>
      <c r="OG26" s="134" t="str">
        <f t="shared" si="295"/>
        <v/>
      </c>
      <c r="OH26" s="134" t="str">
        <f t="shared" si="296"/>
        <v/>
      </c>
      <c r="OI26" s="134" t="str">
        <f t="shared" si="297"/>
        <v/>
      </c>
      <c r="OJ26" s="134" t="str">
        <f t="shared" si="298"/>
        <v/>
      </c>
      <c r="OK26" s="134" t="str">
        <f t="shared" si="299"/>
        <v/>
      </c>
      <c r="OL26" s="134" t="str">
        <f t="shared" si="300"/>
        <v/>
      </c>
      <c r="OM26" s="134" t="str">
        <f t="shared" si="301"/>
        <v>Cukup Baik dalam jenis, sifat, karakter dan teknik pengolahan kerang, kaca, keramik dan botol plastik</v>
      </c>
      <c r="ON26" s="134" t="str">
        <f t="shared" si="302"/>
        <v>Cukup Baik dalam jenis, sifat, karakter dan teknik pengolahan kerang, kaca, keramik dan botol plasti.  </v>
      </c>
      <c r="OO26" s="236">
        <f t="shared" si="169"/>
        <v>1</v>
      </c>
      <c r="OP26" s="235" t="str">
        <f t="shared" si="303"/>
        <v>NO</v>
      </c>
      <c r="OQ26" s="235" t="str">
        <f t="shared" si="304"/>
        <v>OK</v>
      </c>
      <c r="OR26" s="235" t="str">
        <f t="shared" si="305"/>
        <v/>
      </c>
      <c r="OS26" s="235" t="str">
        <f t="shared" si="306"/>
        <v/>
      </c>
      <c r="OT26" s="235" t="str">
        <f t="shared" si="307"/>
        <v/>
      </c>
      <c r="OU26" s="235" t="str">
        <f t="shared" si="308"/>
        <v/>
      </c>
      <c r="OV26" s="235" t="str">
        <f t="shared" si="309"/>
        <v/>
      </c>
      <c r="OW26" s="235" t="str">
        <f t="shared" si="310"/>
        <v/>
      </c>
      <c r="OX26" s="235" t="str">
        <f t="shared" si="311"/>
        <v/>
      </c>
      <c r="OY26" s="235" t="str">
        <f t="shared" si="312"/>
        <v/>
      </c>
      <c r="OZ26" s="235" t="str">
        <f t="shared" si="313"/>
        <v/>
      </c>
      <c r="PA26" s="235" t="str">
        <f t="shared" si="314"/>
        <v/>
      </c>
      <c r="PB26" s="235" t="str">
        <f t="shared" si="315"/>
        <v/>
      </c>
      <c r="PC26" s="235" t="str">
        <f t="shared" si="316"/>
        <v/>
      </c>
      <c r="PD26" s="235" t="str">
        <f t="shared" si="317"/>
        <v/>
      </c>
      <c r="PE26" s="235" t="str">
        <f t="shared" si="318"/>
        <v/>
      </c>
      <c r="PF26" s="235" t="str">
        <f t="shared" si="319"/>
        <v/>
      </c>
      <c r="PG26" s="235" t="str">
        <f t="shared" si="320"/>
        <v/>
      </c>
      <c r="PH26" s="235" t="str">
        <f t="shared" si="321"/>
        <v/>
      </c>
      <c r="PI26" s="235" t="str">
        <f t="shared" si="322"/>
        <v/>
      </c>
      <c r="PJ26" s="134" t="str">
        <f t="shared" si="323"/>
        <v/>
      </c>
      <c r="PK26" s="134" t="str">
        <f t="shared" si="324"/>
        <v>prinsip perancangan, pembuatan dan penyajian produk kerajinan kerang, kaca, keramik dan botol plastik yang kreatif dan inovatif</v>
      </c>
      <c r="PL26" s="134" t="str">
        <f t="shared" si="325"/>
        <v/>
      </c>
      <c r="PM26" s="134" t="str">
        <f t="shared" si="326"/>
        <v/>
      </c>
      <c r="PN26" s="134" t="str">
        <f t="shared" si="327"/>
        <v/>
      </c>
      <c r="PO26" s="134" t="str">
        <f t="shared" si="328"/>
        <v/>
      </c>
      <c r="PP26" s="134" t="str">
        <f t="shared" si="329"/>
        <v/>
      </c>
      <c r="PQ26" s="134" t="str">
        <f t="shared" si="330"/>
        <v/>
      </c>
      <c r="PR26" s="134" t="str">
        <f t="shared" si="331"/>
        <v/>
      </c>
      <c r="PS26" s="134" t="str">
        <f t="shared" si="332"/>
        <v/>
      </c>
      <c r="PT26" s="134" t="str">
        <f t="shared" si="333"/>
        <v/>
      </c>
      <c r="PU26" s="134" t="str">
        <f t="shared" si="334"/>
        <v/>
      </c>
      <c r="PV26" s="134" t="str">
        <f t="shared" si="335"/>
        <v/>
      </c>
      <c r="PW26" s="134" t="str">
        <f t="shared" si="336"/>
        <v/>
      </c>
      <c r="PX26" s="134" t="str">
        <f t="shared" si="337"/>
        <v/>
      </c>
      <c r="PY26" s="134" t="str">
        <f t="shared" si="338"/>
        <v/>
      </c>
      <c r="PZ26" s="134" t="str">
        <f t="shared" si="339"/>
        <v/>
      </c>
      <c r="QA26" s="134" t="str">
        <f t="shared" si="340"/>
        <v/>
      </c>
      <c r="QB26" s="134" t="str">
        <f t="shared" si="341"/>
        <v/>
      </c>
      <c r="QC26" s="134" t="str">
        <f t="shared" si="342"/>
        <v/>
      </c>
      <c r="QD26" s="134" t="str">
        <f>IF(MT26=MW26,"",IF(MV26="","",IF(MV26&gt;=KONVERSI!$A$7,'KI3'!MW26&amp;" dalam"&amp;PJ26&amp;PK26&amp;PL26&amp;PM26&amp;PN26&amp;PO26&amp;PP26&amp;PQ26&amp;PR26&amp;PS26&amp;PT26&amp;PU26&amp;PV26&amp;PW26&amp;PX26&amp;PY26&amp;PZ26&amp;QA26&amp;QB26&amp;QC26,KONVERSI!$C$18&amp;" dalam"&amp;PJ26&amp;PK26&amp;PL26&amp;PM26&amp;PN26&amp;PO26&amp;PP26&amp;PQ26&amp;PR26&amp;PS26&amp;PT26&amp;PU26&amp;PV26&amp;PW26&amp;PX26&amp;PY26&amp;PZ26&amp;QA26&amp;QB26&amp;QC26)))</f>
        <v/>
      </c>
      <c r="QE26" s="134" t="str">
        <f t="shared" si="343"/>
        <v/>
      </c>
      <c r="QF26" s="236">
        <f t="shared" si="172"/>
        <v>1</v>
      </c>
      <c r="QG26" s="134" t="str">
        <f t="shared" si="173"/>
        <v>Cukup Baik dalam jenis, sifat, karakter dan teknik pengolahan kerang, kaca, keramik dan botol plasti.  </v>
      </c>
    </row>
    <row r="27" ht="27.6" customHeight="1" spans="1:449">
      <c r="A27" s="136"/>
      <c r="B27" s="177">
        <v>19</v>
      </c>
      <c r="C27" s="178" t="str">
        <f>siswa!C23</f>
        <v>OLIVIA OCTAVIA PARHUSIP</v>
      </c>
      <c r="D27" s="174">
        <f>siswa!D23</f>
        <v>2820</v>
      </c>
      <c r="E27" s="175">
        <v>86</v>
      </c>
      <c r="F27" s="175">
        <v>86</v>
      </c>
      <c r="G27" s="248"/>
      <c r="H27" s="176"/>
      <c r="I27" s="176"/>
      <c r="J27" s="175">
        <v>82</v>
      </c>
      <c r="K27" s="176"/>
      <c r="L27" s="223">
        <f t="shared" si="174"/>
        <v>84.4</v>
      </c>
      <c r="M27" s="250">
        <v>88</v>
      </c>
      <c r="N27" s="250">
        <v>90</v>
      </c>
      <c r="O27" s="248"/>
      <c r="P27" s="176"/>
      <c r="Q27" s="176"/>
      <c r="R27" s="250">
        <v>88</v>
      </c>
      <c r="S27" s="176"/>
      <c r="T27" s="223">
        <f t="shared" si="175"/>
        <v>88.6</v>
      </c>
      <c r="U27" s="248"/>
      <c r="V27" s="248"/>
      <c r="W27" s="248"/>
      <c r="X27" s="176"/>
      <c r="Y27" s="176"/>
      <c r="Z27" s="250"/>
      <c r="AA27" s="176"/>
      <c r="AB27" s="223">
        <f t="shared" si="176"/>
        <v>0</v>
      </c>
      <c r="AC27" s="248"/>
      <c r="AD27" s="248"/>
      <c r="AE27" s="248"/>
      <c r="AF27" s="248"/>
      <c r="AG27" s="176"/>
      <c r="AH27" s="250"/>
      <c r="AI27" s="176"/>
      <c r="AJ27" s="223">
        <f t="shared" si="177"/>
        <v>0</v>
      </c>
      <c r="AK27" s="181"/>
      <c r="AL27" s="176"/>
      <c r="AM27" s="176"/>
      <c r="AN27" s="176"/>
      <c r="AO27" s="176"/>
      <c r="AP27" s="176"/>
      <c r="AQ27" s="176"/>
      <c r="AR27" s="223">
        <f t="shared" si="178"/>
        <v>0</v>
      </c>
      <c r="AS27" s="181"/>
      <c r="AT27" s="176"/>
      <c r="AU27" s="176"/>
      <c r="AV27" s="176"/>
      <c r="AW27" s="176"/>
      <c r="AX27" s="176"/>
      <c r="AY27" s="176"/>
      <c r="AZ27" s="223">
        <f t="shared" si="179"/>
        <v>0</v>
      </c>
      <c r="BA27" s="181"/>
      <c r="BB27" s="176"/>
      <c r="BC27" s="176"/>
      <c r="BD27" s="176"/>
      <c r="BE27" s="176"/>
      <c r="BF27" s="176"/>
      <c r="BG27" s="176"/>
      <c r="BH27" s="223">
        <f t="shared" si="180"/>
        <v>0</v>
      </c>
      <c r="BI27" s="181"/>
      <c r="BJ27" s="176"/>
      <c r="BK27" s="176"/>
      <c r="BL27" s="176"/>
      <c r="BM27" s="176"/>
      <c r="BN27" s="176"/>
      <c r="BO27" s="176"/>
      <c r="BP27" s="223">
        <f t="shared" si="181"/>
        <v>0</v>
      </c>
      <c r="BQ27" s="181"/>
      <c r="BR27" s="176"/>
      <c r="BS27" s="176"/>
      <c r="BT27" s="176"/>
      <c r="BU27" s="176"/>
      <c r="BV27" s="176"/>
      <c r="BW27" s="176"/>
      <c r="BX27" s="223">
        <f t="shared" si="182"/>
        <v>0</v>
      </c>
      <c r="BY27" s="181"/>
      <c r="BZ27" s="176"/>
      <c r="CA27" s="176"/>
      <c r="CB27" s="176"/>
      <c r="CC27" s="176"/>
      <c r="CD27" s="176"/>
      <c r="CE27" s="176"/>
      <c r="CF27" s="223">
        <f t="shared" si="183"/>
        <v>0</v>
      </c>
      <c r="CG27" s="181"/>
      <c r="CH27" s="176"/>
      <c r="CI27" s="176"/>
      <c r="CJ27" s="176"/>
      <c r="CK27" s="176"/>
      <c r="CL27" s="176"/>
      <c r="CM27" s="176"/>
      <c r="CN27" s="223">
        <f t="shared" si="184"/>
        <v>0</v>
      </c>
      <c r="CO27" s="181"/>
      <c r="CP27" s="176"/>
      <c r="CQ27" s="176"/>
      <c r="CR27" s="176"/>
      <c r="CS27" s="176"/>
      <c r="CT27" s="176"/>
      <c r="CU27" s="176"/>
      <c r="CV27" s="223">
        <f t="shared" si="185"/>
        <v>0</v>
      </c>
      <c r="CW27" s="181"/>
      <c r="CX27" s="176"/>
      <c r="CY27" s="176"/>
      <c r="CZ27" s="176"/>
      <c r="DA27" s="176"/>
      <c r="DB27" s="176"/>
      <c r="DC27" s="176"/>
      <c r="DD27" s="223">
        <f t="shared" si="186"/>
        <v>0</v>
      </c>
      <c r="DE27" s="181"/>
      <c r="DF27" s="176"/>
      <c r="DG27" s="176"/>
      <c r="DH27" s="176"/>
      <c r="DI27" s="176"/>
      <c r="DJ27" s="176"/>
      <c r="DK27" s="176"/>
      <c r="DL27" s="223">
        <f t="shared" si="187"/>
        <v>0</v>
      </c>
      <c r="DM27" s="181"/>
      <c r="DN27" s="176"/>
      <c r="DO27" s="176"/>
      <c r="DP27" s="176"/>
      <c r="DQ27" s="176"/>
      <c r="DR27" s="176"/>
      <c r="DS27" s="176"/>
      <c r="DT27" s="223">
        <f t="shared" si="188"/>
        <v>0</v>
      </c>
      <c r="DU27" s="181"/>
      <c r="DV27" s="176"/>
      <c r="DW27" s="176"/>
      <c r="DX27" s="176"/>
      <c r="DY27" s="176"/>
      <c r="DZ27" s="176"/>
      <c r="EA27" s="176"/>
      <c r="EB27" s="223">
        <f t="shared" si="189"/>
        <v>0</v>
      </c>
      <c r="EC27" s="181"/>
      <c r="ED27" s="176"/>
      <c r="EE27" s="176"/>
      <c r="EF27" s="176"/>
      <c r="EG27" s="176"/>
      <c r="EH27" s="176"/>
      <c r="EI27" s="176"/>
      <c r="EJ27" s="223">
        <f t="shared" si="190"/>
        <v>0</v>
      </c>
      <c r="EK27" s="181"/>
      <c r="EL27" s="176"/>
      <c r="EM27" s="176"/>
      <c r="EN27" s="176"/>
      <c r="EO27" s="176"/>
      <c r="EP27" s="176"/>
      <c r="EQ27" s="176"/>
      <c r="ER27" s="223">
        <f t="shared" si="191"/>
        <v>0</v>
      </c>
      <c r="ES27" s="181"/>
      <c r="ET27" s="176"/>
      <c r="EU27" s="176"/>
      <c r="EV27" s="176"/>
      <c r="EW27" s="176"/>
      <c r="EX27" s="176"/>
      <c r="EY27" s="176"/>
      <c r="EZ27" s="223">
        <f t="shared" si="192"/>
        <v>0</v>
      </c>
      <c r="FA27" s="181"/>
      <c r="FB27" s="176"/>
      <c r="FC27" s="176"/>
      <c r="FD27" s="176"/>
      <c r="FE27" s="176"/>
      <c r="FF27" s="176"/>
      <c r="FG27" s="176"/>
      <c r="FH27" s="223">
        <f t="shared" si="193"/>
        <v>0</v>
      </c>
      <c r="FI27" s="291">
        <f t="shared" si="194"/>
        <v>87</v>
      </c>
      <c r="FJ27" s="250">
        <v>74</v>
      </c>
      <c r="FK27" s="250"/>
      <c r="FL27" s="291">
        <f t="shared" si="195"/>
        <v>83</v>
      </c>
      <c r="FM27" s="312" t="str">
        <f>IFERROR(IF(FL27="","",IF(FL27&gt;=KONVERSI!$A$5,KONVERSI!$D$5,IF(FL27&gt;=KONVERSI!$A$6,KONVERSI!$D$6,IF(FL27&gt;=KONVERSI!$A$7,KONVERSI!$D$7,KONVERSI!$D$8)))),"")</f>
        <v>B</v>
      </c>
      <c r="FN27" s="232" t="str">
        <f t="shared" si="196"/>
        <v>Tuntas</v>
      </c>
      <c r="FO27" s="313"/>
      <c r="FP27" s="314">
        <f t="shared" si="197"/>
        <v>87.5</v>
      </c>
      <c r="FQ27" s="194">
        <f t="shared" si="33"/>
        <v>86</v>
      </c>
      <c r="FR27" s="194">
        <f t="shared" si="34"/>
        <v>86</v>
      </c>
      <c r="FS27" s="194" t="str">
        <f t="shared" si="35"/>
        <v/>
      </c>
      <c r="FT27" s="194" t="str">
        <f t="shared" si="36"/>
        <v/>
      </c>
      <c r="FU27" s="194" t="str">
        <f t="shared" si="37"/>
        <v/>
      </c>
      <c r="FV27" s="194">
        <f t="shared" si="38"/>
        <v>84.4</v>
      </c>
      <c r="FW27" s="194">
        <f t="shared" si="39"/>
        <v>88</v>
      </c>
      <c r="FX27" s="194">
        <f t="shared" si="344"/>
        <v>90</v>
      </c>
      <c r="FY27" s="194" t="str">
        <f t="shared" si="40"/>
        <v/>
      </c>
      <c r="FZ27" s="194" t="str">
        <f t="shared" si="41"/>
        <v/>
      </c>
      <c r="GA27" s="194" t="str">
        <f t="shared" si="42"/>
        <v/>
      </c>
      <c r="GB27" s="194">
        <f t="shared" si="43"/>
        <v>88.6</v>
      </c>
      <c r="GC27" s="194" t="str">
        <f t="shared" si="44"/>
        <v/>
      </c>
      <c r="GD27" s="194" t="str">
        <f t="shared" si="45"/>
        <v/>
      </c>
      <c r="GE27" s="194" t="str">
        <f t="shared" si="46"/>
        <v/>
      </c>
      <c r="GF27" s="194" t="str">
        <f t="shared" si="47"/>
        <v/>
      </c>
      <c r="GG27" s="194" t="str">
        <f t="shared" si="48"/>
        <v/>
      </c>
      <c r="GH27" s="194" t="str">
        <f t="shared" si="49"/>
        <v/>
      </c>
      <c r="GI27" s="194" t="str">
        <f t="shared" si="50"/>
        <v/>
      </c>
      <c r="GJ27" s="194" t="str">
        <f t="shared" si="51"/>
        <v/>
      </c>
      <c r="GK27" s="194" t="str">
        <f t="shared" si="52"/>
        <v/>
      </c>
      <c r="GL27" s="194" t="str">
        <f t="shared" si="53"/>
        <v/>
      </c>
      <c r="GM27" s="194" t="str">
        <f t="shared" si="54"/>
        <v/>
      </c>
      <c r="GN27" s="194" t="str">
        <f t="shared" si="55"/>
        <v/>
      </c>
      <c r="GO27" s="194" t="str">
        <f t="shared" si="56"/>
        <v/>
      </c>
      <c r="GP27" s="194" t="str">
        <f t="shared" si="57"/>
        <v/>
      </c>
      <c r="GQ27" s="194" t="str">
        <f t="shared" si="58"/>
        <v/>
      </c>
      <c r="GR27" s="194" t="str">
        <f t="shared" si="59"/>
        <v/>
      </c>
      <c r="GS27" s="194" t="str">
        <f t="shared" si="60"/>
        <v/>
      </c>
      <c r="GT27" s="194" t="str">
        <f t="shared" si="61"/>
        <v/>
      </c>
      <c r="GU27" s="194" t="str">
        <f t="shared" si="62"/>
        <v/>
      </c>
      <c r="GV27" s="194" t="str">
        <f t="shared" si="63"/>
        <v/>
      </c>
      <c r="GW27" s="194" t="str">
        <f t="shared" si="64"/>
        <v/>
      </c>
      <c r="GX27" s="194" t="str">
        <f t="shared" si="65"/>
        <v/>
      </c>
      <c r="GY27" s="194" t="str">
        <f t="shared" si="66"/>
        <v/>
      </c>
      <c r="GZ27" s="194" t="str">
        <f t="shared" si="67"/>
        <v/>
      </c>
      <c r="HA27" s="194" t="str">
        <f t="shared" si="68"/>
        <v/>
      </c>
      <c r="HB27" s="194" t="str">
        <f t="shared" si="69"/>
        <v/>
      </c>
      <c r="HC27" s="194" t="str">
        <f t="shared" si="70"/>
        <v/>
      </c>
      <c r="HD27" s="194" t="str">
        <f t="shared" si="71"/>
        <v/>
      </c>
      <c r="HE27" s="194" t="str">
        <f t="shared" si="72"/>
        <v/>
      </c>
      <c r="HF27" s="194" t="str">
        <f t="shared" si="73"/>
        <v/>
      </c>
      <c r="HG27" s="194" t="str">
        <f t="shared" si="74"/>
        <v/>
      </c>
      <c r="HH27" s="194" t="str">
        <f t="shared" si="75"/>
        <v/>
      </c>
      <c r="HI27" s="194" t="str">
        <f t="shared" si="76"/>
        <v/>
      </c>
      <c r="HJ27" s="194" t="str">
        <f t="shared" si="77"/>
        <v/>
      </c>
      <c r="HK27" s="194" t="str">
        <f t="shared" si="78"/>
        <v/>
      </c>
      <c r="HL27" s="194" t="str">
        <f t="shared" si="79"/>
        <v/>
      </c>
      <c r="HM27" s="194" t="str">
        <f t="shared" si="80"/>
        <v/>
      </c>
      <c r="HN27" s="194" t="str">
        <f t="shared" si="81"/>
        <v/>
      </c>
      <c r="HO27" s="194" t="str">
        <f t="shared" si="82"/>
        <v/>
      </c>
      <c r="HP27" s="194" t="str">
        <f t="shared" si="83"/>
        <v/>
      </c>
      <c r="HQ27" s="194" t="str">
        <f t="shared" si="84"/>
        <v/>
      </c>
      <c r="HR27" s="194" t="str">
        <f t="shared" si="85"/>
        <v/>
      </c>
      <c r="HS27" s="194" t="str">
        <f t="shared" si="86"/>
        <v/>
      </c>
      <c r="HT27" s="194" t="str">
        <f t="shared" si="87"/>
        <v/>
      </c>
      <c r="HU27" s="194" t="str">
        <f t="shared" si="88"/>
        <v/>
      </c>
      <c r="HV27" s="194" t="str">
        <f t="shared" si="89"/>
        <v/>
      </c>
      <c r="HW27" s="194" t="str">
        <f t="shared" si="90"/>
        <v/>
      </c>
      <c r="HX27" s="194" t="str">
        <f t="shared" si="91"/>
        <v/>
      </c>
      <c r="HY27" s="194" t="str">
        <f t="shared" si="92"/>
        <v/>
      </c>
      <c r="HZ27" s="194" t="str">
        <f t="shared" si="93"/>
        <v/>
      </c>
      <c r="IA27" s="194" t="str">
        <f t="shared" si="94"/>
        <v/>
      </c>
      <c r="IB27" s="194" t="str">
        <f t="shared" si="95"/>
        <v/>
      </c>
      <c r="IC27" s="194" t="str">
        <f t="shared" si="96"/>
        <v/>
      </c>
      <c r="ID27" s="194" t="str">
        <f t="shared" si="97"/>
        <v/>
      </c>
      <c r="IE27" s="194" t="str">
        <f t="shared" si="98"/>
        <v/>
      </c>
      <c r="IF27" s="194" t="str">
        <f t="shared" si="99"/>
        <v/>
      </c>
      <c r="IG27" s="194" t="str">
        <f t="shared" si="100"/>
        <v/>
      </c>
      <c r="IH27" s="194" t="str">
        <f t="shared" si="101"/>
        <v/>
      </c>
      <c r="II27" s="194" t="str">
        <f t="shared" si="102"/>
        <v/>
      </c>
      <c r="IJ27" s="194" t="str">
        <f t="shared" si="103"/>
        <v/>
      </c>
      <c r="IK27" s="194" t="str">
        <f t="shared" si="104"/>
        <v/>
      </c>
      <c r="IL27" s="194" t="str">
        <f t="shared" si="105"/>
        <v/>
      </c>
      <c r="IM27" s="194" t="str">
        <f t="shared" si="106"/>
        <v/>
      </c>
      <c r="IN27" s="194" t="str">
        <f t="shared" si="107"/>
        <v/>
      </c>
      <c r="IO27" s="194" t="str">
        <f t="shared" si="108"/>
        <v/>
      </c>
      <c r="IP27" s="194" t="str">
        <f t="shared" si="109"/>
        <v/>
      </c>
      <c r="IQ27" s="194" t="str">
        <f t="shared" si="110"/>
        <v/>
      </c>
      <c r="IR27" s="194" t="str">
        <f t="shared" si="111"/>
        <v/>
      </c>
      <c r="IS27" s="194" t="str">
        <f t="shared" si="112"/>
        <v/>
      </c>
      <c r="IT27" s="194" t="str">
        <f t="shared" si="113"/>
        <v/>
      </c>
      <c r="IU27" s="194" t="str">
        <f t="shared" si="114"/>
        <v/>
      </c>
      <c r="IV27" s="194" t="str">
        <f t="shared" si="115"/>
        <v/>
      </c>
      <c r="IW27" s="194" t="str">
        <f t="shared" si="116"/>
        <v/>
      </c>
      <c r="IX27" s="194" t="str">
        <f t="shared" si="117"/>
        <v/>
      </c>
      <c r="IY27" s="194" t="str">
        <f t="shared" si="118"/>
        <v/>
      </c>
      <c r="IZ27" s="194" t="str">
        <f t="shared" si="119"/>
        <v/>
      </c>
      <c r="JA27" s="194" t="str">
        <f t="shared" si="120"/>
        <v/>
      </c>
      <c r="JB27" s="194" t="str">
        <f t="shared" si="121"/>
        <v/>
      </c>
      <c r="JC27" s="194" t="str">
        <f t="shared" si="122"/>
        <v/>
      </c>
      <c r="JD27" s="194" t="str">
        <f t="shared" si="123"/>
        <v/>
      </c>
      <c r="JE27" s="194" t="str">
        <f t="shared" si="124"/>
        <v/>
      </c>
      <c r="JF27" s="194" t="str">
        <f t="shared" si="125"/>
        <v/>
      </c>
      <c r="JG27" s="194" t="str">
        <f t="shared" si="126"/>
        <v/>
      </c>
      <c r="JH27" s="194" t="str">
        <f t="shared" si="127"/>
        <v/>
      </c>
      <c r="JI27" s="194" t="str">
        <f t="shared" si="128"/>
        <v/>
      </c>
      <c r="JJ27" s="194" t="str">
        <f t="shared" si="129"/>
        <v/>
      </c>
      <c r="JK27" s="194" t="str">
        <f t="shared" si="130"/>
        <v/>
      </c>
      <c r="JL27" s="194" t="str">
        <f t="shared" si="131"/>
        <v/>
      </c>
      <c r="JM27" s="194" t="str">
        <f t="shared" si="132"/>
        <v/>
      </c>
      <c r="JN27" s="194" t="str">
        <f t="shared" si="133"/>
        <v/>
      </c>
      <c r="JO27" s="194" t="str">
        <f t="shared" si="134"/>
        <v/>
      </c>
      <c r="JP27" s="194" t="str">
        <f t="shared" si="135"/>
        <v/>
      </c>
      <c r="JQ27" s="194" t="str">
        <f t="shared" si="136"/>
        <v/>
      </c>
      <c r="JR27" s="194" t="str">
        <f t="shared" si="137"/>
        <v/>
      </c>
      <c r="JS27" s="194" t="str">
        <f t="shared" si="138"/>
        <v/>
      </c>
      <c r="JT27" s="194" t="str">
        <f t="shared" si="139"/>
        <v/>
      </c>
      <c r="JU27" s="194" t="str">
        <f t="shared" si="140"/>
        <v/>
      </c>
      <c r="JV27" s="194" t="str">
        <f t="shared" si="141"/>
        <v/>
      </c>
      <c r="JW27" s="194" t="str">
        <f t="shared" si="142"/>
        <v/>
      </c>
      <c r="JX27" s="194" t="str">
        <f t="shared" si="143"/>
        <v/>
      </c>
      <c r="JY27" s="194" t="str">
        <f t="shared" si="144"/>
        <v/>
      </c>
      <c r="JZ27" s="194" t="str">
        <f t="shared" si="145"/>
        <v/>
      </c>
      <c r="KA27" s="194" t="str">
        <f t="shared" si="146"/>
        <v/>
      </c>
      <c r="KB27" s="194" t="str">
        <f t="shared" si="147"/>
        <v/>
      </c>
      <c r="KC27" s="194" t="str">
        <f t="shared" si="148"/>
        <v/>
      </c>
      <c r="KD27" s="194" t="str">
        <f t="shared" si="149"/>
        <v/>
      </c>
      <c r="KE27" s="194" t="str">
        <f t="shared" si="150"/>
        <v/>
      </c>
      <c r="KF27" s="194" t="str">
        <f t="shared" si="151"/>
        <v/>
      </c>
      <c r="KG27" s="194">
        <f>SUM(LE27:LX27)/COUNTA(RefKI3KI4!$B$5:$B$24)</f>
        <v>86.5</v>
      </c>
      <c r="KH27" s="232">
        <f t="shared" si="198"/>
        <v>0</v>
      </c>
      <c r="KI27" s="340" t="str">
        <f t="shared" si="199"/>
        <v>ok</v>
      </c>
      <c r="KJ27" s="340" t="str">
        <f t="shared" si="200"/>
        <v>ok</v>
      </c>
      <c r="KK27" s="340" t="str">
        <f t="shared" si="201"/>
        <v/>
      </c>
      <c r="KL27" s="340" t="str">
        <f t="shared" si="202"/>
        <v/>
      </c>
      <c r="KM27" s="340" t="str">
        <f t="shared" si="203"/>
        <v/>
      </c>
      <c r="KN27" s="340" t="str">
        <f t="shared" si="204"/>
        <v/>
      </c>
      <c r="KO27" s="340" t="str">
        <f t="shared" si="205"/>
        <v/>
      </c>
      <c r="KP27" s="340" t="str">
        <f t="shared" si="206"/>
        <v/>
      </c>
      <c r="KQ27" s="340" t="str">
        <f t="shared" si="207"/>
        <v/>
      </c>
      <c r="KR27" s="340" t="str">
        <f t="shared" si="208"/>
        <v/>
      </c>
      <c r="KS27" s="340" t="str">
        <f t="shared" si="209"/>
        <v/>
      </c>
      <c r="KT27" s="340" t="str">
        <f t="shared" si="210"/>
        <v/>
      </c>
      <c r="KU27" s="340" t="str">
        <f t="shared" si="211"/>
        <v/>
      </c>
      <c r="KV27" s="340" t="str">
        <f t="shared" si="212"/>
        <v/>
      </c>
      <c r="KW27" s="340" t="str">
        <f t="shared" si="213"/>
        <v/>
      </c>
      <c r="KX27" s="340" t="str">
        <f t="shared" si="214"/>
        <v/>
      </c>
      <c r="KY27" s="340" t="str">
        <f t="shared" si="215"/>
        <v/>
      </c>
      <c r="KZ27" s="340" t="str">
        <f t="shared" si="216"/>
        <v/>
      </c>
      <c r="LA27" s="340" t="str">
        <f t="shared" si="217"/>
        <v/>
      </c>
      <c r="LB27" s="340" t="str">
        <f t="shared" si="218"/>
        <v/>
      </c>
      <c r="LC27" s="340">
        <f t="shared" si="219"/>
        <v>0</v>
      </c>
      <c r="LD27" s="228">
        <v>19</v>
      </c>
      <c r="LE27" s="229">
        <f t="shared" si="220"/>
        <v>84.4</v>
      </c>
      <c r="LF27" s="229">
        <f t="shared" si="221"/>
        <v>88.6</v>
      </c>
      <c r="LG27" s="229" t="str">
        <f t="shared" si="222"/>
        <v/>
      </c>
      <c r="LH27" s="229" t="str">
        <f t="shared" si="223"/>
        <v/>
      </c>
      <c r="LI27" s="229" t="str">
        <f t="shared" si="224"/>
        <v/>
      </c>
      <c r="LJ27" s="229" t="str">
        <f t="shared" si="225"/>
        <v/>
      </c>
      <c r="LK27" s="229" t="str">
        <f t="shared" si="226"/>
        <v/>
      </c>
      <c r="LL27" s="229" t="str">
        <f t="shared" si="227"/>
        <v/>
      </c>
      <c r="LM27" s="229" t="str">
        <f t="shared" si="228"/>
        <v/>
      </c>
      <c r="LN27" s="229" t="str">
        <f t="shared" si="229"/>
        <v/>
      </c>
      <c r="LO27" s="229" t="str">
        <f t="shared" si="230"/>
        <v/>
      </c>
      <c r="LP27" s="229" t="str">
        <f t="shared" si="231"/>
        <v/>
      </c>
      <c r="LQ27" s="229" t="str">
        <f t="shared" si="232"/>
        <v/>
      </c>
      <c r="LR27" s="229" t="str">
        <f t="shared" si="233"/>
        <v/>
      </c>
      <c r="LS27" s="229" t="str">
        <f t="shared" si="234"/>
        <v/>
      </c>
      <c r="LT27" s="229" t="str">
        <f t="shared" si="235"/>
        <v/>
      </c>
      <c r="LU27" s="229" t="str">
        <f t="shared" si="236"/>
        <v/>
      </c>
      <c r="LV27" s="229" t="str">
        <f t="shared" si="237"/>
        <v/>
      </c>
      <c r="LW27" s="229" t="str">
        <f t="shared" si="238"/>
        <v/>
      </c>
      <c r="LX27" s="229" t="str">
        <f t="shared" si="239"/>
        <v/>
      </c>
      <c r="LY27" s="231">
        <f t="shared" si="240"/>
        <v>84.4</v>
      </c>
      <c r="LZ27" s="231">
        <f t="shared" si="241"/>
        <v>88.6</v>
      </c>
      <c r="MA27" s="231" t="str">
        <f t="shared" si="242"/>
        <v/>
      </c>
      <c r="MB27" s="231" t="str">
        <f t="shared" si="243"/>
        <v/>
      </c>
      <c r="MC27" s="231" t="str">
        <f t="shared" si="244"/>
        <v/>
      </c>
      <c r="MD27" s="231" t="str">
        <f t="shared" si="245"/>
        <v/>
      </c>
      <c r="ME27" s="231" t="str">
        <f t="shared" si="246"/>
        <v/>
      </c>
      <c r="MF27" s="231" t="str">
        <f t="shared" si="247"/>
        <v/>
      </c>
      <c r="MG27" s="231" t="str">
        <f t="shared" si="248"/>
        <v/>
      </c>
      <c r="MH27" s="231" t="str">
        <f t="shared" si="249"/>
        <v/>
      </c>
      <c r="MI27" s="231" t="str">
        <f t="shared" si="250"/>
        <v/>
      </c>
      <c r="MJ27" s="231" t="str">
        <f t="shared" si="251"/>
        <v/>
      </c>
      <c r="MK27" s="231" t="str">
        <f t="shared" si="252"/>
        <v/>
      </c>
      <c r="ML27" s="231" t="str">
        <f t="shared" si="253"/>
        <v/>
      </c>
      <c r="MM27" s="231" t="str">
        <f t="shared" si="254"/>
        <v/>
      </c>
      <c r="MN27" s="231" t="str">
        <f t="shared" si="255"/>
        <v/>
      </c>
      <c r="MO27" s="231" t="str">
        <f t="shared" si="256"/>
        <v/>
      </c>
      <c r="MP27" s="231" t="str">
        <f t="shared" si="257"/>
        <v/>
      </c>
      <c r="MQ27" s="231" t="str">
        <f t="shared" si="258"/>
        <v/>
      </c>
      <c r="MR27" s="231" t="str">
        <f t="shared" si="259"/>
        <v/>
      </c>
      <c r="MS27" s="231">
        <f t="shared" si="154"/>
        <v>88.6</v>
      </c>
      <c r="MT27" s="232" t="str">
        <f>IF(MS27="","",IF(MS27&gt;=KONVERSI!$A$5,KONVERSI!$E$5,IF(MS27&gt;=KONVERSI!$A$6,KONVERSI!$E$6,IF(MS27&gt;=KONVERSI!$A$7,KONVERSI!$E$7,KONVERSI!$E$8))))</f>
        <v>Baik</v>
      </c>
      <c r="MU27" s="233" t="str">
        <f t="shared" si="155"/>
        <v>Baik dalamprinsip perancangan, pembuatan dan penyajian produk kerajinan kerang, kaca, keramik dan botol plastik yang kreatif dan inovatif</v>
      </c>
      <c r="MV27" s="234">
        <f t="shared" si="260"/>
        <v>84.4</v>
      </c>
      <c r="MW27" s="232" t="str">
        <f>IF(MV27="","",IF(MV27&gt;=KONVERSI!$A$5,KONVERSI!$E$5,IF(MV27&gt;=KONVERSI!$A$6,KONVERSI!$E$6,IF(MV27&gt;=KONVERSI!$A$7,KONVERSI!$E$7,KONVERSI!$E$8))))</f>
        <v>Baik</v>
      </c>
      <c r="MX27" s="134" t="str">
        <f>IF(FI27&lt;$FN$4," "&amp;KONVERSI!$C$18&amp;INDEX($LY$8:$MR$8,MATCH(MV27,LY27:MR27,0))&amp;".",IF(KG27=0,"",IF(MV27&lt;&gt;0,MU27&amp;MW27&amp;".",MU27&amp;".")))</f>
        <v>Baik dalamprinsip perancangan, pembuatan dan penyajian produk kerajinan kerang, kaca, keramik dan botol plastik yang kreatif dan inovatifBaik.</v>
      </c>
      <c r="MY27" s="235" t="str">
        <f t="shared" si="261"/>
        <v>NO</v>
      </c>
      <c r="MZ27" s="235" t="str">
        <f t="shared" si="262"/>
        <v>OK</v>
      </c>
      <c r="NA27" s="235" t="str">
        <f t="shared" si="263"/>
        <v/>
      </c>
      <c r="NB27" s="235" t="str">
        <f t="shared" si="264"/>
        <v/>
      </c>
      <c r="NC27" s="235" t="str">
        <f t="shared" si="265"/>
        <v/>
      </c>
      <c r="ND27" s="235" t="str">
        <f t="shared" si="266"/>
        <v/>
      </c>
      <c r="NE27" s="235" t="str">
        <f t="shared" si="267"/>
        <v/>
      </c>
      <c r="NF27" s="235" t="str">
        <f t="shared" si="268"/>
        <v/>
      </c>
      <c r="NG27" s="235" t="str">
        <f t="shared" si="269"/>
        <v/>
      </c>
      <c r="NH27" s="235" t="str">
        <f t="shared" si="270"/>
        <v/>
      </c>
      <c r="NI27" s="235" t="str">
        <f t="shared" si="271"/>
        <v/>
      </c>
      <c r="NJ27" s="235" t="str">
        <f t="shared" si="272"/>
        <v/>
      </c>
      <c r="NK27" s="235" t="str">
        <f t="shared" si="273"/>
        <v/>
      </c>
      <c r="NL27" s="235" t="str">
        <f t="shared" si="274"/>
        <v/>
      </c>
      <c r="NM27" s="235" t="str">
        <f t="shared" si="275"/>
        <v/>
      </c>
      <c r="NN27" s="235" t="str">
        <f t="shared" si="276"/>
        <v/>
      </c>
      <c r="NO27" s="235" t="str">
        <f t="shared" si="277"/>
        <v/>
      </c>
      <c r="NP27" s="235" t="str">
        <f t="shared" si="278"/>
        <v/>
      </c>
      <c r="NQ27" s="235" t="str">
        <f t="shared" si="279"/>
        <v/>
      </c>
      <c r="NR27" s="235" t="str">
        <f t="shared" si="280"/>
        <v/>
      </c>
      <c r="NS27" s="134" t="str">
        <f t="shared" si="281"/>
        <v/>
      </c>
      <c r="NT27" s="134" t="str">
        <f t="shared" si="282"/>
        <v>prinsip perancangan, pembuatan dan penyajian produk kerajinan kerang, kaca, keramik dan botol plastik yang kreatif dan inovatif</v>
      </c>
      <c r="NU27" s="134" t="str">
        <f t="shared" si="283"/>
        <v/>
      </c>
      <c r="NV27" s="134" t="str">
        <f t="shared" si="284"/>
        <v/>
      </c>
      <c r="NW27" s="134" t="str">
        <f t="shared" si="285"/>
        <v/>
      </c>
      <c r="NX27" s="134" t="str">
        <f t="shared" si="286"/>
        <v/>
      </c>
      <c r="NY27" s="134" t="str">
        <f t="shared" si="287"/>
        <v/>
      </c>
      <c r="NZ27" s="134" t="str">
        <f t="shared" si="288"/>
        <v/>
      </c>
      <c r="OA27" s="134" t="str">
        <f t="shared" si="289"/>
        <v/>
      </c>
      <c r="OB27" s="134" t="str">
        <f t="shared" si="290"/>
        <v/>
      </c>
      <c r="OC27" s="134" t="str">
        <f t="shared" si="291"/>
        <v/>
      </c>
      <c r="OD27" s="134" t="str">
        <f t="shared" si="292"/>
        <v/>
      </c>
      <c r="OE27" s="134" t="str">
        <f t="shared" si="293"/>
        <v/>
      </c>
      <c r="OF27" s="134" t="str">
        <f t="shared" si="294"/>
        <v/>
      </c>
      <c r="OG27" s="134" t="str">
        <f t="shared" si="295"/>
        <v/>
      </c>
      <c r="OH27" s="134" t="str">
        <f t="shared" si="296"/>
        <v/>
      </c>
      <c r="OI27" s="134" t="str">
        <f t="shared" si="297"/>
        <v/>
      </c>
      <c r="OJ27" s="134" t="str">
        <f t="shared" si="298"/>
        <v/>
      </c>
      <c r="OK27" s="134" t="str">
        <f t="shared" si="299"/>
        <v/>
      </c>
      <c r="OL27" s="134" t="str">
        <f t="shared" si="300"/>
        <v/>
      </c>
      <c r="OM27" s="134" t="str">
        <f t="shared" si="301"/>
        <v>Baik dalam prinsip perancangan, pembuatan dan penyajian produk kerajinan kerang, kaca, keramik dan botol plastik yang kreatif dan inovatif</v>
      </c>
      <c r="ON27" s="134" t="str">
        <f t="shared" si="302"/>
        <v>Baik dalam prinsip perancangan, pembuatan dan penyajian produk kerajinan kerang, kaca, keramik dan botol plastik yang kreatif dan inovati.  </v>
      </c>
      <c r="OO27" s="236">
        <f t="shared" si="169"/>
        <v>1</v>
      </c>
      <c r="OP27" s="235" t="str">
        <f t="shared" si="303"/>
        <v>OK</v>
      </c>
      <c r="OQ27" s="235" t="str">
        <f t="shared" si="304"/>
        <v>NO</v>
      </c>
      <c r="OR27" s="235" t="str">
        <f t="shared" si="305"/>
        <v/>
      </c>
      <c r="OS27" s="235" t="str">
        <f t="shared" si="306"/>
        <v/>
      </c>
      <c r="OT27" s="235" t="str">
        <f t="shared" si="307"/>
        <v/>
      </c>
      <c r="OU27" s="235" t="str">
        <f t="shared" si="308"/>
        <v/>
      </c>
      <c r="OV27" s="235" t="str">
        <f t="shared" si="309"/>
        <v/>
      </c>
      <c r="OW27" s="235" t="str">
        <f t="shared" si="310"/>
        <v/>
      </c>
      <c r="OX27" s="235" t="str">
        <f t="shared" si="311"/>
        <v/>
      </c>
      <c r="OY27" s="235" t="str">
        <f t="shared" si="312"/>
        <v/>
      </c>
      <c r="OZ27" s="235" t="str">
        <f t="shared" si="313"/>
        <v/>
      </c>
      <c r="PA27" s="235" t="str">
        <f t="shared" si="314"/>
        <v/>
      </c>
      <c r="PB27" s="235" t="str">
        <f t="shared" si="315"/>
        <v/>
      </c>
      <c r="PC27" s="235" t="str">
        <f t="shared" si="316"/>
        <v/>
      </c>
      <c r="PD27" s="235" t="str">
        <f t="shared" si="317"/>
        <v/>
      </c>
      <c r="PE27" s="235" t="str">
        <f t="shared" si="318"/>
        <v/>
      </c>
      <c r="PF27" s="235" t="str">
        <f t="shared" si="319"/>
        <v/>
      </c>
      <c r="PG27" s="235" t="str">
        <f t="shared" si="320"/>
        <v/>
      </c>
      <c r="PH27" s="235" t="str">
        <f t="shared" si="321"/>
        <v/>
      </c>
      <c r="PI27" s="235" t="str">
        <f t="shared" si="322"/>
        <v/>
      </c>
      <c r="PJ27" s="134" t="str">
        <f t="shared" si="323"/>
        <v>jenis, sifat, karakter dan teknik pengolahan kerang, kaca, keramik dan botol plastik</v>
      </c>
      <c r="PK27" s="134" t="str">
        <f t="shared" si="324"/>
        <v/>
      </c>
      <c r="PL27" s="134" t="str">
        <f t="shared" si="325"/>
        <v/>
      </c>
      <c r="PM27" s="134" t="str">
        <f t="shared" si="326"/>
        <v/>
      </c>
      <c r="PN27" s="134" t="str">
        <f t="shared" si="327"/>
        <v/>
      </c>
      <c r="PO27" s="134" t="str">
        <f t="shared" si="328"/>
        <v/>
      </c>
      <c r="PP27" s="134" t="str">
        <f t="shared" si="329"/>
        <v/>
      </c>
      <c r="PQ27" s="134" t="str">
        <f t="shared" si="330"/>
        <v/>
      </c>
      <c r="PR27" s="134" t="str">
        <f t="shared" si="331"/>
        <v/>
      </c>
      <c r="PS27" s="134" t="str">
        <f t="shared" si="332"/>
        <v/>
      </c>
      <c r="PT27" s="134" t="str">
        <f t="shared" si="333"/>
        <v/>
      </c>
      <c r="PU27" s="134" t="str">
        <f t="shared" si="334"/>
        <v/>
      </c>
      <c r="PV27" s="134" t="str">
        <f t="shared" si="335"/>
        <v/>
      </c>
      <c r="PW27" s="134" t="str">
        <f t="shared" si="336"/>
        <v/>
      </c>
      <c r="PX27" s="134" t="str">
        <f t="shared" si="337"/>
        <v/>
      </c>
      <c r="PY27" s="134" t="str">
        <f t="shared" si="338"/>
        <v/>
      </c>
      <c r="PZ27" s="134" t="str">
        <f t="shared" si="339"/>
        <v/>
      </c>
      <c r="QA27" s="134" t="str">
        <f t="shared" si="340"/>
        <v/>
      </c>
      <c r="QB27" s="134" t="str">
        <f t="shared" si="341"/>
        <v/>
      </c>
      <c r="QC27" s="134" t="str">
        <f t="shared" si="342"/>
        <v/>
      </c>
      <c r="QD27" s="134" t="str">
        <f>IF(MT27=MW27,"",IF(MV27="","",IF(MV27&gt;=KONVERSI!$A$7,'KI3'!MW27&amp;" dalam"&amp;PJ27&amp;PK27&amp;PL27&amp;PM27&amp;PN27&amp;PO27&amp;PP27&amp;PQ27&amp;PR27&amp;PS27&amp;PT27&amp;PU27&amp;PV27&amp;PW27&amp;PX27&amp;PY27&amp;PZ27&amp;QA27&amp;QB27&amp;QC27,KONVERSI!$C$18&amp;" dalam"&amp;PJ27&amp;PK27&amp;PL27&amp;PM27&amp;PN27&amp;PO27&amp;PP27&amp;PQ27&amp;PR27&amp;PS27&amp;PT27&amp;PU27&amp;PV27&amp;PW27&amp;PX27&amp;PY27&amp;PZ27&amp;QA27&amp;QB27&amp;QC27)))</f>
        <v/>
      </c>
      <c r="QE27" s="134" t="str">
        <f t="shared" si="343"/>
        <v/>
      </c>
      <c r="QF27" s="236">
        <f t="shared" si="172"/>
        <v>1</v>
      </c>
      <c r="QG27" s="134" t="str">
        <f t="shared" si="173"/>
        <v>Baik dalam prinsip perancangan, pembuatan dan penyajian produk kerajinan kerang, kaca, keramik dan botol plastik yang kreatif dan inovati.  </v>
      </c>
    </row>
    <row r="28" ht="27.6" customHeight="1" spans="1:449">
      <c r="A28" s="136"/>
      <c r="B28" s="177">
        <v>20</v>
      </c>
      <c r="C28" s="178" t="str">
        <f>siswa!C24</f>
        <v>RICKY VELY SITANGGANG</v>
      </c>
      <c r="D28" s="174">
        <f>siswa!D24</f>
        <v>2830</v>
      </c>
      <c r="E28" s="175">
        <v>86</v>
      </c>
      <c r="F28" s="175">
        <v>86</v>
      </c>
      <c r="G28" s="248"/>
      <c r="H28" s="176"/>
      <c r="I28" s="176"/>
      <c r="J28" s="175">
        <v>88</v>
      </c>
      <c r="K28" s="176"/>
      <c r="L28" s="223">
        <f t="shared" si="174"/>
        <v>86.8</v>
      </c>
      <c r="M28" s="250">
        <v>86</v>
      </c>
      <c r="N28" s="250">
        <v>86</v>
      </c>
      <c r="O28" s="248"/>
      <c r="P28" s="176"/>
      <c r="Q28" s="176"/>
      <c r="R28" s="250">
        <v>86</v>
      </c>
      <c r="S28" s="176"/>
      <c r="T28" s="223">
        <f t="shared" si="175"/>
        <v>86</v>
      </c>
      <c r="U28" s="248"/>
      <c r="V28" s="248"/>
      <c r="W28" s="248"/>
      <c r="X28" s="176"/>
      <c r="Y28" s="176"/>
      <c r="Z28" s="250"/>
      <c r="AA28" s="176"/>
      <c r="AB28" s="223">
        <f t="shared" si="176"/>
        <v>0</v>
      </c>
      <c r="AC28" s="248"/>
      <c r="AD28" s="248"/>
      <c r="AE28" s="248"/>
      <c r="AF28" s="248"/>
      <c r="AG28" s="176"/>
      <c r="AH28" s="250"/>
      <c r="AI28" s="176"/>
      <c r="AJ28" s="223">
        <f t="shared" si="177"/>
        <v>0</v>
      </c>
      <c r="AK28" s="181"/>
      <c r="AL28" s="176"/>
      <c r="AM28" s="176"/>
      <c r="AN28" s="176"/>
      <c r="AO28" s="176"/>
      <c r="AP28" s="176"/>
      <c r="AQ28" s="176"/>
      <c r="AR28" s="223">
        <f t="shared" si="178"/>
        <v>0</v>
      </c>
      <c r="AS28" s="181"/>
      <c r="AT28" s="176"/>
      <c r="AU28" s="176"/>
      <c r="AV28" s="176"/>
      <c r="AW28" s="176"/>
      <c r="AX28" s="176"/>
      <c r="AY28" s="176"/>
      <c r="AZ28" s="223">
        <f t="shared" si="179"/>
        <v>0</v>
      </c>
      <c r="BA28" s="181"/>
      <c r="BB28" s="176"/>
      <c r="BC28" s="176"/>
      <c r="BD28" s="176"/>
      <c r="BE28" s="176"/>
      <c r="BF28" s="176"/>
      <c r="BG28" s="176"/>
      <c r="BH28" s="223">
        <f t="shared" si="180"/>
        <v>0</v>
      </c>
      <c r="BI28" s="181"/>
      <c r="BJ28" s="176"/>
      <c r="BK28" s="176"/>
      <c r="BL28" s="176"/>
      <c r="BM28" s="176"/>
      <c r="BN28" s="176"/>
      <c r="BO28" s="176"/>
      <c r="BP28" s="223">
        <f t="shared" si="181"/>
        <v>0</v>
      </c>
      <c r="BQ28" s="181"/>
      <c r="BR28" s="176"/>
      <c r="BS28" s="176"/>
      <c r="BT28" s="176"/>
      <c r="BU28" s="176"/>
      <c r="BV28" s="176"/>
      <c r="BW28" s="176"/>
      <c r="BX28" s="223">
        <f t="shared" si="182"/>
        <v>0</v>
      </c>
      <c r="BY28" s="181"/>
      <c r="BZ28" s="176"/>
      <c r="CA28" s="176"/>
      <c r="CB28" s="176"/>
      <c r="CC28" s="176"/>
      <c r="CD28" s="176"/>
      <c r="CE28" s="176"/>
      <c r="CF28" s="223">
        <f t="shared" si="183"/>
        <v>0</v>
      </c>
      <c r="CG28" s="181"/>
      <c r="CH28" s="176"/>
      <c r="CI28" s="176"/>
      <c r="CJ28" s="176"/>
      <c r="CK28" s="176"/>
      <c r="CL28" s="176"/>
      <c r="CM28" s="176"/>
      <c r="CN28" s="223">
        <f t="shared" si="184"/>
        <v>0</v>
      </c>
      <c r="CO28" s="181"/>
      <c r="CP28" s="176"/>
      <c r="CQ28" s="176"/>
      <c r="CR28" s="176"/>
      <c r="CS28" s="176"/>
      <c r="CT28" s="176"/>
      <c r="CU28" s="176"/>
      <c r="CV28" s="223">
        <f t="shared" si="185"/>
        <v>0</v>
      </c>
      <c r="CW28" s="181"/>
      <c r="CX28" s="176"/>
      <c r="CY28" s="176"/>
      <c r="CZ28" s="176"/>
      <c r="DA28" s="176"/>
      <c r="DB28" s="176"/>
      <c r="DC28" s="176"/>
      <c r="DD28" s="223">
        <f t="shared" si="186"/>
        <v>0</v>
      </c>
      <c r="DE28" s="181"/>
      <c r="DF28" s="176"/>
      <c r="DG28" s="176"/>
      <c r="DH28" s="176"/>
      <c r="DI28" s="176"/>
      <c r="DJ28" s="176"/>
      <c r="DK28" s="176"/>
      <c r="DL28" s="223">
        <f t="shared" si="187"/>
        <v>0</v>
      </c>
      <c r="DM28" s="181"/>
      <c r="DN28" s="176"/>
      <c r="DO28" s="176"/>
      <c r="DP28" s="176"/>
      <c r="DQ28" s="176"/>
      <c r="DR28" s="176"/>
      <c r="DS28" s="176"/>
      <c r="DT28" s="223">
        <f t="shared" si="188"/>
        <v>0</v>
      </c>
      <c r="DU28" s="181"/>
      <c r="DV28" s="176"/>
      <c r="DW28" s="176"/>
      <c r="DX28" s="176"/>
      <c r="DY28" s="176"/>
      <c r="DZ28" s="176"/>
      <c r="EA28" s="176"/>
      <c r="EB28" s="223">
        <f t="shared" si="189"/>
        <v>0</v>
      </c>
      <c r="EC28" s="181"/>
      <c r="ED28" s="176"/>
      <c r="EE28" s="176"/>
      <c r="EF28" s="176"/>
      <c r="EG28" s="176"/>
      <c r="EH28" s="176"/>
      <c r="EI28" s="176"/>
      <c r="EJ28" s="223">
        <f t="shared" si="190"/>
        <v>0</v>
      </c>
      <c r="EK28" s="181"/>
      <c r="EL28" s="176"/>
      <c r="EM28" s="176"/>
      <c r="EN28" s="176"/>
      <c r="EO28" s="176"/>
      <c r="EP28" s="176"/>
      <c r="EQ28" s="176"/>
      <c r="ER28" s="223">
        <f t="shared" si="191"/>
        <v>0</v>
      </c>
      <c r="ES28" s="181"/>
      <c r="ET28" s="176"/>
      <c r="EU28" s="176"/>
      <c r="EV28" s="176"/>
      <c r="EW28" s="176"/>
      <c r="EX28" s="176"/>
      <c r="EY28" s="176"/>
      <c r="EZ28" s="223">
        <f t="shared" si="192"/>
        <v>0</v>
      </c>
      <c r="FA28" s="181"/>
      <c r="FB28" s="176"/>
      <c r="FC28" s="176"/>
      <c r="FD28" s="176"/>
      <c r="FE28" s="176"/>
      <c r="FF28" s="176"/>
      <c r="FG28" s="176"/>
      <c r="FH28" s="223">
        <f t="shared" si="193"/>
        <v>0</v>
      </c>
      <c r="FI28" s="291">
        <f t="shared" si="194"/>
        <v>86</v>
      </c>
      <c r="FJ28" s="250">
        <v>74</v>
      </c>
      <c r="FK28" s="250"/>
      <c r="FL28" s="291">
        <f t="shared" si="195"/>
        <v>82</v>
      </c>
      <c r="FM28" s="312" t="str">
        <f>IFERROR(IF(FL28="","",IF(FL28&gt;=KONVERSI!$A$5,KONVERSI!$D$5,IF(FL28&gt;=KONVERSI!$A$6,KONVERSI!$D$6,IF(FL28&gt;=KONVERSI!$A$7,KONVERSI!$D$7,KONVERSI!$D$8)))),"")</f>
        <v>C</v>
      </c>
      <c r="FN28" s="232" t="str">
        <f t="shared" si="196"/>
        <v>Tuntas</v>
      </c>
      <c r="FO28" s="313"/>
      <c r="FP28" s="314">
        <f t="shared" si="197"/>
        <v>86</v>
      </c>
      <c r="FQ28" s="194">
        <f t="shared" si="33"/>
        <v>86</v>
      </c>
      <c r="FR28" s="194">
        <f t="shared" si="34"/>
        <v>86</v>
      </c>
      <c r="FS28" s="194" t="str">
        <f t="shared" si="35"/>
        <v/>
      </c>
      <c r="FT28" s="194" t="str">
        <f t="shared" si="36"/>
        <v/>
      </c>
      <c r="FU28" s="194" t="str">
        <f t="shared" si="37"/>
        <v/>
      </c>
      <c r="FV28" s="194">
        <f t="shared" si="38"/>
        <v>86.8</v>
      </c>
      <c r="FW28" s="194">
        <f t="shared" si="39"/>
        <v>86</v>
      </c>
      <c r="FX28" s="194">
        <f t="shared" si="344"/>
        <v>86</v>
      </c>
      <c r="FY28" s="194" t="str">
        <f t="shared" si="40"/>
        <v/>
      </c>
      <c r="FZ28" s="194" t="str">
        <f t="shared" si="41"/>
        <v/>
      </c>
      <c r="GA28" s="194" t="str">
        <f t="shared" si="42"/>
        <v/>
      </c>
      <c r="GB28" s="194">
        <f t="shared" si="43"/>
        <v>86</v>
      </c>
      <c r="GC28" s="194" t="str">
        <f t="shared" si="44"/>
        <v/>
      </c>
      <c r="GD28" s="194" t="str">
        <f t="shared" si="45"/>
        <v/>
      </c>
      <c r="GE28" s="194" t="str">
        <f t="shared" si="46"/>
        <v/>
      </c>
      <c r="GF28" s="194" t="str">
        <f t="shared" si="47"/>
        <v/>
      </c>
      <c r="GG28" s="194" t="str">
        <f t="shared" si="48"/>
        <v/>
      </c>
      <c r="GH28" s="194" t="str">
        <f t="shared" si="49"/>
        <v/>
      </c>
      <c r="GI28" s="194" t="str">
        <f t="shared" si="50"/>
        <v/>
      </c>
      <c r="GJ28" s="194" t="str">
        <f t="shared" si="51"/>
        <v/>
      </c>
      <c r="GK28" s="194" t="str">
        <f t="shared" si="52"/>
        <v/>
      </c>
      <c r="GL28" s="194" t="str">
        <f t="shared" si="53"/>
        <v/>
      </c>
      <c r="GM28" s="194" t="str">
        <f t="shared" si="54"/>
        <v/>
      </c>
      <c r="GN28" s="194" t="str">
        <f t="shared" si="55"/>
        <v/>
      </c>
      <c r="GO28" s="194" t="str">
        <f t="shared" si="56"/>
        <v/>
      </c>
      <c r="GP28" s="194" t="str">
        <f t="shared" si="57"/>
        <v/>
      </c>
      <c r="GQ28" s="194" t="str">
        <f t="shared" si="58"/>
        <v/>
      </c>
      <c r="GR28" s="194" t="str">
        <f t="shared" si="59"/>
        <v/>
      </c>
      <c r="GS28" s="194" t="str">
        <f t="shared" si="60"/>
        <v/>
      </c>
      <c r="GT28" s="194" t="str">
        <f t="shared" si="61"/>
        <v/>
      </c>
      <c r="GU28" s="194" t="str">
        <f t="shared" si="62"/>
        <v/>
      </c>
      <c r="GV28" s="194" t="str">
        <f t="shared" si="63"/>
        <v/>
      </c>
      <c r="GW28" s="194" t="str">
        <f t="shared" si="64"/>
        <v/>
      </c>
      <c r="GX28" s="194" t="str">
        <f t="shared" si="65"/>
        <v/>
      </c>
      <c r="GY28" s="194" t="str">
        <f t="shared" si="66"/>
        <v/>
      </c>
      <c r="GZ28" s="194" t="str">
        <f t="shared" si="67"/>
        <v/>
      </c>
      <c r="HA28" s="194" t="str">
        <f t="shared" si="68"/>
        <v/>
      </c>
      <c r="HB28" s="194" t="str">
        <f t="shared" si="69"/>
        <v/>
      </c>
      <c r="HC28" s="194" t="str">
        <f t="shared" si="70"/>
        <v/>
      </c>
      <c r="HD28" s="194" t="str">
        <f t="shared" si="71"/>
        <v/>
      </c>
      <c r="HE28" s="194" t="str">
        <f t="shared" si="72"/>
        <v/>
      </c>
      <c r="HF28" s="194" t="str">
        <f t="shared" si="73"/>
        <v/>
      </c>
      <c r="HG28" s="194" t="str">
        <f t="shared" si="74"/>
        <v/>
      </c>
      <c r="HH28" s="194" t="str">
        <f t="shared" si="75"/>
        <v/>
      </c>
      <c r="HI28" s="194" t="str">
        <f t="shared" si="76"/>
        <v/>
      </c>
      <c r="HJ28" s="194" t="str">
        <f t="shared" si="77"/>
        <v/>
      </c>
      <c r="HK28" s="194" t="str">
        <f t="shared" si="78"/>
        <v/>
      </c>
      <c r="HL28" s="194" t="str">
        <f t="shared" si="79"/>
        <v/>
      </c>
      <c r="HM28" s="194" t="str">
        <f t="shared" si="80"/>
        <v/>
      </c>
      <c r="HN28" s="194" t="str">
        <f t="shared" si="81"/>
        <v/>
      </c>
      <c r="HO28" s="194" t="str">
        <f t="shared" si="82"/>
        <v/>
      </c>
      <c r="HP28" s="194" t="str">
        <f t="shared" si="83"/>
        <v/>
      </c>
      <c r="HQ28" s="194" t="str">
        <f t="shared" si="84"/>
        <v/>
      </c>
      <c r="HR28" s="194" t="str">
        <f t="shared" si="85"/>
        <v/>
      </c>
      <c r="HS28" s="194" t="str">
        <f t="shared" si="86"/>
        <v/>
      </c>
      <c r="HT28" s="194" t="str">
        <f t="shared" si="87"/>
        <v/>
      </c>
      <c r="HU28" s="194" t="str">
        <f t="shared" si="88"/>
        <v/>
      </c>
      <c r="HV28" s="194" t="str">
        <f t="shared" si="89"/>
        <v/>
      </c>
      <c r="HW28" s="194" t="str">
        <f t="shared" si="90"/>
        <v/>
      </c>
      <c r="HX28" s="194" t="str">
        <f t="shared" si="91"/>
        <v/>
      </c>
      <c r="HY28" s="194" t="str">
        <f t="shared" si="92"/>
        <v/>
      </c>
      <c r="HZ28" s="194" t="str">
        <f t="shared" si="93"/>
        <v/>
      </c>
      <c r="IA28" s="194" t="str">
        <f t="shared" si="94"/>
        <v/>
      </c>
      <c r="IB28" s="194" t="str">
        <f t="shared" si="95"/>
        <v/>
      </c>
      <c r="IC28" s="194" t="str">
        <f t="shared" si="96"/>
        <v/>
      </c>
      <c r="ID28" s="194" t="str">
        <f t="shared" si="97"/>
        <v/>
      </c>
      <c r="IE28" s="194" t="str">
        <f t="shared" si="98"/>
        <v/>
      </c>
      <c r="IF28" s="194" t="str">
        <f t="shared" si="99"/>
        <v/>
      </c>
      <c r="IG28" s="194" t="str">
        <f t="shared" si="100"/>
        <v/>
      </c>
      <c r="IH28" s="194" t="str">
        <f t="shared" si="101"/>
        <v/>
      </c>
      <c r="II28" s="194" t="str">
        <f t="shared" si="102"/>
        <v/>
      </c>
      <c r="IJ28" s="194" t="str">
        <f t="shared" si="103"/>
        <v/>
      </c>
      <c r="IK28" s="194" t="str">
        <f t="shared" si="104"/>
        <v/>
      </c>
      <c r="IL28" s="194" t="str">
        <f t="shared" si="105"/>
        <v/>
      </c>
      <c r="IM28" s="194" t="str">
        <f t="shared" si="106"/>
        <v/>
      </c>
      <c r="IN28" s="194" t="str">
        <f t="shared" si="107"/>
        <v/>
      </c>
      <c r="IO28" s="194" t="str">
        <f t="shared" si="108"/>
        <v/>
      </c>
      <c r="IP28" s="194" t="str">
        <f t="shared" si="109"/>
        <v/>
      </c>
      <c r="IQ28" s="194" t="str">
        <f t="shared" si="110"/>
        <v/>
      </c>
      <c r="IR28" s="194" t="str">
        <f t="shared" si="111"/>
        <v/>
      </c>
      <c r="IS28" s="194" t="str">
        <f t="shared" si="112"/>
        <v/>
      </c>
      <c r="IT28" s="194" t="str">
        <f t="shared" si="113"/>
        <v/>
      </c>
      <c r="IU28" s="194" t="str">
        <f t="shared" si="114"/>
        <v/>
      </c>
      <c r="IV28" s="194" t="str">
        <f t="shared" si="115"/>
        <v/>
      </c>
      <c r="IW28" s="194" t="str">
        <f t="shared" si="116"/>
        <v/>
      </c>
      <c r="IX28" s="194" t="str">
        <f t="shared" si="117"/>
        <v/>
      </c>
      <c r="IY28" s="194" t="str">
        <f t="shared" si="118"/>
        <v/>
      </c>
      <c r="IZ28" s="194" t="str">
        <f t="shared" si="119"/>
        <v/>
      </c>
      <c r="JA28" s="194" t="str">
        <f t="shared" si="120"/>
        <v/>
      </c>
      <c r="JB28" s="194" t="str">
        <f t="shared" si="121"/>
        <v/>
      </c>
      <c r="JC28" s="194" t="str">
        <f t="shared" si="122"/>
        <v/>
      </c>
      <c r="JD28" s="194" t="str">
        <f t="shared" si="123"/>
        <v/>
      </c>
      <c r="JE28" s="194" t="str">
        <f t="shared" si="124"/>
        <v/>
      </c>
      <c r="JF28" s="194" t="str">
        <f t="shared" si="125"/>
        <v/>
      </c>
      <c r="JG28" s="194" t="str">
        <f t="shared" si="126"/>
        <v/>
      </c>
      <c r="JH28" s="194" t="str">
        <f t="shared" si="127"/>
        <v/>
      </c>
      <c r="JI28" s="194" t="str">
        <f t="shared" si="128"/>
        <v/>
      </c>
      <c r="JJ28" s="194" t="str">
        <f t="shared" si="129"/>
        <v/>
      </c>
      <c r="JK28" s="194" t="str">
        <f t="shared" si="130"/>
        <v/>
      </c>
      <c r="JL28" s="194" t="str">
        <f t="shared" si="131"/>
        <v/>
      </c>
      <c r="JM28" s="194" t="str">
        <f t="shared" si="132"/>
        <v/>
      </c>
      <c r="JN28" s="194" t="str">
        <f t="shared" si="133"/>
        <v/>
      </c>
      <c r="JO28" s="194" t="str">
        <f t="shared" si="134"/>
        <v/>
      </c>
      <c r="JP28" s="194" t="str">
        <f t="shared" si="135"/>
        <v/>
      </c>
      <c r="JQ28" s="194" t="str">
        <f t="shared" si="136"/>
        <v/>
      </c>
      <c r="JR28" s="194" t="str">
        <f t="shared" si="137"/>
        <v/>
      </c>
      <c r="JS28" s="194" t="str">
        <f t="shared" si="138"/>
        <v/>
      </c>
      <c r="JT28" s="194" t="str">
        <f t="shared" si="139"/>
        <v/>
      </c>
      <c r="JU28" s="194" t="str">
        <f t="shared" si="140"/>
        <v/>
      </c>
      <c r="JV28" s="194" t="str">
        <f t="shared" si="141"/>
        <v/>
      </c>
      <c r="JW28" s="194" t="str">
        <f t="shared" si="142"/>
        <v/>
      </c>
      <c r="JX28" s="194" t="str">
        <f t="shared" si="143"/>
        <v/>
      </c>
      <c r="JY28" s="194" t="str">
        <f t="shared" si="144"/>
        <v/>
      </c>
      <c r="JZ28" s="194" t="str">
        <f t="shared" si="145"/>
        <v/>
      </c>
      <c r="KA28" s="194" t="str">
        <f t="shared" si="146"/>
        <v/>
      </c>
      <c r="KB28" s="194" t="str">
        <f t="shared" si="147"/>
        <v/>
      </c>
      <c r="KC28" s="194" t="str">
        <f t="shared" si="148"/>
        <v/>
      </c>
      <c r="KD28" s="194" t="str">
        <f t="shared" si="149"/>
        <v/>
      </c>
      <c r="KE28" s="194" t="str">
        <f t="shared" si="150"/>
        <v/>
      </c>
      <c r="KF28" s="194" t="str">
        <f t="shared" si="151"/>
        <v/>
      </c>
      <c r="KG28" s="194">
        <f>SUM(LE28:LX28)/COUNTA(RefKI3KI4!$B$5:$B$24)</f>
        <v>86.4</v>
      </c>
      <c r="KH28" s="232">
        <f t="shared" si="198"/>
        <v>0</v>
      </c>
      <c r="KI28" s="340" t="str">
        <f t="shared" si="199"/>
        <v>ok</v>
      </c>
      <c r="KJ28" s="340" t="str">
        <f t="shared" si="200"/>
        <v>ok</v>
      </c>
      <c r="KK28" s="340" t="str">
        <f t="shared" si="201"/>
        <v/>
      </c>
      <c r="KL28" s="340" t="str">
        <f t="shared" si="202"/>
        <v/>
      </c>
      <c r="KM28" s="340" t="str">
        <f t="shared" si="203"/>
        <v/>
      </c>
      <c r="KN28" s="340" t="str">
        <f t="shared" si="204"/>
        <v/>
      </c>
      <c r="KO28" s="340" t="str">
        <f t="shared" si="205"/>
        <v/>
      </c>
      <c r="KP28" s="340" t="str">
        <f t="shared" si="206"/>
        <v/>
      </c>
      <c r="KQ28" s="340" t="str">
        <f t="shared" si="207"/>
        <v/>
      </c>
      <c r="KR28" s="340" t="str">
        <f t="shared" si="208"/>
        <v/>
      </c>
      <c r="KS28" s="340" t="str">
        <f t="shared" si="209"/>
        <v/>
      </c>
      <c r="KT28" s="340" t="str">
        <f t="shared" si="210"/>
        <v/>
      </c>
      <c r="KU28" s="340" t="str">
        <f t="shared" si="211"/>
        <v/>
      </c>
      <c r="KV28" s="340" t="str">
        <f t="shared" si="212"/>
        <v/>
      </c>
      <c r="KW28" s="340" t="str">
        <f t="shared" si="213"/>
        <v/>
      </c>
      <c r="KX28" s="340" t="str">
        <f t="shared" si="214"/>
        <v/>
      </c>
      <c r="KY28" s="340" t="str">
        <f t="shared" si="215"/>
        <v/>
      </c>
      <c r="KZ28" s="340" t="str">
        <f t="shared" si="216"/>
        <v/>
      </c>
      <c r="LA28" s="340" t="str">
        <f t="shared" si="217"/>
        <v/>
      </c>
      <c r="LB28" s="340" t="str">
        <f t="shared" si="218"/>
        <v/>
      </c>
      <c r="LC28" s="340">
        <f t="shared" si="219"/>
        <v>0</v>
      </c>
      <c r="LD28" s="228">
        <v>20</v>
      </c>
      <c r="LE28" s="229">
        <f t="shared" si="220"/>
        <v>86.8</v>
      </c>
      <c r="LF28" s="229">
        <f t="shared" si="221"/>
        <v>86</v>
      </c>
      <c r="LG28" s="229" t="str">
        <f t="shared" si="222"/>
        <v/>
      </c>
      <c r="LH28" s="229" t="str">
        <f t="shared" si="223"/>
        <v/>
      </c>
      <c r="LI28" s="229" t="str">
        <f t="shared" si="224"/>
        <v/>
      </c>
      <c r="LJ28" s="229" t="str">
        <f t="shared" si="225"/>
        <v/>
      </c>
      <c r="LK28" s="229" t="str">
        <f t="shared" si="226"/>
        <v/>
      </c>
      <c r="LL28" s="229" t="str">
        <f t="shared" si="227"/>
        <v/>
      </c>
      <c r="LM28" s="229" t="str">
        <f t="shared" si="228"/>
        <v/>
      </c>
      <c r="LN28" s="229" t="str">
        <f t="shared" si="229"/>
        <v/>
      </c>
      <c r="LO28" s="229" t="str">
        <f t="shared" si="230"/>
        <v/>
      </c>
      <c r="LP28" s="229" t="str">
        <f t="shared" si="231"/>
        <v/>
      </c>
      <c r="LQ28" s="229" t="str">
        <f t="shared" si="232"/>
        <v/>
      </c>
      <c r="LR28" s="229" t="str">
        <f t="shared" si="233"/>
        <v/>
      </c>
      <c r="LS28" s="229" t="str">
        <f t="shared" si="234"/>
        <v/>
      </c>
      <c r="LT28" s="229" t="str">
        <f t="shared" si="235"/>
        <v/>
      </c>
      <c r="LU28" s="229" t="str">
        <f t="shared" si="236"/>
        <v/>
      </c>
      <c r="LV28" s="229" t="str">
        <f t="shared" si="237"/>
        <v/>
      </c>
      <c r="LW28" s="229" t="str">
        <f t="shared" si="238"/>
        <v/>
      </c>
      <c r="LX28" s="229" t="str">
        <f t="shared" si="239"/>
        <v/>
      </c>
      <c r="LY28" s="231">
        <f t="shared" si="240"/>
        <v>86.8</v>
      </c>
      <c r="LZ28" s="231">
        <f t="shared" si="241"/>
        <v>86</v>
      </c>
      <c r="MA28" s="231" t="str">
        <f t="shared" si="242"/>
        <v/>
      </c>
      <c r="MB28" s="231" t="str">
        <f t="shared" si="243"/>
        <v/>
      </c>
      <c r="MC28" s="231" t="str">
        <f t="shared" si="244"/>
        <v/>
      </c>
      <c r="MD28" s="231" t="str">
        <f t="shared" si="245"/>
        <v/>
      </c>
      <c r="ME28" s="231" t="str">
        <f t="shared" si="246"/>
        <v/>
      </c>
      <c r="MF28" s="231" t="str">
        <f t="shared" si="247"/>
        <v/>
      </c>
      <c r="MG28" s="231" t="str">
        <f t="shared" si="248"/>
        <v/>
      </c>
      <c r="MH28" s="231" t="str">
        <f t="shared" si="249"/>
        <v/>
      </c>
      <c r="MI28" s="231" t="str">
        <f t="shared" si="250"/>
        <v/>
      </c>
      <c r="MJ28" s="231" t="str">
        <f t="shared" si="251"/>
        <v/>
      </c>
      <c r="MK28" s="231" t="str">
        <f t="shared" si="252"/>
        <v/>
      </c>
      <c r="ML28" s="231" t="str">
        <f t="shared" si="253"/>
        <v/>
      </c>
      <c r="MM28" s="231" t="str">
        <f t="shared" si="254"/>
        <v/>
      </c>
      <c r="MN28" s="231" t="str">
        <f t="shared" si="255"/>
        <v/>
      </c>
      <c r="MO28" s="231" t="str">
        <f t="shared" si="256"/>
        <v/>
      </c>
      <c r="MP28" s="231" t="str">
        <f t="shared" si="257"/>
        <v/>
      </c>
      <c r="MQ28" s="231" t="str">
        <f t="shared" si="258"/>
        <v/>
      </c>
      <c r="MR28" s="231" t="str">
        <f t="shared" si="259"/>
        <v/>
      </c>
      <c r="MS28" s="231">
        <f t="shared" si="154"/>
        <v>86.8</v>
      </c>
      <c r="MT28" s="232" t="str">
        <f>IF(MS28="","",IF(MS28&gt;=KONVERSI!$A$5,KONVERSI!$E$5,IF(MS28&gt;=KONVERSI!$A$6,KONVERSI!$E$6,IF(MS28&gt;=KONVERSI!$A$7,KONVERSI!$E$7,KONVERSI!$E$8))))</f>
        <v>Baik</v>
      </c>
      <c r="MU28" s="233" t="str">
        <f t="shared" si="155"/>
        <v>Baik dalamjenis, sifat, karakter dan teknik pengolahan kerang, kaca, keramik dan botol plastik</v>
      </c>
      <c r="MV28" s="234">
        <f t="shared" si="260"/>
        <v>86</v>
      </c>
      <c r="MW28" s="232" t="str">
        <f>IF(MV28="","",IF(MV28&gt;=KONVERSI!$A$5,KONVERSI!$E$5,IF(MV28&gt;=KONVERSI!$A$6,KONVERSI!$E$6,IF(MV28&gt;=KONVERSI!$A$7,KONVERSI!$E$7,KONVERSI!$E$8))))</f>
        <v>Baik</v>
      </c>
      <c r="MX28" s="134" t="str">
        <f>IF(FI28&lt;$FN$4," "&amp;KONVERSI!$C$18&amp;INDEX($LY$8:$MR$8,MATCH(MV28,LY28:MR28,0))&amp;".",IF(KG28=0,"",IF(MV28&lt;&gt;0,MU28&amp;MW28&amp;".",MU28&amp;".")))</f>
        <v>Baik dalamjenis, sifat, karakter dan teknik pengolahan kerang, kaca, keramik dan botol plastikBaik.</v>
      </c>
      <c r="MY28" s="235" t="str">
        <f t="shared" si="261"/>
        <v>OK</v>
      </c>
      <c r="MZ28" s="235" t="str">
        <f t="shared" si="262"/>
        <v>NO</v>
      </c>
      <c r="NA28" s="235" t="str">
        <f t="shared" si="263"/>
        <v/>
      </c>
      <c r="NB28" s="235" t="str">
        <f t="shared" si="264"/>
        <v/>
      </c>
      <c r="NC28" s="235" t="str">
        <f t="shared" si="265"/>
        <v/>
      </c>
      <c r="ND28" s="235" t="str">
        <f t="shared" si="266"/>
        <v/>
      </c>
      <c r="NE28" s="235" t="str">
        <f t="shared" si="267"/>
        <v/>
      </c>
      <c r="NF28" s="235" t="str">
        <f t="shared" si="268"/>
        <v/>
      </c>
      <c r="NG28" s="235" t="str">
        <f t="shared" si="269"/>
        <v/>
      </c>
      <c r="NH28" s="235" t="str">
        <f t="shared" si="270"/>
        <v/>
      </c>
      <c r="NI28" s="235" t="str">
        <f t="shared" si="271"/>
        <v/>
      </c>
      <c r="NJ28" s="235" t="str">
        <f t="shared" si="272"/>
        <v/>
      </c>
      <c r="NK28" s="235" t="str">
        <f t="shared" si="273"/>
        <v/>
      </c>
      <c r="NL28" s="235" t="str">
        <f t="shared" si="274"/>
        <v/>
      </c>
      <c r="NM28" s="235" t="str">
        <f t="shared" si="275"/>
        <v/>
      </c>
      <c r="NN28" s="235" t="str">
        <f t="shared" si="276"/>
        <v/>
      </c>
      <c r="NO28" s="235" t="str">
        <f t="shared" si="277"/>
        <v/>
      </c>
      <c r="NP28" s="235" t="str">
        <f t="shared" si="278"/>
        <v/>
      </c>
      <c r="NQ28" s="235" t="str">
        <f t="shared" si="279"/>
        <v/>
      </c>
      <c r="NR28" s="235" t="str">
        <f t="shared" si="280"/>
        <v/>
      </c>
      <c r="NS28" s="134" t="str">
        <f t="shared" si="281"/>
        <v>jenis, sifat, karakter dan teknik pengolahan kerang, kaca, keramik dan botol plastik</v>
      </c>
      <c r="NT28" s="134" t="str">
        <f t="shared" si="282"/>
        <v/>
      </c>
      <c r="NU28" s="134" t="str">
        <f t="shared" si="283"/>
        <v/>
      </c>
      <c r="NV28" s="134" t="str">
        <f t="shared" si="284"/>
        <v/>
      </c>
      <c r="NW28" s="134" t="str">
        <f t="shared" si="285"/>
        <v/>
      </c>
      <c r="NX28" s="134" t="str">
        <f t="shared" si="286"/>
        <v/>
      </c>
      <c r="NY28" s="134" t="str">
        <f t="shared" si="287"/>
        <v/>
      </c>
      <c r="NZ28" s="134" t="str">
        <f t="shared" si="288"/>
        <v/>
      </c>
      <c r="OA28" s="134" t="str">
        <f t="shared" si="289"/>
        <v/>
      </c>
      <c r="OB28" s="134" t="str">
        <f t="shared" si="290"/>
        <v/>
      </c>
      <c r="OC28" s="134" t="str">
        <f t="shared" si="291"/>
        <v/>
      </c>
      <c r="OD28" s="134" t="str">
        <f t="shared" si="292"/>
        <v/>
      </c>
      <c r="OE28" s="134" t="str">
        <f t="shared" si="293"/>
        <v/>
      </c>
      <c r="OF28" s="134" t="str">
        <f t="shared" si="294"/>
        <v/>
      </c>
      <c r="OG28" s="134" t="str">
        <f t="shared" si="295"/>
        <v/>
      </c>
      <c r="OH28" s="134" t="str">
        <f t="shared" si="296"/>
        <v/>
      </c>
      <c r="OI28" s="134" t="str">
        <f t="shared" si="297"/>
        <v/>
      </c>
      <c r="OJ28" s="134" t="str">
        <f t="shared" si="298"/>
        <v/>
      </c>
      <c r="OK28" s="134" t="str">
        <f t="shared" si="299"/>
        <v/>
      </c>
      <c r="OL28" s="134" t="str">
        <f t="shared" si="300"/>
        <v/>
      </c>
      <c r="OM28" s="134" t="str">
        <f t="shared" si="301"/>
        <v>Baik dalam jenis, sifat, karakter dan teknik pengolahan kerang, kaca, keramik dan botol plastik</v>
      </c>
      <c r="ON28" s="134" t="str">
        <f t="shared" si="302"/>
        <v>Baik dalam jenis, sifat, karakter dan teknik pengolahan kerang, kaca, keramik dan botol plasti.  </v>
      </c>
      <c r="OO28" s="236">
        <f t="shared" si="169"/>
        <v>1</v>
      </c>
      <c r="OP28" s="235" t="str">
        <f t="shared" si="303"/>
        <v>NO</v>
      </c>
      <c r="OQ28" s="235" t="str">
        <f t="shared" si="304"/>
        <v>OK</v>
      </c>
      <c r="OR28" s="235" t="str">
        <f t="shared" si="305"/>
        <v/>
      </c>
      <c r="OS28" s="235" t="str">
        <f t="shared" si="306"/>
        <v/>
      </c>
      <c r="OT28" s="235" t="str">
        <f t="shared" si="307"/>
        <v/>
      </c>
      <c r="OU28" s="235" t="str">
        <f t="shared" si="308"/>
        <v/>
      </c>
      <c r="OV28" s="235" t="str">
        <f t="shared" si="309"/>
        <v/>
      </c>
      <c r="OW28" s="235" t="str">
        <f t="shared" si="310"/>
        <v/>
      </c>
      <c r="OX28" s="235" t="str">
        <f t="shared" si="311"/>
        <v/>
      </c>
      <c r="OY28" s="235" t="str">
        <f t="shared" si="312"/>
        <v/>
      </c>
      <c r="OZ28" s="235" t="str">
        <f t="shared" si="313"/>
        <v/>
      </c>
      <c r="PA28" s="235" t="str">
        <f t="shared" si="314"/>
        <v/>
      </c>
      <c r="PB28" s="235" t="str">
        <f t="shared" si="315"/>
        <v/>
      </c>
      <c r="PC28" s="235" t="str">
        <f t="shared" si="316"/>
        <v/>
      </c>
      <c r="PD28" s="235" t="str">
        <f t="shared" si="317"/>
        <v/>
      </c>
      <c r="PE28" s="235" t="str">
        <f t="shared" si="318"/>
        <v/>
      </c>
      <c r="PF28" s="235" t="str">
        <f t="shared" si="319"/>
        <v/>
      </c>
      <c r="PG28" s="235" t="str">
        <f t="shared" si="320"/>
        <v/>
      </c>
      <c r="PH28" s="235" t="str">
        <f t="shared" si="321"/>
        <v/>
      </c>
      <c r="PI28" s="235" t="str">
        <f t="shared" si="322"/>
        <v/>
      </c>
      <c r="PJ28" s="134" t="str">
        <f t="shared" si="323"/>
        <v/>
      </c>
      <c r="PK28" s="134" t="str">
        <f t="shared" si="324"/>
        <v>prinsip perancangan, pembuatan dan penyajian produk kerajinan kerang, kaca, keramik dan botol plastik yang kreatif dan inovatif</v>
      </c>
      <c r="PL28" s="134" t="str">
        <f t="shared" si="325"/>
        <v/>
      </c>
      <c r="PM28" s="134" t="str">
        <f t="shared" si="326"/>
        <v/>
      </c>
      <c r="PN28" s="134" t="str">
        <f t="shared" si="327"/>
        <v/>
      </c>
      <c r="PO28" s="134" t="str">
        <f t="shared" si="328"/>
        <v/>
      </c>
      <c r="PP28" s="134" t="str">
        <f t="shared" si="329"/>
        <v/>
      </c>
      <c r="PQ28" s="134" t="str">
        <f t="shared" si="330"/>
        <v/>
      </c>
      <c r="PR28" s="134" t="str">
        <f t="shared" si="331"/>
        <v/>
      </c>
      <c r="PS28" s="134" t="str">
        <f t="shared" si="332"/>
        <v/>
      </c>
      <c r="PT28" s="134" t="str">
        <f t="shared" si="333"/>
        <v/>
      </c>
      <c r="PU28" s="134" t="str">
        <f t="shared" si="334"/>
        <v/>
      </c>
      <c r="PV28" s="134" t="str">
        <f t="shared" si="335"/>
        <v/>
      </c>
      <c r="PW28" s="134" t="str">
        <f t="shared" si="336"/>
        <v/>
      </c>
      <c r="PX28" s="134" t="str">
        <f t="shared" si="337"/>
        <v/>
      </c>
      <c r="PY28" s="134" t="str">
        <f t="shared" si="338"/>
        <v/>
      </c>
      <c r="PZ28" s="134" t="str">
        <f t="shared" si="339"/>
        <v/>
      </c>
      <c r="QA28" s="134" t="str">
        <f t="shared" si="340"/>
        <v/>
      </c>
      <c r="QB28" s="134" t="str">
        <f t="shared" si="341"/>
        <v/>
      </c>
      <c r="QC28" s="134" t="str">
        <f t="shared" si="342"/>
        <v/>
      </c>
      <c r="QD28" s="134" t="str">
        <f>IF(MT28=MW28,"",IF(MV28="","",IF(MV28&gt;=KONVERSI!$A$7,'KI3'!MW28&amp;" dalam"&amp;PJ28&amp;PK28&amp;PL28&amp;PM28&amp;PN28&amp;PO28&amp;PP28&amp;PQ28&amp;PR28&amp;PS28&amp;PT28&amp;PU28&amp;PV28&amp;PW28&amp;PX28&amp;PY28&amp;PZ28&amp;QA28&amp;QB28&amp;QC28,KONVERSI!$C$18&amp;" dalam"&amp;PJ28&amp;PK28&amp;PL28&amp;PM28&amp;PN28&amp;PO28&amp;PP28&amp;PQ28&amp;PR28&amp;PS28&amp;PT28&amp;PU28&amp;PV28&amp;PW28&amp;PX28&amp;PY28&amp;PZ28&amp;QA28&amp;QB28&amp;QC28)))</f>
        <v/>
      </c>
      <c r="QE28" s="134" t="str">
        <f t="shared" si="343"/>
        <v/>
      </c>
      <c r="QF28" s="236">
        <f t="shared" si="172"/>
        <v>1</v>
      </c>
      <c r="QG28" s="134" t="str">
        <f t="shared" si="173"/>
        <v>Baik dalam jenis, sifat, karakter dan teknik pengolahan kerang, kaca, keramik dan botol plasti.  </v>
      </c>
    </row>
    <row r="29" ht="27.6" customHeight="1" spans="1:449">
      <c r="A29" s="136"/>
      <c r="B29" s="177">
        <v>21</v>
      </c>
      <c r="C29" s="178" t="str">
        <f>siswa!C25</f>
        <v>RISKI HARUN ARITONANG</v>
      </c>
      <c r="D29" s="174">
        <f>siswa!D25</f>
        <v>2832</v>
      </c>
      <c r="E29" s="175">
        <v>84</v>
      </c>
      <c r="F29" s="175">
        <v>84</v>
      </c>
      <c r="G29" s="248"/>
      <c r="H29" s="176"/>
      <c r="I29" s="176"/>
      <c r="J29" s="175">
        <v>82</v>
      </c>
      <c r="K29" s="176"/>
      <c r="L29" s="223">
        <f t="shared" si="174"/>
        <v>83.2</v>
      </c>
      <c r="M29" s="250">
        <v>84</v>
      </c>
      <c r="N29" s="250">
        <v>84</v>
      </c>
      <c r="O29" s="248"/>
      <c r="P29" s="176"/>
      <c r="Q29" s="176"/>
      <c r="R29" s="250">
        <v>84</v>
      </c>
      <c r="S29" s="176"/>
      <c r="T29" s="223">
        <f t="shared" si="175"/>
        <v>84</v>
      </c>
      <c r="U29" s="248"/>
      <c r="V29" s="248"/>
      <c r="W29" s="248"/>
      <c r="X29" s="176"/>
      <c r="Y29" s="176"/>
      <c r="Z29" s="250"/>
      <c r="AA29" s="176"/>
      <c r="AB29" s="223">
        <f t="shared" si="176"/>
        <v>0</v>
      </c>
      <c r="AC29" s="248"/>
      <c r="AD29" s="248"/>
      <c r="AE29" s="248"/>
      <c r="AF29" s="248"/>
      <c r="AG29" s="176"/>
      <c r="AH29" s="250"/>
      <c r="AI29" s="176"/>
      <c r="AJ29" s="223">
        <f t="shared" si="177"/>
        <v>0</v>
      </c>
      <c r="AK29" s="181"/>
      <c r="AL29" s="176"/>
      <c r="AM29" s="176"/>
      <c r="AN29" s="176"/>
      <c r="AO29" s="176"/>
      <c r="AP29" s="176"/>
      <c r="AQ29" s="176"/>
      <c r="AR29" s="223">
        <f t="shared" si="178"/>
        <v>0</v>
      </c>
      <c r="AS29" s="181"/>
      <c r="AT29" s="176"/>
      <c r="AU29" s="176"/>
      <c r="AV29" s="176"/>
      <c r="AW29" s="176"/>
      <c r="AX29" s="176"/>
      <c r="AY29" s="176"/>
      <c r="AZ29" s="223">
        <f t="shared" si="179"/>
        <v>0</v>
      </c>
      <c r="BA29" s="181"/>
      <c r="BB29" s="176"/>
      <c r="BC29" s="176"/>
      <c r="BD29" s="176"/>
      <c r="BE29" s="176"/>
      <c r="BF29" s="176"/>
      <c r="BG29" s="176"/>
      <c r="BH29" s="223">
        <f t="shared" si="180"/>
        <v>0</v>
      </c>
      <c r="BI29" s="181"/>
      <c r="BJ29" s="176"/>
      <c r="BK29" s="176"/>
      <c r="BL29" s="176"/>
      <c r="BM29" s="176"/>
      <c r="BN29" s="176"/>
      <c r="BO29" s="176"/>
      <c r="BP29" s="223">
        <f t="shared" si="181"/>
        <v>0</v>
      </c>
      <c r="BQ29" s="181"/>
      <c r="BR29" s="176"/>
      <c r="BS29" s="176"/>
      <c r="BT29" s="176"/>
      <c r="BU29" s="176"/>
      <c r="BV29" s="176"/>
      <c r="BW29" s="176"/>
      <c r="BX29" s="223">
        <f t="shared" si="182"/>
        <v>0</v>
      </c>
      <c r="BY29" s="181"/>
      <c r="BZ29" s="176"/>
      <c r="CA29" s="176"/>
      <c r="CB29" s="176"/>
      <c r="CC29" s="176"/>
      <c r="CD29" s="176"/>
      <c r="CE29" s="176"/>
      <c r="CF29" s="223">
        <f t="shared" si="183"/>
        <v>0</v>
      </c>
      <c r="CG29" s="181"/>
      <c r="CH29" s="176"/>
      <c r="CI29" s="176"/>
      <c r="CJ29" s="176"/>
      <c r="CK29" s="176"/>
      <c r="CL29" s="176"/>
      <c r="CM29" s="176"/>
      <c r="CN29" s="223">
        <f t="shared" si="184"/>
        <v>0</v>
      </c>
      <c r="CO29" s="181"/>
      <c r="CP29" s="176"/>
      <c r="CQ29" s="176"/>
      <c r="CR29" s="176"/>
      <c r="CS29" s="176"/>
      <c r="CT29" s="176"/>
      <c r="CU29" s="176"/>
      <c r="CV29" s="223">
        <f t="shared" si="185"/>
        <v>0</v>
      </c>
      <c r="CW29" s="181"/>
      <c r="CX29" s="176"/>
      <c r="CY29" s="176"/>
      <c r="CZ29" s="176"/>
      <c r="DA29" s="176"/>
      <c r="DB29" s="176"/>
      <c r="DC29" s="176"/>
      <c r="DD29" s="223">
        <f t="shared" si="186"/>
        <v>0</v>
      </c>
      <c r="DE29" s="181"/>
      <c r="DF29" s="176"/>
      <c r="DG29" s="176"/>
      <c r="DH29" s="176"/>
      <c r="DI29" s="176"/>
      <c r="DJ29" s="176"/>
      <c r="DK29" s="176"/>
      <c r="DL29" s="223">
        <f t="shared" si="187"/>
        <v>0</v>
      </c>
      <c r="DM29" s="181"/>
      <c r="DN29" s="176"/>
      <c r="DO29" s="176"/>
      <c r="DP29" s="176"/>
      <c r="DQ29" s="176"/>
      <c r="DR29" s="176"/>
      <c r="DS29" s="176"/>
      <c r="DT29" s="223">
        <f t="shared" si="188"/>
        <v>0</v>
      </c>
      <c r="DU29" s="181"/>
      <c r="DV29" s="176"/>
      <c r="DW29" s="176"/>
      <c r="DX29" s="176"/>
      <c r="DY29" s="176"/>
      <c r="DZ29" s="176"/>
      <c r="EA29" s="176"/>
      <c r="EB29" s="223">
        <f t="shared" si="189"/>
        <v>0</v>
      </c>
      <c r="EC29" s="181"/>
      <c r="ED29" s="176"/>
      <c r="EE29" s="176"/>
      <c r="EF29" s="176"/>
      <c r="EG29" s="176"/>
      <c r="EH29" s="176"/>
      <c r="EI29" s="176"/>
      <c r="EJ29" s="223">
        <f t="shared" si="190"/>
        <v>0</v>
      </c>
      <c r="EK29" s="181"/>
      <c r="EL29" s="176"/>
      <c r="EM29" s="176"/>
      <c r="EN29" s="176"/>
      <c r="EO29" s="176"/>
      <c r="EP29" s="176"/>
      <c r="EQ29" s="176"/>
      <c r="ER29" s="223">
        <f t="shared" si="191"/>
        <v>0</v>
      </c>
      <c r="ES29" s="181"/>
      <c r="ET29" s="176"/>
      <c r="EU29" s="176"/>
      <c r="EV29" s="176"/>
      <c r="EW29" s="176"/>
      <c r="EX29" s="176"/>
      <c r="EY29" s="176"/>
      <c r="EZ29" s="223">
        <f t="shared" si="192"/>
        <v>0</v>
      </c>
      <c r="FA29" s="181"/>
      <c r="FB29" s="176"/>
      <c r="FC29" s="176"/>
      <c r="FD29" s="176"/>
      <c r="FE29" s="176"/>
      <c r="FF29" s="176"/>
      <c r="FG29" s="176"/>
      <c r="FH29" s="223">
        <f t="shared" si="193"/>
        <v>0</v>
      </c>
      <c r="FI29" s="291">
        <f t="shared" si="194"/>
        <v>84</v>
      </c>
      <c r="FJ29" s="250">
        <v>74</v>
      </c>
      <c r="FK29" s="250"/>
      <c r="FL29" s="291">
        <f t="shared" si="195"/>
        <v>81</v>
      </c>
      <c r="FM29" s="312" t="str">
        <f>IFERROR(IF(FL29="","",IF(FL29&gt;=KONVERSI!$A$5,KONVERSI!$D$5,IF(FL29&gt;=KONVERSI!$A$6,KONVERSI!$D$6,IF(FL29&gt;=KONVERSI!$A$7,KONVERSI!$D$7,KONVERSI!$D$8)))),"")</f>
        <v>C</v>
      </c>
      <c r="FN29" s="232" t="str">
        <f t="shared" si="196"/>
        <v>Tuntas</v>
      </c>
      <c r="FO29" s="313"/>
      <c r="FP29" s="314">
        <f t="shared" si="197"/>
        <v>84</v>
      </c>
      <c r="FQ29" s="194">
        <f t="shared" si="33"/>
        <v>84</v>
      </c>
      <c r="FR29" s="194">
        <f t="shared" si="34"/>
        <v>84</v>
      </c>
      <c r="FS29" s="194" t="str">
        <f t="shared" si="35"/>
        <v/>
      </c>
      <c r="FT29" s="194" t="str">
        <f t="shared" si="36"/>
        <v/>
      </c>
      <c r="FU29" s="194" t="str">
        <f t="shared" si="37"/>
        <v/>
      </c>
      <c r="FV29" s="194">
        <f t="shared" si="38"/>
        <v>83.2</v>
      </c>
      <c r="FW29" s="194">
        <f t="shared" si="39"/>
        <v>84</v>
      </c>
      <c r="FX29" s="194">
        <f t="shared" si="344"/>
        <v>84</v>
      </c>
      <c r="FY29" s="194" t="str">
        <f t="shared" si="40"/>
        <v/>
      </c>
      <c r="FZ29" s="194" t="str">
        <f t="shared" si="41"/>
        <v/>
      </c>
      <c r="GA29" s="194" t="str">
        <f t="shared" si="42"/>
        <v/>
      </c>
      <c r="GB29" s="194">
        <f t="shared" si="43"/>
        <v>84</v>
      </c>
      <c r="GC29" s="194" t="str">
        <f t="shared" si="44"/>
        <v/>
      </c>
      <c r="GD29" s="194" t="str">
        <f t="shared" si="45"/>
        <v/>
      </c>
      <c r="GE29" s="194" t="str">
        <f t="shared" si="46"/>
        <v/>
      </c>
      <c r="GF29" s="194" t="str">
        <f t="shared" si="47"/>
        <v/>
      </c>
      <c r="GG29" s="194" t="str">
        <f t="shared" si="48"/>
        <v/>
      </c>
      <c r="GH29" s="194" t="str">
        <f t="shared" si="49"/>
        <v/>
      </c>
      <c r="GI29" s="194" t="str">
        <f t="shared" si="50"/>
        <v/>
      </c>
      <c r="GJ29" s="194" t="str">
        <f t="shared" si="51"/>
        <v/>
      </c>
      <c r="GK29" s="194" t="str">
        <f t="shared" si="52"/>
        <v/>
      </c>
      <c r="GL29" s="194" t="str">
        <f t="shared" si="53"/>
        <v/>
      </c>
      <c r="GM29" s="194" t="str">
        <f t="shared" si="54"/>
        <v/>
      </c>
      <c r="GN29" s="194" t="str">
        <f t="shared" si="55"/>
        <v/>
      </c>
      <c r="GO29" s="194" t="str">
        <f t="shared" si="56"/>
        <v/>
      </c>
      <c r="GP29" s="194" t="str">
        <f t="shared" si="57"/>
        <v/>
      </c>
      <c r="GQ29" s="194" t="str">
        <f t="shared" si="58"/>
        <v/>
      </c>
      <c r="GR29" s="194" t="str">
        <f t="shared" si="59"/>
        <v/>
      </c>
      <c r="GS29" s="194" t="str">
        <f t="shared" si="60"/>
        <v/>
      </c>
      <c r="GT29" s="194" t="str">
        <f t="shared" si="61"/>
        <v/>
      </c>
      <c r="GU29" s="194" t="str">
        <f t="shared" si="62"/>
        <v/>
      </c>
      <c r="GV29" s="194" t="str">
        <f t="shared" si="63"/>
        <v/>
      </c>
      <c r="GW29" s="194" t="str">
        <f t="shared" si="64"/>
        <v/>
      </c>
      <c r="GX29" s="194" t="str">
        <f t="shared" si="65"/>
        <v/>
      </c>
      <c r="GY29" s="194" t="str">
        <f t="shared" si="66"/>
        <v/>
      </c>
      <c r="GZ29" s="194" t="str">
        <f t="shared" si="67"/>
        <v/>
      </c>
      <c r="HA29" s="194" t="str">
        <f t="shared" si="68"/>
        <v/>
      </c>
      <c r="HB29" s="194" t="str">
        <f t="shared" si="69"/>
        <v/>
      </c>
      <c r="HC29" s="194" t="str">
        <f t="shared" si="70"/>
        <v/>
      </c>
      <c r="HD29" s="194" t="str">
        <f t="shared" si="71"/>
        <v/>
      </c>
      <c r="HE29" s="194" t="str">
        <f t="shared" si="72"/>
        <v/>
      </c>
      <c r="HF29" s="194" t="str">
        <f t="shared" si="73"/>
        <v/>
      </c>
      <c r="HG29" s="194" t="str">
        <f t="shared" si="74"/>
        <v/>
      </c>
      <c r="HH29" s="194" t="str">
        <f t="shared" si="75"/>
        <v/>
      </c>
      <c r="HI29" s="194" t="str">
        <f t="shared" si="76"/>
        <v/>
      </c>
      <c r="HJ29" s="194" t="str">
        <f t="shared" si="77"/>
        <v/>
      </c>
      <c r="HK29" s="194" t="str">
        <f t="shared" si="78"/>
        <v/>
      </c>
      <c r="HL29" s="194" t="str">
        <f t="shared" si="79"/>
        <v/>
      </c>
      <c r="HM29" s="194" t="str">
        <f t="shared" si="80"/>
        <v/>
      </c>
      <c r="HN29" s="194" t="str">
        <f t="shared" si="81"/>
        <v/>
      </c>
      <c r="HO29" s="194" t="str">
        <f t="shared" si="82"/>
        <v/>
      </c>
      <c r="HP29" s="194" t="str">
        <f t="shared" si="83"/>
        <v/>
      </c>
      <c r="HQ29" s="194" t="str">
        <f t="shared" si="84"/>
        <v/>
      </c>
      <c r="HR29" s="194" t="str">
        <f t="shared" si="85"/>
        <v/>
      </c>
      <c r="HS29" s="194" t="str">
        <f t="shared" si="86"/>
        <v/>
      </c>
      <c r="HT29" s="194" t="str">
        <f t="shared" si="87"/>
        <v/>
      </c>
      <c r="HU29" s="194" t="str">
        <f t="shared" si="88"/>
        <v/>
      </c>
      <c r="HV29" s="194" t="str">
        <f t="shared" si="89"/>
        <v/>
      </c>
      <c r="HW29" s="194" t="str">
        <f t="shared" si="90"/>
        <v/>
      </c>
      <c r="HX29" s="194" t="str">
        <f t="shared" si="91"/>
        <v/>
      </c>
      <c r="HY29" s="194" t="str">
        <f t="shared" si="92"/>
        <v/>
      </c>
      <c r="HZ29" s="194" t="str">
        <f t="shared" si="93"/>
        <v/>
      </c>
      <c r="IA29" s="194" t="str">
        <f t="shared" si="94"/>
        <v/>
      </c>
      <c r="IB29" s="194" t="str">
        <f t="shared" si="95"/>
        <v/>
      </c>
      <c r="IC29" s="194" t="str">
        <f t="shared" si="96"/>
        <v/>
      </c>
      <c r="ID29" s="194" t="str">
        <f t="shared" si="97"/>
        <v/>
      </c>
      <c r="IE29" s="194" t="str">
        <f t="shared" si="98"/>
        <v/>
      </c>
      <c r="IF29" s="194" t="str">
        <f t="shared" si="99"/>
        <v/>
      </c>
      <c r="IG29" s="194" t="str">
        <f t="shared" si="100"/>
        <v/>
      </c>
      <c r="IH29" s="194" t="str">
        <f t="shared" si="101"/>
        <v/>
      </c>
      <c r="II29" s="194" t="str">
        <f t="shared" si="102"/>
        <v/>
      </c>
      <c r="IJ29" s="194" t="str">
        <f t="shared" si="103"/>
        <v/>
      </c>
      <c r="IK29" s="194" t="str">
        <f t="shared" si="104"/>
        <v/>
      </c>
      <c r="IL29" s="194" t="str">
        <f t="shared" si="105"/>
        <v/>
      </c>
      <c r="IM29" s="194" t="str">
        <f t="shared" si="106"/>
        <v/>
      </c>
      <c r="IN29" s="194" t="str">
        <f t="shared" si="107"/>
        <v/>
      </c>
      <c r="IO29" s="194" t="str">
        <f t="shared" si="108"/>
        <v/>
      </c>
      <c r="IP29" s="194" t="str">
        <f t="shared" si="109"/>
        <v/>
      </c>
      <c r="IQ29" s="194" t="str">
        <f t="shared" si="110"/>
        <v/>
      </c>
      <c r="IR29" s="194" t="str">
        <f t="shared" si="111"/>
        <v/>
      </c>
      <c r="IS29" s="194" t="str">
        <f t="shared" si="112"/>
        <v/>
      </c>
      <c r="IT29" s="194" t="str">
        <f t="shared" si="113"/>
        <v/>
      </c>
      <c r="IU29" s="194" t="str">
        <f t="shared" si="114"/>
        <v/>
      </c>
      <c r="IV29" s="194" t="str">
        <f t="shared" si="115"/>
        <v/>
      </c>
      <c r="IW29" s="194" t="str">
        <f t="shared" si="116"/>
        <v/>
      </c>
      <c r="IX29" s="194" t="str">
        <f t="shared" si="117"/>
        <v/>
      </c>
      <c r="IY29" s="194" t="str">
        <f t="shared" si="118"/>
        <v/>
      </c>
      <c r="IZ29" s="194" t="str">
        <f t="shared" si="119"/>
        <v/>
      </c>
      <c r="JA29" s="194" t="str">
        <f t="shared" si="120"/>
        <v/>
      </c>
      <c r="JB29" s="194" t="str">
        <f t="shared" si="121"/>
        <v/>
      </c>
      <c r="JC29" s="194" t="str">
        <f t="shared" si="122"/>
        <v/>
      </c>
      <c r="JD29" s="194" t="str">
        <f t="shared" si="123"/>
        <v/>
      </c>
      <c r="JE29" s="194" t="str">
        <f t="shared" si="124"/>
        <v/>
      </c>
      <c r="JF29" s="194" t="str">
        <f t="shared" si="125"/>
        <v/>
      </c>
      <c r="JG29" s="194" t="str">
        <f t="shared" si="126"/>
        <v/>
      </c>
      <c r="JH29" s="194" t="str">
        <f t="shared" si="127"/>
        <v/>
      </c>
      <c r="JI29" s="194" t="str">
        <f t="shared" si="128"/>
        <v/>
      </c>
      <c r="JJ29" s="194" t="str">
        <f t="shared" si="129"/>
        <v/>
      </c>
      <c r="JK29" s="194" t="str">
        <f t="shared" si="130"/>
        <v/>
      </c>
      <c r="JL29" s="194" t="str">
        <f t="shared" si="131"/>
        <v/>
      </c>
      <c r="JM29" s="194" t="str">
        <f t="shared" si="132"/>
        <v/>
      </c>
      <c r="JN29" s="194" t="str">
        <f t="shared" si="133"/>
        <v/>
      </c>
      <c r="JO29" s="194" t="str">
        <f t="shared" si="134"/>
        <v/>
      </c>
      <c r="JP29" s="194" t="str">
        <f t="shared" si="135"/>
        <v/>
      </c>
      <c r="JQ29" s="194" t="str">
        <f t="shared" si="136"/>
        <v/>
      </c>
      <c r="JR29" s="194" t="str">
        <f t="shared" si="137"/>
        <v/>
      </c>
      <c r="JS29" s="194" t="str">
        <f t="shared" si="138"/>
        <v/>
      </c>
      <c r="JT29" s="194" t="str">
        <f t="shared" si="139"/>
        <v/>
      </c>
      <c r="JU29" s="194" t="str">
        <f t="shared" si="140"/>
        <v/>
      </c>
      <c r="JV29" s="194" t="str">
        <f t="shared" si="141"/>
        <v/>
      </c>
      <c r="JW29" s="194" t="str">
        <f t="shared" si="142"/>
        <v/>
      </c>
      <c r="JX29" s="194" t="str">
        <f t="shared" si="143"/>
        <v/>
      </c>
      <c r="JY29" s="194" t="str">
        <f t="shared" si="144"/>
        <v/>
      </c>
      <c r="JZ29" s="194" t="str">
        <f t="shared" si="145"/>
        <v/>
      </c>
      <c r="KA29" s="194" t="str">
        <f t="shared" si="146"/>
        <v/>
      </c>
      <c r="KB29" s="194" t="str">
        <f t="shared" si="147"/>
        <v/>
      </c>
      <c r="KC29" s="194" t="str">
        <f t="shared" si="148"/>
        <v/>
      </c>
      <c r="KD29" s="194" t="str">
        <f t="shared" si="149"/>
        <v/>
      </c>
      <c r="KE29" s="194" t="str">
        <f t="shared" si="150"/>
        <v/>
      </c>
      <c r="KF29" s="194" t="str">
        <f t="shared" si="151"/>
        <v/>
      </c>
      <c r="KG29" s="194">
        <f>SUM(LE29:LX29)/COUNTA(RefKI3KI4!$B$5:$B$24)</f>
        <v>83.6</v>
      </c>
      <c r="KH29" s="232">
        <f t="shared" si="198"/>
        <v>0</v>
      </c>
      <c r="KI29" s="340" t="str">
        <f t="shared" si="199"/>
        <v>ok</v>
      </c>
      <c r="KJ29" s="340" t="str">
        <f t="shared" si="200"/>
        <v>ok</v>
      </c>
      <c r="KK29" s="340" t="str">
        <f t="shared" si="201"/>
        <v/>
      </c>
      <c r="KL29" s="340" t="str">
        <f t="shared" si="202"/>
        <v/>
      </c>
      <c r="KM29" s="340" t="str">
        <f t="shared" si="203"/>
        <v/>
      </c>
      <c r="KN29" s="340" t="str">
        <f t="shared" si="204"/>
        <v/>
      </c>
      <c r="KO29" s="340" t="str">
        <f t="shared" si="205"/>
        <v/>
      </c>
      <c r="KP29" s="340" t="str">
        <f t="shared" si="206"/>
        <v/>
      </c>
      <c r="KQ29" s="340" t="str">
        <f t="shared" si="207"/>
        <v/>
      </c>
      <c r="KR29" s="340" t="str">
        <f t="shared" si="208"/>
        <v/>
      </c>
      <c r="KS29" s="340" t="str">
        <f t="shared" si="209"/>
        <v/>
      </c>
      <c r="KT29" s="340" t="str">
        <f t="shared" si="210"/>
        <v/>
      </c>
      <c r="KU29" s="340" t="str">
        <f t="shared" si="211"/>
        <v/>
      </c>
      <c r="KV29" s="340" t="str">
        <f t="shared" si="212"/>
        <v/>
      </c>
      <c r="KW29" s="340" t="str">
        <f t="shared" si="213"/>
        <v/>
      </c>
      <c r="KX29" s="340" t="str">
        <f t="shared" si="214"/>
        <v/>
      </c>
      <c r="KY29" s="340" t="str">
        <f t="shared" si="215"/>
        <v/>
      </c>
      <c r="KZ29" s="340" t="str">
        <f t="shared" si="216"/>
        <v/>
      </c>
      <c r="LA29" s="340" t="str">
        <f t="shared" si="217"/>
        <v/>
      </c>
      <c r="LB29" s="340" t="str">
        <f t="shared" si="218"/>
        <v/>
      </c>
      <c r="LC29" s="340">
        <f t="shared" si="219"/>
        <v>0</v>
      </c>
      <c r="LD29" s="228">
        <v>21</v>
      </c>
      <c r="LE29" s="229">
        <f t="shared" si="220"/>
        <v>83.2</v>
      </c>
      <c r="LF29" s="229">
        <f t="shared" si="221"/>
        <v>84</v>
      </c>
      <c r="LG29" s="229" t="str">
        <f t="shared" si="222"/>
        <v/>
      </c>
      <c r="LH29" s="229" t="str">
        <f t="shared" si="223"/>
        <v/>
      </c>
      <c r="LI29" s="229" t="str">
        <f t="shared" si="224"/>
        <v/>
      </c>
      <c r="LJ29" s="229" t="str">
        <f t="shared" si="225"/>
        <v/>
      </c>
      <c r="LK29" s="229" t="str">
        <f t="shared" si="226"/>
        <v/>
      </c>
      <c r="LL29" s="229" t="str">
        <f t="shared" si="227"/>
        <v/>
      </c>
      <c r="LM29" s="229" t="str">
        <f t="shared" si="228"/>
        <v/>
      </c>
      <c r="LN29" s="229" t="str">
        <f t="shared" si="229"/>
        <v/>
      </c>
      <c r="LO29" s="229" t="str">
        <f t="shared" si="230"/>
        <v/>
      </c>
      <c r="LP29" s="229" t="str">
        <f t="shared" si="231"/>
        <v/>
      </c>
      <c r="LQ29" s="229" t="str">
        <f t="shared" si="232"/>
        <v/>
      </c>
      <c r="LR29" s="229" t="str">
        <f t="shared" si="233"/>
        <v/>
      </c>
      <c r="LS29" s="229" t="str">
        <f t="shared" si="234"/>
        <v/>
      </c>
      <c r="LT29" s="229" t="str">
        <f t="shared" si="235"/>
        <v/>
      </c>
      <c r="LU29" s="229" t="str">
        <f t="shared" si="236"/>
        <v/>
      </c>
      <c r="LV29" s="229" t="str">
        <f t="shared" si="237"/>
        <v/>
      </c>
      <c r="LW29" s="229" t="str">
        <f t="shared" si="238"/>
        <v/>
      </c>
      <c r="LX29" s="229" t="str">
        <f t="shared" si="239"/>
        <v/>
      </c>
      <c r="LY29" s="231">
        <f t="shared" si="240"/>
        <v>83.2</v>
      </c>
      <c r="LZ29" s="231">
        <f t="shared" si="241"/>
        <v>84</v>
      </c>
      <c r="MA29" s="231" t="str">
        <f t="shared" si="242"/>
        <v/>
      </c>
      <c r="MB29" s="231" t="str">
        <f t="shared" si="243"/>
        <v/>
      </c>
      <c r="MC29" s="231" t="str">
        <f t="shared" si="244"/>
        <v/>
      </c>
      <c r="MD29" s="231" t="str">
        <f t="shared" si="245"/>
        <v/>
      </c>
      <c r="ME29" s="231" t="str">
        <f t="shared" si="246"/>
        <v/>
      </c>
      <c r="MF29" s="231" t="str">
        <f t="shared" si="247"/>
        <v/>
      </c>
      <c r="MG29" s="231" t="str">
        <f t="shared" si="248"/>
        <v/>
      </c>
      <c r="MH29" s="231" t="str">
        <f t="shared" si="249"/>
        <v/>
      </c>
      <c r="MI29" s="231" t="str">
        <f t="shared" si="250"/>
        <v/>
      </c>
      <c r="MJ29" s="231" t="str">
        <f t="shared" si="251"/>
        <v/>
      </c>
      <c r="MK29" s="231" t="str">
        <f t="shared" si="252"/>
        <v/>
      </c>
      <c r="ML29" s="231" t="str">
        <f t="shared" si="253"/>
        <v/>
      </c>
      <c r="MM29" s="231" t="str">
        <f t="shared" si="254"/>
        <v/>
      </c>
      <c r="MN29" s="231" t="str">
        <f t="shared" si="255"/>
        <v/>
      </c>
      <c r="MO29" s="231" t="str">
        <f t="shared" si="256"/>
        <v/>
      </c>
      <c r="MP29" s="231" t="str">
        <f t="shared" si="257"/>
        <v/>
      </c>
      <c r="MQ29" s="231" t="str">
        <f t="shared" si="258"/>
        <v/>
      </c>
      <c r="MR29" s="231" t="str">
        <f t="shared" si="259"/>
        <v/>
      </c>
      <c r="MS29" s="231">
        <f t="shared" si="154"/>
        <v>84</v>
      </c>
      <c r="MT29" s="232" t="str">
        <f>IF(MS29="","",IF(MS29&gt;=KONVERSI!$A$5,KONVERSI!$E$5,IF(MS29&gt;=KONVERSI!$A$6,KONVERSI!$E$6,IF(MS29&gt;=KONVERSI!$A$7,KONVERSI!$E$7,KONVERSI!$E$8))))</f>
        <v>Baik</v>
      </c>
      <c r="MU29" s="233" t="str">
        <f t="shared" si="155"/>
        <v>Baik dalamprinsip perancangan, pembuatan dan penyajian produk kerajinan kerang, kaca, keramik dan botol plastik yang kreatif dan inovatif</v>
      </c>
      <c r="MV29" s="234">
        <f t="shared" si="260"/>
        <v>83.2</v>
      </c>
      <c r="MW29" s="232" t="str">
        <f>IF(MV29="","",IF(MV29&gt;=KONVERSI!$A$5,KONVERSI!$E$5,IF(MV29&gt;=KONVERSI!$A$6,KONVERSI!$E$6,IF(MV29&gt;=KONVERSI!$A$7,KONVERSI!$E$7,KONVERSI!$E$8))))</f>
        <v>Baik</v>
      </c>
      <c r="MX29" s="134" t="str">
        <f>IF(FI29&lt;$FN$4," "&amp;KONVERSI!$C$18&amp;INDEX($LY$8:$MR$8,MATCH(MV29,LY29:MR29,0))&amp;".",IF(KG29=0,"",IF(MV29&lt;&gt;0,MU29&amp;MW29&amp;".",MU29&amp;".")))</f>
        <v>Baik dalamprinsip perancangan, pembuatan dan penyajian produk kerajinan kerang, kaca, keramik dan botol plastik yang kreatif dan inovatifBaik.</v>
      </c>
      <c r="MY29" s="235" t="str">
        <f t="shared" si="261"/>
        <v>NO</v>
      </c>
      <c r="MZ29" s="235" t="str">
        <f t="shared" si="262"/>
        <v>OK</v>
      </c>
      <c r="NA29" s="235" t="str">
        <f t="shared" si="263"/>
        <v/>
      </c>
      <c r="NB29" s="235" t="str">
        <f t="shared" si="264"/>
        <v/>
      </c>
      <c r="NC29" s="235" t="str">
        <f t="shared" si="265"/>
        <v/>
      </c>
      <c r="ND29" s="235" t="str">
        <f t="shared" si="266"/>
        <v/>
      </c>
      <c r="NE29" s="235" t="str">
        <f t="shared" si="267"/>
        <v/>
      </c>
      <c r="NF29" s="235" t="str">
        <f t="shared" si="268"/>
        <v/>
      </c>
      <c r="NG29" s="235" t="str">
        <f t="shared" si="269"/>
        <v/>
      </c>
      <c r="NH29" s="235" t="str">
        <f t="shared" si="270"/>
        <v/>
      </c>
      <c r="NI29" s="235" t="str">
        <f t="shared" si="271"/>
        <v/>
      </c>
      <c r="NJ29" s="235" t="str">
        <f t="shared" si="272"/>
        <v/>
      </c>
      <c r="NK29" s="235" t="str">
        <f t="shared" si="273"/>
        <v/>
      </c>
      <c r="NL29" s="235" t="str">
        <f t="shared" si="274"/>
        <v/>
      </c>
      <c r="NM29" s="235" t="str">
        <f t="shared" si="275"/>
        <v/>
      </c>
      <c r="NN29" s="235" t="str">
        <f t="shared" si="276"/>
        <v/>
      </c>
      <c r="NO29" s="235" t="str">
        <f t="shared" si="277"/>
        <v/>
      </c>
      <c r="NP29" s="235" t="str">
        <f t="shared" si="278"/>
        <v/>
      </c>
      <c r="NQ29" s="235" t="str">
        <f t="shared" si="279"/>
        <v/>
      </c>
      <c r="NR29" s="235" t="str">
        <f t="shared" si="280"/>
        <v/>
      </c>
      <c r="NS29" s="134" t="str">
        <f t="shared" si="281"/>
        <v/>
      </c>
      <c r="NT29" s="134" t="str">
        <f t="shared" si="282"/>
        <v>prinsip perancangan, pembuatan dan penyajian produk kerajinan kerang, kaca, keramik dan botol plastik yang kreatif dan inovatif</v>
      </c>
      <c r="NU29" s="134" t="str">
        <f t="shared" si="283"/>
        <v/>
      </c>
      <c r="NV29" s="134" t="str">
        <f t="shared" si="284"/>
        <v/>
      </c>
      <c r="NW29" s="134" t="str">
        <f t="shared" si="285"/>
        <v/>
      </c>
      <c r="NX29" s="134" t="str">
        <f t="shared" si="286"/>
        <v/>
      </c>
      <c r="NY29" s="134" t="str">
        <f t="shared" si="287"/>
        <v/>
      </c>
      <c r="NZ29" s="134" t="str">
        <f t="shared" si="288"/>
        <v/>
      </c>
      <c r="OA29" s="134" t="str">
        <f t="shared" si="289"/>
        <v/>
      </c>
      <c r="OB29" s="134" t="str">
        <f t="shared" si="290"/>
        <v/>
      </c>
      <c r="OC29" s="134" t="str">
        <f t="shared" si="291"/>
        <v/>
      </c>
      <c r="OD29" s="134" t="str">
        <f t="shared" si="292"/>
        <v/>
      </c>
      <c r="OE29" s="134" t="str">
        <f t="shared" si="293"/>
        <v/>
      </c>
      <c r="OF29" s="134" t="str">
        <f t="shared" si="294"/>
        <v/>
      </c>
      <c r="OG29" s="134" t="str">
        <f t="shared" si="295"/>
        <v/>
      </c>
      <c r="OH29" s="134" t="str">
        <f t="shared" si="296"/>
        <v/>
      </c>
      <c r="OI29" s="134" t="str">
        <f t="shared" si="297"/>
        <v/>
      </c>
      <c r="OJ29" s="134" t="str">
        <f t="shared" si="298"/>
        <v/>
      </c>
      <c r="OK29" s="134" t="str">
        <f t="shared" si="299"/>
        <v/>
      </c>
      <c r="OL29" s="134" t="str">
        <f t="shared" si="300"/>
        <v/>
      </c>
      <c r="OM29" s="134" t="str">
        <f t="shared" si="301"/>
        <v>Baik dalam prinsip perancangan, pembuatan dan penyajian produk kerajinan kerang, kaca, keramik dan botol plastik yang kreatif dan inovatif</v>
      </c>
      <c r="ON29" s="134" t="str">
        <f t="shared" si="302"/>
        <v>Baik dalam prinsip perancangan, pembuatan dan penyajian produk kerajinan kerang, kaca, keramik dan botol plastik yang kreatif dan inovati.  </v>
      </c>
      <c r="OO29" s="236">
        <f t="shared" si="169"/>
        <v>1</v>
      </c>
      <c r="OP29" s="235" t="str">
        <f t="shared" si="303"/>
        <v>OK</v>
      </c>
      <c r="OQ29" s="235" t="str">
        <f t="shared" si="304"/>
        <v>NO</v>
      </c>
      <c r="OR29" s="235" t="str">
        <f t="shared" si="305"/>
        <v/>
      </c>
      <c r="OS29" s="235" t="str">
        <f t="shared" si="306"/>
        <v/>
      </c>
      <c r="OT29" s="235" t="str">
        <f t="shared" si="307"/>
        <v/>
      </c>
      <c r="OU29" s="235" t="str">
        <f t="shared" si="308"/>
        <v/>
      </c>
      <c r="OV29" s="235" t="str">
        <f t="shared" si="309"/>
        <v/>
      </c>
      <c r="OW29" s="235" t="str">
        <f t="shared" si="310"/>
        <v/>
      </c>
      <c r="OX29" s="235" t="str">
        <f t="shared" si="311"/>
        <v/>
      </c>
      <c r="OY29" s="235" t="str">
        <f t="shared" si="312"/>
        <v/>
      </c>
      <c r="OZ29" s="235" t="str">
        <f t="shared" si="313"/>
        <v/>
      </c>
      <c r="PA29" s="235" t="str">
        <f t="shared" si="314"/>
        <v/>
      </c>
      <c r="PB29" s="235" t="str">
        <f t="shared" si="315"/>
        <v/>
      </c>
      <c r="PC29" s="235" t="str">
        <f t="shared" si="316"/>
        <v/>
      </c>
      <c r="PD29" s="235" t="str">
        <f t="shared" si="317"/>
        <v/>
      </c>
      <c r="PE29" s="235" t="str">
        <f t="shared" si="318"/>
        <v/>
      </c>
      <c r="PF29" s="235" t="str">
        <f t="shared" si="319"/>
        <v/>
      </c>
      <c r="PG29" s="235" t="str">
        <f t="shared" si="320"/>
        <v/>
      </c>
      <c r="PH29" s="235" t="str">
        <f t="shared" si="321"/>
        <v/>
      </c>
      <c r="PI29" s="235" t="str">
        <f t="shared" si="322"/>
        <v/>
      </c>
      <c r="PJ29" s="134" t="str">
        <f t="shared" si="323"/>
        <v>jenis, sifat, karakter dan teknik pengolahan kerang, kaca, keramik dan botol plastik</v>
      </c>
      <c r="PK29" s="134" t="str">
        <f t="shared" si="324"/>
        <v/>
      </c>
      <c r="PL29" s="134" t="str">
        <f t="shared" si="325"/>
        <v/>
      </c>
      <c r="PM29" s="134" t="str">
        <f t="shared" si="326"/>
        <v/>
      </c>
      <c r="PN29" s="134" t="str">
        <f t="shared" si="327"/>
        <v/>
      </c>
      <c r="PO29" s="134" t="str">
        <f t="shared" si="328"/>
        <v/>
      </c>
      <c r="PP29" s="134" t="str">
        <f t="shared" si="329"/>
        <v/>
      </c>
      <c r="PQ29" s="134" t="str">
        <f t="shared" si="330"/>
        <v/>
      </c>
      <c r="PR29" s="134" t="str">
        <f t="shared" si="331"/>
        <v/>
      </c>
      <c r="PS29" s="134" t="str">
        <f t="shared" si="332"/>
        <v/>
      </c>
      <c r="PT29" s="134" t="str">
        <f t="shared" si="333"/>
        <v/>
      </c>
      <c r="PU29" s="134" t="str">
        <f t="shared" si="334"/>
        <v/>
      </c>
      <c r="PV29" s="134" t="str">
        <f t="shared" si="335"/>
        <v/>
      </c>
      <c r="PW29" s="134" t="str">
        <f t="shared" si="336"/>
        <v/>
      </c>
      <c r="PX29" s="134" t="str">
        <f t="shared" si="337"/>
        <v/>
      </c>
      <c r="PY29" s="134" t="str">
        <f t="shared" si="338"/>
        <v/>
      </c>
      <c r="PZ29" s="134" t="str">
        <f t="shared" si="339"/>
        <v/>
      </c>
      <c r="QA29" s="134" t="str">
        <f t="shared" si="340"/>
        <v/>
      </c>
      <c r="QB29" s="134" t="str">
        <f t="shared" si="341"/>
        <v/>
      </c>
      <c r="QC29" s="134" t="str">
        <f t="shared" si="342"/>
        <v/>
      </c>
      <c r="QD29" s="134" t="str">
        <f>IF(MT29=MW29,"",IF(MV29="","",IF(MV29&gt;=KONVERSI!$A$7,'KI3'!MW29&amp;" dalam"&amp;PJ29&amp;PK29&amp;PL29&amp;PM29&amp;PN29&amp;PO29&amp;PP29&amp;PQ29&amp;PR29&amp;PS29&amp;PT29&amp;PU29&amp;PV29&amp;PW29&amp;PX29&amp;PY29&amp;PZ29&amp;QA29&amp;QB29&amp;QC29,KONVERSI!$C$18&amp;" dalam"&amp;PJ29&amp;PK29&amp;PL29&amp;PM29&amp;PN29&amp;PO29&amp;PP29&amp;PQ29&amp;PR29&amp;PS29&amp;PT29&amp;PU29&amp;PV29&amp;PW29&amp;PX29&amp;PY29&amp;PZ29&amp;QA29&amp;QB29&amp;QC29)))</f>
        <v/>
      </c>
      <c r="QE29" s="134" t="str">
        <f t="shared" si="343"/>
        <v/>
      </c>
      <c r="QF29" s="236">
        <f t="shared" si="172"/>
        <v>1</v>
      </c>
      <c r="QG29" s="134" t="str">
        <f t="shared" si="173"/>
        <v>Baik dalam prinsip perancangan, pembuatan dan penyajian produk kerajinan kerang, kaca, keramik dan botol plastik yang kreatif dan inovati.  </v>
      </c>
    </row>
    <row r="30" ht="27.6" customHeight="1" spans="1:449">
      <c r="A30" s="136"/>
      <c r="B30" s="177">
        <v>22</v>
      </c>
      <c r="C30" s="178" t="str">
        <f>siswa!C26</f>
        <v>RIZAL AFRIANDI HUTAGAOL</v>
      </c>
      <c r="D30" s="174">
        <f>siswa!D26</f>
        <v>2834</v>
      </c>
      <c r="E30" s="175">
        <v>84</v>
      </c>
      <c r="F30" s="175">
        <v>84</v>
      </c>
      <c r="G30" s="248"/>
      <c r="H30" s="176"/>
      <c r="I30" s="176"/>
      <c r="J30" s="175">
        <v>88</v>
      </c>
      <c r="K30" s="176"/>
      <c r="L30" s="223">
        <f t="shared" si="174"/>
        <v>85.6</v>
      </c>
      <c r="M30" s="250">
        <v>84</v>
      </c>
      <c r="N30" s="250">
        <v>86</v>
      </c>
      <c r="O30" s="248"/>
      <c r="P30" s="176"/>
      <c r="Q30" s="176"/>
      <c r="R30" s="250">
        <v>86</v>
      </c>
      <c r="S30" s="176"/>
      <c r="T30" s="223">
        <f t="shared" si="175"/>
        <v>85.4</v>
      </c>
      <c r="U30" s="248"/>
      <c r="V30" s="248"/>
      <c r="W30" s="248"/>
      <c r="X30" s="176"/>
      <c r="Y30" s="176"/>
      <c r="Z30" s="250"/>
      <c r="AA30" s="176"/>
      <c r="AB30" s="223">
        <f t="shared" si="176"/>
        <v>0</v>
      </c>
      <c r="AC30" s="248"/>
      <c r="AD30" s="248"/>
      <c r="AE30" s="248"/>
      <c r="AF30" s="248"/>
      <c r="AG30" s="176"/>
      <c r="AH30" s="250"/>
      <c r="AI30" s="176"/>
      <c r="AJ30" s="223">
        <f t="shared" si="177"/>
        <v>0</v>
      </c>
      <c r="AK30" s="181"/>
      <c r="AL30" s="176"/>
      <c r="AM30" s="176"/>
      <c r="AN30" s="176"/>
      <c r="AO30" s="176"/>
      <c r="AP30" s="176"/>
      <c r="AQ30" s="176"/>
      <c r="AR30" s="223">
        <f t="shared" si="178"/>
        <v>0</v>
      </c>
      <c r="AS30" s="181"/>
      <c r="AT30" s="176"/>
      <c r="AU30" s="176"/>
      <c r="AV30" s="176"/>
      <c r="AW30" s="176"/>
      <c r="AX30" s="176"/>
      <c r="AY30" s="176"/>
      <c r="AZ30" s="223">
        <f t="shared" si="179"/>
        <v>0</v>
      </c>
      <c r="BA30" s="181"/>
      <c r="BB30" s="176"/>
      <c r="BC30" s="176"/>
      <c r="BD30" s="176"/>
      <c r="BE30" s="176"/>
      <c r="BF30" s="176"/>
      <c r="BG30" s="176"/>
      <c r="BH30" s="223">
        <f t="shared" si="180"/>
        <v>0</v>
      </c>
      <c r="BI30" s="181"/>
      <c r="BJ30" s="176"/>
      <c r="BK30" s="176"/>
      <c r="BL30" s="176"/>
      <c r="BM30" s="176"/>
      <c r="BN30" s="176"/>
      <c r="BO30" s="176"/>
      <c r="BP30" s="223">
        <f t="shared" si="181"/>
        <v>0</v>
      </c>
      <c r="BQ30" s="181"/>
      <c r="BR30" s="176"/>
      <c r="BS30" s="176"/>
      <c r="BT30" s="176"/>
      <c r="BU30" s="176"/>
      <c r="BV30" s="176"/>
      <c r="BW30" s="176"/>
      <c r="BX30" s="223">
        <f t="shared" si="182"/>
        <v>0</v>
      </c>
      <c r="BY30" s="181"/>
      <c r="BZ30" s="176"/>
      <c r="CA30" s="176"/>
      <c r="CB30" s="176"/>
      <c r="CC30" s="176"/>
      <c r="CD30" s="176"/>
      <c r="CE30" s="176"/>
      <c r="CF30" s="223">
        <f t="shared" si="183"/>
        <v>0</v>
      </c>
      <c r="CG30" s="181"/>
      <c r="CH30" s="176"/>
      <c r="CI30" s="176"/>
      <c r="CJ30" s="176"/>
      <c r="CK30" s="176"/>
      <c r="CL30" s="176"/>
      <c r="CM30" s="176"/>
      <c r="CN30" s="223">
        <f t="shared" si="184"/>
        <v>0</v>
      </c>
      <c r="CO30" s="181"/>
      <c r="CP30" s="176"/>
      <c r="CQ30" s="176"/>
      <c r="CR30" s="176"/>
      <c r="CS30" s="176"/>
      <c r="CT30" s="176"/>
      <c r="CU30" s="176"/>
      <c r="CV30" s="223">
        <f t="shared" si="185"/>
        <v>0</v>
      </c>
      <c r="CW30" s="181"/>
      <c r="CX30" s="176"/>
      <c r="CY30" s="176"/>
      <c r="CZ30" s="176"/>
      <c r="DA30" s="176"/>
      <c r="DB30" s="176"/>
      <c r="DC30" s="176"/>
      <c r="DD30" s="223">
        <f t="shared" si="186"/>
        <v>0</v>
      </c>
      <c r="DE30" s="181"/>
      <c r="DF30" s="176"/>
      <c r="DG30" s="176"/>
      <c r="DH30" s="176"/>
      <c r="DI30" s="176"/>
      <c r="DJ30" s="176"/>
      <c r="DK30" s="176"/>
      <c r="DL30" s="223">
        <f t="shared" si="187"/>
        <v>0</v>
      </c>
      <c r="DM30" s="181"/>
      <c r="DN30" s="176"/>
      <c r="DO30" s="176"/>
      <c r="DP30" s="176"/>
      <c r="DQ30" s="176"/>
      <c r="DR30" s="176"/>
      <c r="DS30" s="176"/>
      <c r="DT30" s="223">
        <f t="shared" si="188"/>
        <v>0</v>
      </c>
      <c r="DU30" s="181"/>
      <c r="DV30" s="176"/>
      <c r="DW30" s="176"/>
      <c r="DX30" s="176"/>
      <c r="DY30" s="176"/>
      <c r="DZ30" s="176"/>
      <c r="EA30" s="176"/>
      <c r="EB30" s="223">
        <f t="shared" si="189"/>
        <v>0</v>
      </c>
      <c r="EC30" s="181"/>
      <c r="ED30" s="176"/>
      <c r="EE30" s="176"/>
      <c r="EF30" s="176"/>
      <c r="EG30" s="176"/>
      <c r="EH30" s="176"/>
      <c r="EI30" s="176"/>
      <c r="EJ30" s="223">
        <f t="shared" si="190"/>
        <v>0</v>
      </c>
      <c r="EK30" s="181"/>
      <c r="EL30" s="176"/>
      <c r="EM30" s="176"/>
      <c r="EN30" s="176"/>
      <c r="EO30" s="176"/>
      <c r="EP30" s="176"/>
      <c r="EQ30" s="176"/>
      <c r="ER30" s="223">
        <f t="shared" si="191"/>
        <v>0</v>
      </c>
      <c r="ES30" s="181"/>
      <c r="ET30" s="176"/>
      <c r="EU30" s="176"/>
      <c r="EV30" s="176"/>
      <c r="EW30" s="176"/>
      <c r="EX30" s="176"/>
      <c r="EY30" s="176"/>
      <c r="EZ30" s="223">
        <f t="shared" si="192"/>
        <v>0</v>
      </c>
      <c r="FA30" s="181"/>
      <c r="FB30" s="176"/>
      <c r="FC30" s="176"/>
      <c r="FD30" s="176"/>
      <c r="FE30" s="176"/>
      <c r="FF30" s="176"/>
      <c r="FG30" s="176"/>
      <c r="FH30" s="223">
        <f t="shared" si="193"/>
        <v>0</v>
      </c>
      <c r="FI30" s="291">
        <f t="shared" si="194"/>
        <v>86</v>
      </c>
      <c r="FJ30" s="250">
        <v>74</v>
      </c>
      <c r="FK30" s="250"/>
      <c r="FL30" s="291">
        <f t="shared" si="195"/>
        <v>82</v>
      </c>
      <c r="FM30" s="312" t="str">
        <f>IFERROR(IF(FL30="","",IF(FL30&gt;=KONVERSI!$A$5,KONVERSI!$D$5,IF(FL30&gt;=KONVERSI!$A$6,KONVERSI!$D$6,IF(FL30&gt;=KONVERSI!$A$7,KONVERSI!$D$7,KONVERSI!$D$8)))),"")</f>
        <v>C</v>
      </c>
      <c r="FN30" s="232" t="str">
        <f t="shared" si="196"/>
        <v>Tuntas</v>
      </c>
      <c r="FO30" s="313"/>
      <c r="FP30" s="314">
        <f t="shared" si="197"/>
        <v>84.5</v>
      </c>
      <c r="FQ30" s="194">
        <f t="shared" si="33"/>
        <v>84</v>
      </c>
      <c r="FR30" s="194">
        <f t="shared" si="34"/>
        <v>84</v>
      </c>
      <c r="FS30" s="194" t="str">
        <f t="shared" si="35"/>
        <v/>
      </c>
      <c r="FT30" s="194" t="str">
        <f t="shared" si="36"/>
        <v/>
      </c>
      <c r="FU30" s="194" t="str">
        <f t="shared" si="37"/>
        <v/>
      </c>
      <c r="FV30" s="194">
        <f t="shared" si="38"/>
        <v>85.6</v>
      </c>
      <c r="FW30" s="194">
        <f t="shared" si="39"/>
        <v>84</v>
      </c>
      <c r="FX30" s="194">
        <f t="shared" si="344"/>
        <v>86</v>
      </c>
      <c r="FY30" s="194" t="str">
        <f t="shared" si="40"/>
        <v/>
      </c>
      <c r="FZ30" s="194" t="str">
        <f t="shared" si="41"/>
        <v/>
      </c>
      <c r="GA30" s="194" t="str">
        <f t="shared" si="42"/>
        <v/>
      </c>
      <c r="GB30" s="194">
        <f t="shared" si="43"/>
        <v>85.4</v>
      </c>
      <c r="GC30" s="194" t="str">
        <f t="shared" si="44"/>
        <v/>
      </c>
      <c r="GD30" s="194" t="str">
        <f t="shared" si="45"/>
        <v/>
      </c>
      <c r="GE30" s="194" t="str">
        <f t="shared" si="46"/>
        <v/>
      </c>
      <c r="GF30" s="194" t="str">
        <f t="shared" si="47"/>
        <v/>
      </c>
      <c r="GG30" s="194" t="str">
        <f t="shared" si="48"/>
        <v/>
      </c>
      <c r="GH30" s="194" t="str">
        <f t="shared" si="49"/>
        <v/>
      </c>
      <c r="GI30" s="194" t="str">
        <f t="shared" si="50"/>
        <v/>
      </c>
      <c r="GJ30" s="194" t="str">
        <f t="shared" si="51"/>
        <v/>
      </c>
      <c r="GK30" s="194" t="str">
        <f t="shared" si="52"/>
        <v/>
      </c>
      <c r="GL30" s="194" t="str">
        <f t="shared" si="53"/>
        <v/>
      </c>
      <c r="GM30" s="194" t="str">
        <f t="shared" si="54"/>
        <v/>
      </c>
      <c r="GN30" s="194" t="str">
        <f t="shared" si="55"/>
        <v/>
      </c>
      <c r="GO30" s="194" t="str">
        <f t="shared" si="56"/>
        <v/>
      </c>
      <c r="GP30" s="194" t="str">
        <f t="shared" si="57"/>
        <v/>
      </c>
      <c r="GQ30" s="194" t="str">
        <f t="shared" si="58"/>
        <v/>
      </c>
      <c r="GR30" s="194" t="str">
        <f t="shared" si="59"/>
        <v/>
      </c>
      <c r="GS30" s="194" t="str">
        <f t="shared" si="60"/>
        <v/>
      </c>
      <c r="GT30" s="194" t="str">
        <f t="shared" si="61"/>
        <v/>
      </c>
      <c r="GU30" s="194" t="str">
        <f t="shared" si="62"/>
        <v/>
      </c>
      <c r="GV30" s="194" t="str">
        <f t="shared" si="63"/>
        <v/>
      </c>
      <c r="GW30" s="194" t="str">
        <f t="shared" si="64"/>
        <v/>
      </c>
      <c r="GX30" s="194" t="str">
        <f t="shared" si="65"/>
        <v/>
      </c>
      <c r="GY30" s="194" t="str">
        <f t="shared" si="66"/>
        <v/>
      </c>
      <c r="GZ30" s="194" t="str">
        <f t="shared" si="67"/>
        <v/>
      </c>
      <c r="HA30" s="194" t="str">
        <f t="shared" si="68"/>
        <v/>
      </c>
      <c r="HB30" s="194" t="str">
        <f t="shared" si="69"/>
        <v/>
      </c>
      <c r="HC30" s="194" t="str">
        <f t="shared" si="70"/>
        <v/>
      </c>
      <c r="HD30" s="194" t="str">
        <f t="shared" si="71"/>
        <v/>
      </c>
      <c r="HE30" s="194" t="str">
        <f t="shared" si="72"/>
        <v/>
      </c>
      <c r="HF30" s="194" t="str">
        <f t="shared" si="73"/>
        <v/>
      </c>
      <c r="HG30" s="194" t="str">
        <f t="shared" si="74"/>
        <v/>
      </c>
      <c r="HH30" s="194" t="str">
        <f t="shared" si="75"/>
        <v/>
      </c>
      <c r="HI30" s="194" t="str">
        <f t="shared" si="76"/>
        <v/>
      </c>
      <c r="HJ30" s="194" t="str">
        <f t="shared" si="77"/>
        <v/>
      </c>
      <c r="HK30" s="194" t="str">
        <f t="shared" si="78"/>
        <v/>
      </c>
      <c r="HL30" s="194" t="str">
        <f t="shared" si="79"/>
        <v/>
      </c>
      <c r="HM30" s="194" t="str">
        <f t="shared" si="80"/>
        <v/>
      </c>
      <c r="HN30" s="194" t="str">
        <f t="shared" si="81"/>
        <v/>
      </c>
      <c r="HO30" s="194" t="str">
        <f t="shared" si="82"/>
        <v/>
      </c>
      <c r="HP30" s="194" t="str">
        <f t="shared" si="83"/>
        <v/>
      </c>
      <c r="HQ30" s="194" t="str">
        <f t="shared" si="84"/>
        <v/>
      </c>
      <c r="HR30" s="194" t="str">
        <f t="shared" si="85"/>
        <v/>
      </c>
      <c r="HS30" s="194" t="str">
        <f t="shared" si="86"/>
        <v/>
      </c>
      <c r="HT30" s="194" t="str">
        <f t="shared" si="87"/>
        <v/>
      </c>
      <c r="HU30" s="194" t="str">
        <f t="shared" si="88"/>
        <v/>
      </c>
      <c r="HV30" s="194" t="str">
        <f t="shared" si="89"/>
        <v/>
      </c>
      <c r="HW30" s="194" t="str">
        <f t="shared" si="90"/>
        <v/>
      </c>
      <c r="HX30" s="194" t="str">
        <f t="shared" si="91"/>
        <v/>
      </c>
      <c r="HY30" s="194" t="str">
        <f t="shared" si="92"/>
        <v/>
      </c>
      <c r="HZ30" s="194" t="str">
        <f t="shared" si="93"/>
        <v/>
      </c>
      <c r="IA30" s="194" t="str">
        <f t="shared" si="94"/>
        <v/>
      </c>
      <c r="IB30" s="194" t="str">
        <f t="shared" si="95"/>
        <v/>
      </c>
      <c r="IC30" s="194" t="str">
        <f t="shared" si="96"/>
        <v/>
      </c>
      <c r="ID30" s="194" t="str">
        <f t="shared" si="97"/>
        <v/>
      </c>
      <c r="IE30" s="194" t="str">
        <f t="shared" si="98"/>
        <v/>
      </c>
      <c r="IF30" s="194" t="str">
        <f t="shared" si="99"/>
        <v/>
      </c>
      <c r="IG30" s="194" t="str">
        <f t="shared" si="100"/>
        <v/>
      </c>
      <c r="IH30" s="194" t="str">
        <f t="shared" si="101"/>
        <v/>
      </c>
      <c r="II30" s="194" t="str">
        <f t="shared" si="102"/>
        <v/>
      </c>
      <c r="IJ30" s="194" t="str">
        <f t="shared" si="103"/>
        <v/>
      </c>
      <c r="IK30" s="194" t="str">
        <f t="shared" si="104"/>
        <v/>
      </c>
      <c r="IL30" s="194" t="str">
        <f t="shared" si="105"/>
        <v/>
      </c>
      <c r="IM30" s="194" t="str">
        <f t="shared" si="106"/>
        <v/>
      </c>
      <c r="IN30" s="194" t="str">
        <f t="shared" si="107"/>
        <v/>
      </c>
      <c r="IO30" s="194" t="str">
        <f t="shared" si="108"/>
        <v/>
      </c>
      <c r="IP30" s="194" t="str">
        <f t="shared" si="109"/>
        <v/>
      </c>
      <c r="IQ30" s="194" t="str">
        <f t="shared" si="110"/>
        <v/>
      </c>
      <c r="IR30" s="194" t="str">
        <f t="shared" si="111"/>
        <v/>
      </c>
      <c r="IS30" s="194" t="str">
        <f t="shared" si="112"/>
        <v/>
      </c>
      <c r="IT30" s="194" t="str">
        <f t="shared" si="113"/>
        <v/>
      </c>
      <c r="IU30" s="194" t="str">
        <f t="shared" si="114"/>
        <v/>
      </c>
      <c r="IV30" s="194" t="str">
        <f t="shared" si="115"/>
        <v/>
      </c>
      <c r="IW30" s="194" t="str">
        <f t="shared" si="116"/>
        <v/>
      </c>
      <c r="IX30" s="194" t="str">
        <f t="shared" si="117"/>
        <v/>
      </c>
      <c r="IY30" s="194" t="str">
        <f t="shared" si="118"/>
        <v/>
      </c>
      <c r="IZ30" s="194" t="str">
        <f t="shared" si="119"/>
        <v/>
      </c>
      <c r="JA30" s="194" t="str">
        <f t="shared" si="120"/>
        <v/>
      </c>
      <c r="JB30" s="194" t="str">
        <f t="shared" si="121"/>
        <v/>
      </c>
      <c r="JC30" s="194" t="str">
        <f t="shared" si="122"/>
        <v/>
      </c>
      <c r="JD30" s="194" t="str">
        <f t="shared" si="123"/>
        <v/>
      </c>
      <c r="JE30" s="194" t="str">
        <f t="shared" si="124"/>
        <v/>
      </c>
      <c r="JF30" s="194" t="str">
        <f t="shared" si="125"/>
        <v/>
      </c>
      <c r="JG30" s="194" t="str">
        <f t="shared" si="126"/>
        <v/>
      </c>
      <c r="JH30" s="194" t="str">
        <f t="shared" si="127"/>
        <v/>
      </c>
      <c r="JI30" s="194" t="str">
        <f t="shared" si="128"/>
        <v/>
      </c>
      <c r="JJ30" s="194" t="str">
        <f t="shared" si="129"/>
        <v/>
      </c>
      <c r="JK30" s="194" t="str">
        <f t="shared" si="130"/>
        <v/>
      </c>
      <c r="JL30" s="194" t="str">
        <f t="shared" si="131"/>
        <v/>
      </c>
      <c r="JM30" s="194" t="str">
        <f t="shared" si="132"/>
        <v/>
      </c>
      <c r="JN30" s="194" t="str">
        <f t="shared" si="133"/>
        <v/>
      </c>
      <c r="JO30" s="194" t="str">
        <f t="shared" si="134"/>
        <v/>
      </c>
      <c r="JP30" s="194" t="str">
        <f t="shared" si="135"/>
        <v/>
      </c>
      <c r="JQ30" s="194" t="str">
        <f t="shared" si="136"/>
        <v/>
      </c>
      <c r="JR30" s="194" t="str">
        <f t="shared" si="137"/>
        <v/>
      </c>
      <c r="JS30" s="194" t="str">
        <f t="shared" si="138"/>
        <v/>
      </c>
      <c r="JT30" s="194" t="str">
        <f t="shared" si="139"/>
        <v/>
      </c>
      <c r="JU30" s="194" t="str">
        <f t="shared" si="140"/>
        <v/>
      </c>
      <c r="JV30" s="194" t="str">
        <f t="shared" si="141"/>
        <v/>
      </c>
      <c r="JW30" s="194" t="str">
        <f t="shared" si="142"/>
        <v/>
      </c>
      <c r="JX30" s="194" t="str">
        <f t="shared" si="143"/>
        <v/>
      </c>
      <c r="JY30" s="194" t="str">
        <f t="shared" si="144"/>
        <v/>
      </c>
      <c r="JZ30" s="194" t="str">
        <f t="shared" si="145"/>
        <v/>
      </c>
      <c r="KA30" s="194" t="str">
        <f t="shared" si="146"/>
        <v/>
      </c>
      <c r="KB30" s="194" t="str">
        <f t="shared" si="147"/>
        <v/>
      </c>
      <c r="KC30" s="194" t="str">
        <f t="shared" si="148"/>
        <v/>
      </c>
      <c r="KD30" s="194" t="str">
        <f t="shared" si="149"/>
        <v/>
      </c>
      <c r="KE30" s="194" t="str">
        <f t="shared" si="150"/>
        <v/>
      </c>
      <c r="KF30" s="194" t="str">
        <f t="shared" si="151"/>
        <v/>
      </c>
      <c r="KG30" s="194">
        <f>SUM(LE30:LX30)/COUNTA(RefKI3KI4!$B$5:$B$24)</f>
        <v>85.5</v>
      </c>
      <c r="KH30" s="232">
        <f t="shared" si="198"/>
        <v>0</v>
      </c>
      <c r="KI30" s="340" t="str">
        <f t="shared" si="199"/>
        <v>ok</v>
      </c>
      <c r="KJ30" s="340" t="str">
        <f t="shared" si="200"/>
        <v>ok</v>
      </c>
      <c r="KK30" s="340" t="str">
        <f t="shared" si="201"/>
        <v/>
      </c>
      <c r="KL30" s="340" t="str">
        <f t="shared" si="202"/>
        <v/>
      </c>
      <c r="KM30" s="340" t="str">
        <f t="shared" si="203"/>
        <v/>
      </c>
      <c r="KN30" s="340" t="str">
        <f t="shared" si="204"/>
        <v/>
      </c>
      <c r="KO30" s="340" t="str">
        <f t="shared" si="205"/>
        <v/>
      </c>
      <c r="KP30" s="340" t="str">
        <f t="shared" si="206"/>
        <v/>
      </c>
      <c r="KQ30" s="340" t="str">
        <f t="shared" si="207"/>
        <v/>
      </c>
      <c r="KR30" s="340" t="str">
        <f t="shared" si="208"/>
        <v/>
      </c>
      <c r="KS30" s="340" t="str">
        <f t="shared" si="209"/>
        <v/>
      </c>
      <c r="KT30" s="340" t="str">
        <f t="shared" si="210"/>
        <v/>
      </c>
      <c r="KU30" s="340" t="str">
        <f t="shared" si="211"/>
        <v/>
      </c>
      <c r="KV30" s="340" t="str">
        <f t="shared" si="212"/>
        <v/>
      </c>
      <c r="KW30" s="340" t="str">
        <f t="shared" si="213"/>
        <v/>
      </c>
      <c r="KX30" s="340" t="str">
        <f t="shared" si="214"/>
        <v/>
      </c>
      <c r="KY30" s="340" t="str">
        <f t="shared" si="215"/>
        <v/>
      </c>
      <c r="KZ30" s="340" t="str">
        <f t="shared" si="216"/>
        <v/>
      </c>
      <c r="LA30" s="340" t="str">
        <f t="shared" si="217"/>
        <v/>
      </c>
      <c r="LB30" s="340" t="str">
        <f t="shared" si="218"/>
        <v/>
      </c>
      <c r="LC30" s="340">
        <f t="shared" si="219"/>
        <v>0</v>
      </c>
      <c r="LD30" s="228">
        <v>22</v>
      </c>
      <c r="LE30" s="229">
        <f t="shared" si="220"/>
        <v>85.6</v>
      </c>
      <c r="LF30" s="229">
        <f t="shared" si="221"/>
        <v>85.4</v>
      </c>
      <c r="LG30" s="229" t="str">
        <f t="shared" si="222"/>
        <v/>
      </c>
      <c r="LH30" s="229" t="str">
        <f t="shared" si="223"/>
        <v/>
      </c>
      <c r="LI30" s="229" t="str">
        <f t="shared" si="224"/>
        <v/>
      </c>
      <c r="LJ30" s="229" t="str">
        <f t="shared" si="225"/>
        <v/>
      </c>
      <c r="LK30" s="229" t="str">
        <f t="shared" si="226"/>
        <v/>
      </c>
      <c r="LL30" s="229" t="str">
        <f t="shared" si="227"/>
        <v/>
      </c>
      <c r="LM30" s="229" t="str">
        <f t="shared" si="228"/>
        <v/>
      </c>
      <c r="LN30" s="229" t="str">
        <f t="shared" si="229"/>
        <v/>
      </c>
      <c r="LO30" s="229" t="str">
        <f t="shared" si="230"/>
        <v/>
      </c>
      <c r="LP30" s="229" t="str">
        <f t="shared" si="231"/>
        <v/>
      </c>
      <c r="LQ30" s="229" t="str">
        <f t="shared" si="232"/>
        <v/>
      </c>
      <c r="LR30" s="229" t="str">
        <f t="shared" si="233"/>
        <v/>
      </c>
      <c r="LS30" s="229" t="str">
        <f t="shared" si="234"/>
        <v/>
      </c>
      <c r="LT30" s="229" t="str">
        <f t="shared" si="235"/>
        <v/>
      </c>
      <c r="LU30" s="229" t="str">
        <f t="shared" si="236"/>
        <v/>
      </c>
      <c r="LV30" s="229" t="str">
        <f t="shared" si="237"/>
        <v/>
      </c>
      <c r="LW30" s="229" t="str">
        <f t="shared" si="238"/>
        <v/>
      </c>
      <c r="LX30" s="229" t="str">
        <f t="shared" si="239"/>
        <v/>
      </c>
      <c r="LY30" s="231">
        <f t="shared" si="240"/>
        <v>85.6</v>
      </c>
      <c r="LZ30" s="231">
        <f t="shared" si="241"/>
        <v>85.4</v>
      </c>
      <c r="MA30" s="231" t="str">
        <f t="shared" si="242"/>
        <v/>
      </c>
      <c r="MB30" s="231" t="str">
        <f t="shared" si="243"/>
        <v/>
      </c>
      <c r="MC30" s="231" t="str">
        <f t="shared" si="244"/>
        <v/>
      </c>
      <c r="MD30" s="231" t="str">
        <f t="shared" si="245"/>
        <v/>
      </c>
      <c r="ME30" s="231" t="str">
        <f t="shared" si="246"/>
        <v/>
      </c>
      <c r="MF30" s="231" t="str">
        <f t="shared" si="247"/>
        <v/>
      </c>
      <c r="MG30" s="231" t="str">
        <f t="shared" si="248"/>
        <v/>
      </c>
      <c r="MH30" s="231" t="str">
        <f t="shared" si="249"/>
        <v/>
      </c>
      <c r="MI30" s="231" t="str">
        <f t="shared" si="250"/>
        <v/>
      </c>
      <c r="MJ30" s="231" t="str">
        <f t="shared" si="251"/>
        <v/>
      </c>
      <c r="MK30" s="231" t="str">
        <f t="shared" si="252"/>
        <v/>
      </c>
      <c r="ML30" s="231" t="str">
        <f t="shared" si="253"/>
        <v/>
      </c>
      <c r="MM30" s="231" t="str">
        <f t="shared" si="254"/>
        <v/>
      </c>
      <c r="MN30" s="231" t="str">
        <f t="shared" si="255"/>
        <v/>
      </c>
      <c r="MO30" s="231" t="str">
        <f t="shared" si="256"/>
        <v/>
      </c>
      <c r="MP30" s="231" t="str">
        <f t="shared" si="257"/>
        <v/>
      </c>
      <c r="MQ30" s="231" t="str">
        <f t="shared" si="258"/>
        <v/>
      </c>
      <c r="MR30" s="231" t="str">
        <f t="shared" si="259"/>
        <v/>
      </c>
      <c r="MS30" s="231">
        <f t="shared" si="154"/>
        <v>85.6</v>
      </c>
      <c r="MT30" s="232" t="str">
        <f>IF(MS30="","",IF(MS30&gt;=KONVERSI!$A$5,KONVERSI!$E$5,IF(MS30&gt;=KONVERSI!$A$6,KONVERSI!$E$6,IF(MS30&gt;=KONVERSI!$A$7,KONVERSI!$E$7,KONVERSI!$E$8))))</f>
        <v>Baik</v>
      </c>
      <c r="MU30" s="233" t="str">
        <f t="shared" si="155"/>
        <v>Baik dalamjenis, sifat, karakter dan teknik pengolahan kerang, kaca, keramik dan botol plastik</v>
      </c>
      <c r="MV30" s="234">
        <f t="shared" si="260"/>
        <v>85.4</v>
      </c>
      <c r="MW30" s="232" t="str">
        <f>IF(MV30="","",IF(MV30&gt;=KONVERSI!$A$5,KONVERSI!$E$5,IF(MV30&gt;=KONVERSI!$A$6,KONVERSI!$E$6,IF(MV30&gt;=KONVERSI!$A$7,KONVERSI!$E$7,KONVERSI!$E$8))))</f>
        <v>Baik</v>
      </c>
      <c r="MX30" s="134" t="str">
        <f>IF(FI30&lt;$FN$4," "&amp;KONVERSI!$C$18&amp;INDEX($LY$8:$MR$8,MATCH(MV30,LY30:MR30,0))&amp;".",IF(KG30=0,"",IF(MV30&lt;&gt;0,MU30&amp;MW30&amp;".",MU30&amp;".")))</f>
        <v>Baik dalamjenis, sifat, karakter dan teknik pengolahan kerang, kaca, keramik dan botol plastikBaik.</v>
      </c>
      <c r="MY30" s="235" t="str">
        <f t="shared" si="261"/>
        <v>OK</v>
      </c>
      <c r="MZ30" s="235" t="str">
        <f t="shared" si="262"/>
        <v>NO</v>
      </c>
      <c r="NA30" s="235" t="str">
        <f t="shared" si="263"/>
        <v/>
      </c>
      <c r="NB30" s="235" t="str">
        <f t="shared" si="264"/>
        <v/>
      </c>
      <c r="NC30" s="235" t="str">
        <f t="shared" si="265"/>
        <v/>
      </c>
      <c r="ND30" s="235" t="str">
        <f t="shared" si="266"/>
        <v/>
      </c>
      <c r="NE30" s="235" t="str">
        <f t="shared" si="267"/>
        <v/>
      </c>
      <c r="NF30" s="235" t="str">
        <f t="shared" si="268"/>
        <v/>
      </c>
      <c r="NG30" s="235" t="str">
        <f t="shared" si="269"/>
        <v/>
      </c>
      <c r="NH30" s="235" t="str">
        <f t="shared" si="270"/>
        <v/>
      </c>
      <c r="NI30" s="235" t="str">
        <f t="shared" si="271"/>
        <v/>
      </c>
      <c r="NJ30" s="235" t="str">
        <f t="shared" si="272"/>
        <v/>
      </c>
      <c r="NK30" s="235" t="str">
        <f t="shared" si="273"/>
        <v/>
      </c>
      <c r="NL30" s="235" t="str">
        <f t="shared" si="274"/>
        <v/>
      </c>
      <c r="NM30" s="235" t="str">
        <f t="shared" si="275"/>
        <v/>
      </c>
      <c r="NN30" s="235" t="str">
        <f t="shared" si="276"/>
        <v/>
      </c>
      <c r="NO30" s="235" t="str">
        <f t="shared" si="277"/>
        <v/>
      </c>
      <c r="NP30" s="235" t="str">
        <f t="shared" si="278"/>
        <v/>
      </c>
      <c r="NQ30" s="235" t="str">
        <f t="shared" si="279"/>
        <v/>
      </c>
      <c r="NR30" s="235" t="str">
        <f t="shared" si="280"/>
        <v/>
      </c>
      <c r="NS30" s="134" t="str">
        <f t="shared" si="281"/>
        <v>jenis, sifat, karakter dan teknik pengolahan kerang, kaca, keramik dan botol plastik</v>
      </c>
      <c r="NT30" s="134" t="str">
        <f t="shared" si="282"/>
        <v/>
      </c>
      <c r="NU30" s="134" t="str">
        <f t="shared" si="283"/>
        <v/>
      </c>
      <c r="NV30" s="134" t="str">
        <f t="shared" si="284"/>
        <v/>
      </c>
      <c r="NW30" s="134" t="str">
        <f t="shared" si="285"/>
        <v/>
      </c>
      <c r="NX30" s="134" t="str">
        <f t="shared" si="286"/>
        <v/>
      </c>
      <c r="NY30" s="134" t="str">
        <f t="shared" si="287"/>
        <v/>
      </c>
      <c r="NZ30" s="134" t="str">
        <f t="shared" si="288"/>
        <v/>
      </c>
      <c r="OA30" s="134" t="str">
        <f t="shared" si="289"/>
        <v/>
      </c>
      <c r="OB30" s="134" t="str">
        <f t="shared" si="290"/>
        <v/>
      </c>
      <c r="OC30" s="134" t="str">
        <f t="shared" si="291"/>
        <v/>
      </c>
      <c r="OD30" s="134" t="str">
        <f t="shared" si="292"/>
        <v/>
      </c>
      <c r="OE30" s="134" t="str">
        <f t="shared" si="293"/>
        <v/>
      </c>
      <c r="OF30" s="134" t="str">
        <f t="shared" si="294"/>
        <v/>
      </c>
      <c r="OG30" s="134" t="str">
        <f t="shared" si="295"/>
        <v/>
      </c>
      <c r="OH30" s="134" t="str">
        <f t="shared" si="296"/>
        <v/>
      </c>
      <c r="OI30" s="134" t="str">
        <f t="shared" si="297"/>
        <v/>
      </c>
      <c r="OJ30" s="134" t="str">
        <f t="shared" si="298"/>
        <v/>
      </c>
      <c r="OK30" s="134" t="str">
        <f t="shared" si="299"/>
        <v/>
      </c>
      <c r="OL30" s="134" t="str">
        <f t="shared" si="300"/>
        <v/>
      </c>
      <c r="OM30" s="134" t="str">
        <f t="shared" si="301"/>
        <v>Baik dalam jenis, sifat, karakter dan teknik pengolahan kerang, kaca, keramik dan botol plastik</v>
      </c>
      <c r="ON30" s="134" t="str">
        <f t="shared" si="302"/>
        <v>Baik dalam jenis, sifat, karakter dan teknik pengolahan kerang, kaca, keramik dan botol plasti.  </v>
      </c>
      <c r="OO30" s="236">
        <f t="shared" si="169"/>
        <v>1</v>
      </c>
      <c r="OP30" s="235" t="str">
        <f t="shared" si="303"/>
        <v>NO</v>
      </c>
      <c r="OQ30" s="235" t="str">
        <f t="shared" si="304"/>
        <v>OK</v>
      </c>
      <c r="OR30" s="235" t="str">
        <f t="shared" si="305"/>
        <v/>
      </c>
      <c r="OS30" s="235" t="str">
        <f t="shared" si="306"/>
        <v/>
      </c>
      <c r="OT30" s="235" t="str">
        <f t="shared" si="307"/>
        <v/>
      </c>
      <c r="OU30" s="235" t="str">
        <f t="shared" si="308"/>
        <v/>
      </c>
      <c r="OV30" s="235" t="str">
        <f t="shared" si="309"/>
        <v/>
      </c>
      <c r="OW30" s="235" t="str">
        <f t="shared" si="310"/>
        <v/>
      </c>
      <c r="OX30" s="235" t="str">
        <f t="shared" si="311"/>
        <v/>
      </c>
      <c r="OY30" s="235" t="str">
        <f t="shared" si="312"/>
        <v/>
      </c>
      <c r="OZ30" s="235" t="str">
        <f t="shared" si="313"/>
        <v/>
      </c>
      <c r="PA30" s="235" t="str">
        <f t="shared" si="314"/>
        <v/>
      </c>
      <c r="PB30" s="235" t="str">
        <f t="shared" si="315"/>
        <v/>
      </c>
      <c r="PC30" s="235" t="str">
        <f t="shared" si="316"/>
        <v/>
      </c>
      <c r="PD30" s="235" t="str">
        <f t="shared" si="317"/>
        <v/>
      </c>
      <c r="PE30" s="235" t="str">
        <f t="shared" si="318"/>
        <v/>
      </c>
      <c r="PF30" s="235" t="str">
        <f t="shared" si="319"/>
        <v/>
      </c>
      <c r="PG30" s="235" t="str">
        <f t="shared" si="320"/>
        <v/>
      </c>
      <c r="PH30" s="235" t="str">
        <f t="shared" si="321"/>
        <v/>
      </c>
      <c r="PI30" s="235" t="str">
        <f t="shared" si="322"/>
        <v/>
      </c>
      <c r="PJ30" s="134" t="str">
        <f t="shared" si="323"/>
        <v/>
      </c>
      <c r="PK30" s="134" t="str">
        <f t="shared" si="324"/>
        <v>prinsip perancangan, pembuatan dan penyajian produk kerajinan kerang, kaca, keramik dan botol plastik yang kreatif dan inovatif</v>
      </c>
      <c r="PL30" s="134" t="str">
        <f t="shared" si="325"/>
        <v/>
      </c>
      <c r="PM30" s="134" t="str">
        <f t="shared" si="326"/>
        <v/>
      </c>
      <c r="PN30" s="134" t="str">
        <f t="shared" si="327"/>
        <v/>
      </c>
      <c r="PO30" s="134" t="str">
        <f t="shared" si="328"/>
        <v/>
      </c>
      <c r="PP30" s="134" t="str">
        <f t="shared" si="329"/>
        <v/>
      </c>
      <c r="PQ30" s="134" t="str">
        <f t="shared" si="330"/>
        <v/>
      </c>
      <c r="PR30" s="134" t="str">
        <f t="shared" si="331"/>
        <v/>
      </c>
      <c r="PS30" s="134" t="str">
        <f t="shared" si="332"/>
        <v/>
      </c>
      <c r="PT30" s="134" t="str">
        <f t="shared" si="333"/>
        <v/>
      </c>
      <c r="PU30" s="134" t="str">
        <f t="shared" si="334"/>
        <v/>
      </c>
      <c r="PV30" s="134" t="str">
        <f t="shared" si="335"/>
        <v/>
      </c>
      <c r="PW30" s="134" t="str">
        <f t="shared" si="336"/>
        <v/>
      </c>
      <c r="PX30" s="134" t="str">
        <f t="shared" si="337"/>
        <v/>
      </c>
      <c r="PY30" s="134" t="str">
        <f t="shared" si="338"/>
        <v/>
      </c>
      <c r="PZ30" s="134" t="str">
        <f t="shared" si="339"/>
        <v/>
      </c>
      <c r="QA30" s="134" t="str">
        <f t="shared" si="340"/>
        <v/>
      </c>
      <c r="QB30" s="134" t="str">
        <f t="shared" si="341"/>
        <v/>
      </c>
      <c r="QC30" s="134" t="str">
        <f t="shared" si="342"/>
        <v/>
      </c>
      <c r="QD30" s="134" t="str">
        <f>IF(MT30=MW30,"",IF(MV30="","",IF(MV30&gt;=KONVERSI!$A$7,'KI3'!MW30&amp;" dalam"&amp;PJ30&amp;PK30&amp;PL30&amp;PM30&amp;PN30&amp;PO30&amp;PP30&amp;PQ30&amp;PR30&amp;PS30&amp;PT30&amp;PU30&amp;PV30&amp;PW30&amp;PX30&amp;PY30&amp;PZ30&amp;QA30&amp;QB30&amp;QC30,KONVERSI!$C$18&amp;" dalam"&amp;PJ30&amp;PK30&amp;PL30&amp;PM30&amp;PN30&amp;PO30&amp;PP30&amp;PQ30&amp;PR30&amp;PS30&amp;PT30&amp;PU30&amp;PV30&amp;PW30&amp;PX30&amp;PY30&amp;PZ30&amp;QA30&amp;QB30&amp;QC30)))</f>
        <v/>
      </c>
      <c r="QE30" s="134" t="str">
        <f t="shared" si="343"/>
        <v/>
      </c>
      <c r="QF30" s="236">
        <f t="shared" si="172"/>
        <v>1</v>
      </c>
      <c r="QG30" s="134" t="str">
        <f t="shared" si="173"/>
        <v>Baik dalam jenis, sifat, karakter dan teknik pengolahan kerang, kaca, keramik dan botol plasti.  </v>
      </c>
    </row>
    <row r="31" ht="27.6" customHeight="1" spans="1:449">
      <c r="A31" s="136"/>
      <c r="B31" s="177">
        <v>23</v>
      </c>
      <c r="C31" s="178" t="str">
        <f>siswa!C27</f>
        <v>T. SYARIFAH RAISYA KHAIRANI</v>
      </c>
      <c r="D31" s="174">
        <f>siswa!D27</f>
        <v>2847</v>
      </c>
      <c r="E31" s="175">
        <v>88</v>
      </c>
      <c r="F31" s="175">
        <v>90</v>
      </c>
      <c r="G31" s="248"/>
      <c r="H31" s="176"/>
      <c r="I31" s="176"/>
      <c r="J31" s="175">
        <v>100</v>
      </c>
      <c r="K31" s="176"/>
      <c r="L31" s="223">
        <f t="shared" si="174"/>
        <v>93.4</v>
      </c>
      <c r="M31" s="250">
        <v>88</v>
      </c>
      <c r="N31" s="250">
        <v>88</v>
      </c>
      <c r="O31" s="248"/>
      <c r="P31" s="176"/>
      <c r="Q31" s="176"/>
      <c r="R31" s="250">
        <v>88</v>
      </c>
      <c r="S31" s="176"/>
      <c r="T31" s="223">
        <f t="shared" si="175"/>
        <v>88</v>
      </c>
      <c r="U31" s="248"/>
      <c r="V31" s="248"/>
      <c r="W31" s="248"/>
      <c r="X31" s="176"/>
      <c r="Y31" s="176"/>
      <c r="Z31" s="250"/>
      <c r="AA31" s="176"/>
      <c r="AB31" s="223">
        <f t="shared" si="176"/>
        <v>0</v>
      </c>
      <c r="AC31" s="248"/>
      <c r="AD31" s="248"/>
      <c r="AE31" s="248"/>
      <c r="AF31" s="248"/>
      <c r="AG31" s="176"/>
      <c r="AH31" s="250"/>
      <c r="AI31" s="176"/>
      <c r="AJ31" s="223">
        <f t="shared" si="177"/>
        <v>0</v>
      </c>
      <c r="AK31" s="181"/>
      <c r="AL31" s="176"/>
      <c r="AM31" s="176"/>
      <c r="AN31" s="176"/>
      <c r="AO31" s="176"/>
      <c r="AP31" s="176"/>
      <c r="AQ31" s="176"/>
      <c r="AR31" s="223">
        <f t="shared" si="178"/>
        <v>0</v>
      </c>
      <c r="AS31" s="181"/>
      <c r="AT31" s="176"/>
      <c r="AU31" s="176"/>
      <c r="AV31" s="176"/>
      <c r="AW31" s="176"/>
      <c r="AX31" s="176"/>
      <c r="AY31" s="176"/>
      <c r="AZ31" s="223">
        <f t="shared" si="179"/>
        <v>0</v>
      </c>
      <c r="BA31" s="181"/>
      <c r="BB31" s="176"/>
      <c r="BC31" s="176"/>
      <c r="BD31" s="176"/>
      <c r="BE31" s="176"/>
      <c r="BF31" s="176"/>
      <c r="BG31" s="176"/>
      <c r="BH31" s="223">
        <f t="shared" si="180"/>
        <v>0</v>
      </c>
      <c r="BI31" s="181"/>
      <c r="BJ31" s="176"/>
      <c r="BK31" s="176"/>
      <c r="BL31" s="176"/>
      <c r="BM31" s="176"/>
      <c r="BN31" s="176"/>
      <c r="BO31" s="176"/>
      <c r="BP31" s="223">
        <f t="shared" si="181"/>
        <v>0</v>
      </c>
      <c r="BQ31" s="181"/>
      <c r="BR31" s="176"/>
      <c r="BS31" s="176"/>
      <c r="BT31" s="176"/>
      <c r="BU31" s="176"/>
      <c r="BV31" s="176"/>
      <c r="BW31" s="176"/>
      <c r="BX31" s="223">
        <f t="shared" si="182"/>
        <v>0</v>
      </c>
      <c r="BY31" s="181"/>
      <c r="BZ31" s="176"/>
      <c r="CA31" s="176"/>
      <c r="CB31" s="176"/>
      <c r="CC31" s="176"/>
      <c r="CD31" s="176"/>
      <c r="CE31" s="176"/>
      <c r="CF31" s="223">
        <f t="shared" si="183"/>
        <v>0</v>
      </c>
      <c r="CG31" s="181"/>
      <c r="CH31" s="176"/>
      <c r="CI31" s="176"/>
      <c r="CJ31" s="176"/>
      <c r="CK31" s="176"/>
      <c r="CL31" s="176"/>
      <c r="CM31" s="176"/>
      <c r="CN31" s="223">
        <f t="shared" si="184"/>
        <v>0</v>
      </c>
      <c r="CO31" s="181"/>
      <c r="CP31" s="176"/>
      <c r="CQ31" s="176"/>
      <c r="CR31" s="176"/>
      <c r="CS31" s="176"/>
      <c r="CT31" s="176"/>
      <c r="CU31" s="176"/>
      <c r="CV31" s="223">
        <f t="shared" si="185"/>
        <v>0</v>
      </c>
      <c r="CW31" s="181"/>
      <c r="CX31" s="176"/>
      <c r="CY31" s="176"/>
      <c r="CZ31" s="176"/>
      <c r="DA31" s="176"/>
      <c r="DB31" s="176"/>
      <c r="DC31" s="176"/>
      <c r="DD31" s="223">
        <f t="shared" si="186"/>
        <v>0</v>
      </c>
      <c r="DE31" s="181"/>
      <c r="DF31" s="176"/>
      <c r="DG31" s="176"/>
      <c r="DH31" s="176"/>
      <c r="DI31" s="176"/>
      <c r="DJ31" s="176"/>
      <c r="DK31" s="176"/>
      <c r="DL31" s="223">
        <f t="shared" si="187"/>
        <v>0</v>
      </c>
      <c r="DM31" s="181"/>
      <c r="DN31" s="176"/>
      <c r="DO31" s="176"/>
      <c r="DP31" s="176"/>
      <c r="DQ31" s="176"/>
      <c r="DR31" s="176"/>
      <c r="DS31" s="176"/>
      <c r="DT31" s="223">
        <f t="shared" si="188"/>
        <v>0</v>
      </c>
      <c r="DU31" s="181"/>
      <c r="DV31" s="176"/>
      <c r="DW31" s="176"/>
      <c r="DX31" s="176"/>
      <c r="DY31" s="176"/>
      <c r="DZ31" s="176"/>
      <c r="EA31" s="176"/>
      <c r="EB31" s="223">
        <f t="shared" si="189"/>
        <v>0</v>
      </c>
      <c r="EC31" s="181"/>
      <c r="ED31" s="176"/>
      <c r="EE31" s="176"/>
      <c r="EF31" s="176"/>
      <c r="EG31" s="176"/>
      <c r="EH31" s="176"/>
      <c r="EI31" s="176"/>
      <c r="EJ31" s="223">
        <f t="shared" si="190"/>
        <v>0</v>
      </c>
      <c r="EK31" s="181"/>
      <c r="EL31" s="176"/>
      <c r="EM31" s="176"/>
      <c r="EN31" s="176"/>
      <c r="EO31" s="176"/>
      <c r="EP31" s="176"/>
      <c r="EQ31" s="176"/>
      <c r="ER31" s="223">
        <f t="shared" si="191"/>
        <v>0</v>
      </c>
      <c r="ES31" s="181"/>
      <c r="ET31" s="176"/>
      <c r="EU31" s="176"/>
      <c r="EV31" s="176"/>
      <c r="EW31" s="176"/>
      <c r="EX31" s="176"/>
      <c r="EY31" s="176"/>
      <c r="EZ31" s="223">
        <f t="shared" si="192"/>
        <v>0</v>
      </c>
      <c r="FA31" s="181"/>
      <c r="FB31" s="176"/>
      <c r="FC31" s="176"/>
      <c r="FD31" s="176"/>
      <c r="FE31" s="176"/>
      <c r="FF31" s="176"/>
      <c r="FG31" s="176"/>
      <c r="FH31" s="223">
        <f t="shared" si="193"/>
        <v>0</v>
      </c>
      <c r="FI31" s="291">
        <f t="shared" si="194"/>
        <v>91</v>
      </c>
      <c r="FJ31" s="250">
        <v>84</v>
      </c>
      <c r="FK31" s="250"/>
      <c r="FL31" s="291">
        <f t="shared" si="195"/>
        <v>89</v>
      </c>
      <c r="FM31" s="312" t="str">
        <f>IFERROR(IF(FL31="","",IF(FL31&gt;=KONVERSI!$A$5,KONVERSI!$D$5,IF(FL31&gt;=KONVERSI!$A$6,KONVERSI!$D$6,IF(FL31&gt;=KONVERSI!$A$7,KONVERSI!$D$7,KONVERSI!$D$8)))),"")</f>
        <v>B</v>
      </c>
      <c r="FN31" s="232" t="str">
        <f t="shared" si="196"/>
        <v>Tuntas</v>
      </c>
      <c r="FO31" s="313"/>
      <c r="FP31" s="314">
        <f t="shared" si="197"/>
        <v>88.5</v>
      </c>
      <c r="FQ31" s="194">
        <f t="shared" si="33"/>
        <v>88</v>
      </c>
      <c r="FR31" s="194">
        <f t="shared" si="34"/>
        <v>90</v>
      </c>
      <c r="FS31" s="194" t="str">
        <f t="shared" si="35"/>
        <v/>
      </c>
      <c r="FT31" s="194" t="str">
        <f t="shared" si="36"/>
        <v/>
      </c>
      <c r="FU31" s="194" t="str">
        <f t="shared" si="37"/>
        <v/>
      </c>
      <c r="FV31" s="194">
        <f t="shared" si="38"/>
        <v>93.4</v>
      </c>
      <c r="FW31" s="194">
        <f t="shared" si="39"/>
        <v>88</v>
      </c>
      <c r="FX31" s="194">
        <f t="shared" si="344"/>
        <v>88</v>
      </c>
      <c r="FY31" s="194" t="str">
        <f t="shared" si="40"/>
        <v/>
      </c>
      <c r="FZ31" s="194" t="str">
        <f t="shared" si="41"/>
        <v/>
      </c>
      <c r="GA31" s="194" t="str">
        <f t="shared" si="42"/>
        <v/>
      </c>
      <c r="GB31" s="194">
        <f t="shared" si="43"/>
        <v>88</v>
      </c>
      <c r="GC31" s="194" t="str">
        <f t="shared" si="44"/>
        <v/>
      </c>
      <c r="GD31" s="194" t="str">
        <f t="shared" si="45"/>
        <v/>
      </c>
      <c r="GE31" s="194" t="str">
        <f t="shared" si="46"/>
        <v/>
      </c>
      <c r="GF31" s="194" t="str">
        <f t="shared" si="47"/>
        <v/>
      </c>
      <c r="GG31" s="194" t="str">
        <f t="shared" si="48"/>
        <v/>
      </c>
      <c r="GH31" s="194" t="str">
        <f t="shared" si="49"/>
        <v/>
      </c>
      <c r="GI31" s="194" t="str">
        <f t="shared" si="50"/>
        <v/>
      </c>
      <c r="GJ31" s="194" t="str">
        <f t="shared" si="51"/>
        <v/>
      </c>
      <c r="GK31" s="194" t="str">
        <f t="shared" si="52"/>
        <v/>
      </c>
      <c r="GL31" s="194" t="str">
        <f t="shared" si="53"/>
        <v/>
      </c>
      <c r="GM31" s="194" t="str">
        <f t="shared" si="54"/>
        <v/>
      </c>
      <c r="GN31" s="194" t="str">
        <f t="shared" si="55"/>
        <v/>
      </c>
      <c r="GO31" s="194" t="str">
        <f t="shared" si="56"/>
        <v/>
      </c>
      <c r="GP31" s="194" t="str">
        <f t="shared" si="57"/>
        <v/>
      </c>
      <c r="GQ31" s="194" t="str">
        <f t="shared" si="58"/>
        <v/>
      </c>
      <c r="GR31" s="194" t="str">
        <f t="shared" si="59"/>
        <v/>
      </c>
      <c r="GS31" s="194" t="str">
        <f t="shared" si="60"/>
        <v/>
      </c>
      <c r="GT31" s="194" t="str">
        <f t="shared" si="61"/>
        <v/>
      </c>
      <c r="GU31" s="194" t="str">
        <f t="shared" si="62"/>
        <v/>
      </c>
      <c r="GV31" s="194" t="str">
        <f t="shared" si="63"/>
        <v/>
      </c>
      <c r="GW31" s="194" t="str">
        <f t="shared" si="64"/>
        <v/>
      </c>
      <c r="GX31" s="194" t="str">
        <f t="shared" si="65"/>
        <v/>
      </c>
      <c r="GY31" s="194" t="str">
        <f t="shared" si="66"/>
        <v/>
      </c>
      <c r="GZ31" s="194" t="str">
        <f t="shared" si="67"/>
        <v/>
      </c>
      <c r="HA31" s="194" t="str">
        <f t="shared" si="68"/>
        <v/>
      </c>
      <c r="HB31" s="194" t="str">
        <f t="shared" si="69"/>
        <v/>
      </c>
      <c r="HC31" s="194" t="str">
        <f t="shared" si="70"/>
        <v/>
      </c>
      <c r="HD31" s="194" t="str">
        <f t="shared" si="71"/>
        <v/>
      </c>
      <c r="HE31" s="194" t="str">
        <f t="shared" si="72"/>
        <v/>
      </c>
      <c r="HF31" s="194" t="str">
        <f t="shared" si="73"/>
        <v/>
      </c>
      <c r="HG31" s="194" t="str">
        <f t="shared" si="74"/>
        <v/>
      </c>
      <c r="HH31" s="194" t="str">
        <f t="shared" si="75"/>
        <v/>
      </c>
      <c r="HI31" s="194" t="str">
        <f t="shared" si="76"/>
        <v/>
      </c>
      <c r="HJ31" s="194" t="str">
        <f t="shared" si="77"/>
        <v/>
      </c>
      <c r="HK31" s="194" t="str">
        <f t="shared" si="78"/>
        <v/>
      </c>
      <c r="HL31" s="194" t="str">
        <f t="shared" si="79"/>
        <v/>
      </c>
      <c r="HM31" s="194" t="str">
        <f t="shared" si="80"/>
        <v/>
      </c>
      <c r="HN31" s="194" t="str">
        <f t="shared" si="81"/>
        <v/>
      </c>
      <c r="HO31" s="194" t="str">
        <f t="shared" si="82"/>
        <v/>
      </c>
      <c r="HP31" s="194" t="str">
        <f t="shared" si="83"/>
        <v/>
      </c>
      <c r="HQ31" s="194" t="str">
        <f t="shared" si="84"/>
        <v/>
      </c>
      <c r="HR31" s="194" t="str">
        <f t="shared" si="85"/>
        <v/>
      </c>
      <c r="HS31" s="194" t="str">
        <f t="shared" si="86"/>
        <v/>
      </c>
      <c r="HT31" s="194" t="str">
        <f t="shared" si="87"/>
        <v/>
      </c>
      <c r="HU31" s="194" t="str">
        <f t="shared" si="88"/>
        <v/>
      </c>
      <c r="HV31" s="194" t="str">
        <f t="shared" si="89"/>
        <v/>
      </c>
      <c r="HW31" s="194" t="str">
        <f t="shared" si="90"/>
        <v/>
      </c>
      <c r="HX31" s="194" t="str">
        <f t="shared" si="91"/>
        <v/>
      </c>
      <c r="HY31" s="194" t="str">
        <f t="shared" si="92"/>
        <v/>
      </c>
      <c r="HZ31" s="194" t="str">
        <f t="shared" si="93"/>
        <v/>
      </c>
      <c r="IA31" s="194" t="str">
        <f t="shared" si="94"/>
        <v/>
      </c>
      <c r="IB31" s="194" t="str">
        <f t="shared" si="95"/>
        <v/>
      </c>
      <c r="IC31" s="194" t="str">
        <f t="shared" si="96"/>
        <v/>
      </c>
      <c r="ID31" s="194" t="str">
        <f t="shared" si="97"/>
        <v/>
      </c>
      <c r="IE31" s="194" t="str">
        <f t="shared" si="98"/>
        <v/>
      </c>
      <c r="IF31" s="194" t="str">
        <f t="shared" si="99"/>
        <v/>
      </c>
      <c r="IG31" s="194" t="str">
        <f t="shared" si="100"/>
        <v/>
      </c>
      <c r="IH31" s="194" t="str">
        <f t="shared" si="101"/>
        <v/>
      </c>
      <c r="II31" s="194" t="str">
        <f t="shared" si="102"/>
        <v/>
      </c>
      <c r="IJ31" s="194" t="str">
        <f t="shared" si="103"/>
        <v/>
      </c>
      <c r="IK31" s="194" t="str">
        <f t="shared" si="104"/>
        <v/>
      </c>
      <c r="IL31" s="194" t="str">
        <f t="shared" si="105"/>
        <v/>
      </c>
      <c r="IM31" s="194" t="str">
        <f t="shared" si="106"/>
        <v/>
      </c>
      <c r="IN31" s="194" t="str">
        <f t="shared" si="107"/>
        <v/>
      </c>
      <c r="IO31" s="194" t="str">
        <f t="shared" si="108"/>
        <v/>
      </c>
      <c r="IP31" s="194" t="str">
        <f t="shared" si="109"/>
        <v/>
      </c>
      <c r="IQ31" s="194" t="str">
        <f t="shared" si="110"/>
        <v/>
      </c>
      <c r="IR31" s="194" t="str">
        <f t="shared" si="111"/>
        <v/>
      </c>
      <c r="IS31" s="194" t="str">
        <f t="shared" si="112"/>
        <v/>
      </c>
      <c r="IT31" s="194" t="str">
        <f t="shared" si="113"/>
        <v/>
      </c>
      <c r="IU31" s="194" t="str">
        <f t="shared" si="114"/>
        <v/>
      </c>
      <c r="IV31" s="194" t="str">
        <f t="shared" si="115"/>
        <v/>
      </c>
      <c r="IW31" s="194" t="str">
        <f t="shared" si="116"/>
        <v/>
      </c>
      <c r="IX31" s="194" t="str">
        <f t="shared" si="117"/>
        <v/>
      </c>
      <c r="IY31" s="194" t="str">
        <f t="shared" si="118"/>
        <v/>
      </c>
      <c r="IZ31" s="194" t="str">
        <f t="shared" si="119"/>
        <v/>
      </c>
      <c r="JA31" s="194" t="str">
        <f t="shared" si="120"/>
        <v/>
      </c>
      <c r="JB31" s="194" t="str">
        <f t="shared" si="121"/>
        <v/>
      </c>
      <c r="JC31" s="194" t="str">
        <f t="shared" si="122"/>
        <v/>
      </c>
      <c r="JD31" s="194" t="str">
        <f t="shared" si="123"/>
        <v/>
      </c>
      <c r="JE31" s="194" t="str">
        <f t="shared" si="124"/>
        <v/>
      </c>
      <c r="JF31" s="194" t="str">
        <f t="shared" si="125"/>
        <v/>
      </c>
      <c r="JG31" s="194" t="str">
        <f t="shared" si="126"/>
        <v/>
      </c>
      <c r="JH31" s="194" t="str">
        <f t="shared" si="127"/>
        <v/>
      </c>
      <c r="JI31" s="194" t="str">
        <f t="shared" si="128"/>
        <v/>
      </c>
      <c r="JJ31" s="194" t="str">
        <f t="shared" si="129"/>
        <v/>
      </c>
      <c r="JK31" s="194" t="str">
        <f t="shared" si="130"/>
        <v/>
      </c>
      <c r="JL31" s="194" t="str">
        <f t="shared" si="131"/>
        <v/>
      </c>
      <c r="JM31" s="194" t="str">
        <f t="shared" si="132"/>
        <v/>
      </c>
      <c r="JN31" s="194" t="str">
        <f t="shared" si="133"/>
        <v/>
      </c>
      <c r="JO31" s="194" t="str">
        <f t="shared" si="134"/>
        <v/>
      </c>
      <c r="JP31" s="194" t="str">
        <f t="shared" si="135"/>
        <v/>
      </c>
      <c r="JQ31" s="194" t="str">
        <f t="shared" si="136"/>
        <v/>
      </c>
      <c r="JR31" s="194" t="str">
        <f t="shared" si="137"/>
        <v/>
      </c>
      <c r="JS31" s="194" t="str">
        <f t="shared" si="138"/>
        <v/>
      </c>
      <c r="JT31" s="194" t="str">
        <f t="shared" si="139"/>
        <v/>
      </c>
      <c r="JU31" s="194" t="str">
        <f t="shared" si="140"/>
        <v/>
      </c>
      <c r="JV31" s="194" t="str">
        <f t="shared" si="141"/>
        <v/>
      </c>
      <c r="JW31" s="194" t="str">
        <f t="shared" si="142"/>
        <v/>
      </c>
      <c r="JX31" s="194" t="str">
        <f t="shared" si="143"/>
        <v/>
      </c>
      <c r="JY31" s="194" t="str">
        <f t="shared" si="144"/>
        <v/>
      </c>
      <c r="JZ31" s="194" t="str">
        <f t="shared" si="145"/>
        <v/>
      </c>
      <c r="KA31" s="194" t="str">
        <f t="shared" si="146"/>
        <v/>
      </c>
      <c r="KB31" s="194" t="str">
        <f t="shared" si="147"/>
        <v/>
      </c>
      <c r="KC31" s="194" t="str">
        <f t="shared" si="148"/>
        <v/>
      </c>
      <c r="KD31" s="194" t="str">
        <f t="shared" si="149"/>
        <v/>
      </c>
      <c r="KE31" s="194" t="str">
        <f t="shared" si="150"/>
        <v/>
      </c>
      <c r="KF31" s="194" t="str">
        <f t="shared" si="151"/>
        <v/>
      </c>
      <c r="KG31" s="194">
        <f>SUM(LE31:LX31)/COUNTA(RefKI3KI4!$B$5:$B$24)</f>
        <v>90.7</v>
      </c>
      <c r="KH31" s="232">
        <f t="shared" si="198"/>
        <v>0</v>
      </c>
      <c r="KI31" s="340" t="str">
        <f t="shared" si="199"/>
        <v>ok</v>
      </c>
      <c r="KJ31" s="340" t="str">
        <f t="shared" si="200"/>
        <v>ok</v>
      </c>
      <c r="KK31" s="340" t="str">
        <f t="shared" si="201"/>
        <v/>
      </c>
      <c r="KL31" s="340" t="str">
        <f t="shared" si="202"/>
        <v/>
      </c>
      <c r="KM31" s="340" t="str">
        <f t="shared" si="203"/>
        <v/>
      </c>
      <c r="KN31" s="340" t="str">
        <f t="shared" si="204"/>
        <v/>
      </c>
      <c r="KO31" s="340" t="str">
        <f t="shared" si="205"/>
        <v/>
      </c>
      <c r="KP31" s="340" t="str">
        <f t="shared" si="206"/>
        <v/>
      </c>
      <c r="KQ31" s="340" t="str">
        <f t="shared" si="207"/>
        <v/>
      </c>
      <c r="KR31" s="340" t="str">
        <f t="shared" si="208"/>
        <v/>
      </c>
      <c r="KS31" s="340" t="str">
        <f t="shared" si="209"/>
        <v/>
      </c>
      <c r="KT31" s="340" t="str">
        <f t="shared" si="210"/>
        <v/>
      </c>
      <c r="KU31" s="340" t="str">
        <f t="shared" si="211"/>
        <v/>
      </c>
      <c r="KV31" s="340" t="str">
        <f t="shared" si="212"/>
        <v/>
      </c>
      <c r="KW31" s="340" t="str">
        <f t="shared" si="213"/>
        <v/>
      </c>
      <c r="KX31" s="340" t="str">
        <f t="shared" si="214"/>
        <v/>
      </c>
      <c r="KY31" s="340" t="str">
        <f t="shared" si="215"/>
        <v/>
      </c>
      <c r="KZ31" s="340" t="str">
        <f t="shared" si="216"/>
        <v/>
      </c>
      <c r="LA31" s="340" t="str">
        <f t="shared" si="217"/>
        <v/>
      </c>
      <c r="LB31" s="340" t="str">
        <f t="shared" si="218"/>
        <v/>
      </c>
      <c r="LC31" s="340">
        <f t="shared" si="219"/>
        <v>0</v>
      </c>
      <c r="LD31" s="228">
        <v>23</v>
      </c>
      <c r="LE31" s="229">
        <f t="shared" si="220"/>
        <v>93.4</v>
      </c>
      <c r="LF31" s="229">
        <f t="shared" si="221"/>
        <v>88</v>
      </c>
      <c r="LG31" s="229" t="str">
        <f t="shared" si="222"/>
        <v/>
      </c>
      <c r="LH31" s="229" t="str">
        <f t="shared" si="223"/>
        <v/>
      </c>
      <c r="LI31" s="229" t="str">
        <f t="shared" si="224"/>
        <v/>
      </c>
      <c r="LJ31" s="229" t="str">
        <f t="shared" si="225"/>
        <v/>
      </c>
      <c r="LK31" s="229" t="str">
        <f t="shared" si="226"/>
        <v/>
      </c>
      <c r="LL31" s="229" t="str">
        <f t="shared" si="227"/>
        <v/>
      </c>
      <c r="LM31" s="229" t="str">
        <f t="shared" si="228"/>
        <v/>
      </c>
      <c r="LN31" s="229" t="str">
        <f t="shared" si="229"/>
        <v/>
      </c>
      <c r="LO31" s="229" t="str">
        <f t="shared" si="230"/>
        <v/>
      </c>
      <c r="LP31" s="229" t="str">
        <f t="shared" si="231"/>
        <v/>
      </c>
      <c r="LQ31" s="229" t="str">
        <f t="shared" si="232"/>
        <v/>
      </c>
      <c r="LR31" s="229" t="str">
        <f t="shared" si="233"/>
        <v/>
      </c>
      <c r="LS31" s="229" t="str">
        <f t="shared" si="234"/>
        <v/>
      </c>
      <c r="LT31" s="229" t="str">
        <f t="shared" si="235"/>
        <v/>
      </c>
      <c r="LU31" s="229" t="str">
        <f t="shared" si="236"/>
        <v/>
      </c>
      <c r="LV31" s="229" t="str">
        <f t="shared" si="237"/>
        <v/>
      </c>
      <c r="LW31" s="229" t="str">
        <f t="shared" si="238"/>
        <v/>
      </c>
      <c r="LX31" s="229" t="str">
        <f t="shared" si="239"/>
        <v/>
      </c>
      <c r="LY31" s="231">
        <f t="shared" si="240"/>
        <v>93.4</v>
      </c>
      <c r="LZ31" s="231">
        <f t="shared" si="241"/>
        <v>88</v>
      </c>
      <c r="MA31" s="231" t="str">
        <f t="shared" si="242"/>
        <v/>
      </c>
      <c r="MB31" s="231" t="str">
        <f t="shared" si="243"/>
        <v/>
      </c>
      <c r="MC31" s="231" t="str">
        <f t="shared" si="244"/>
        <v/>
      </c>
      <c r="MD31" s="231" t="str">
        <f t="shared" si="245"/>
        <v/>
      </c>
      <c r="ME31" s="231" t="str">
        <f t="shared" si="246"/>
        <v/>
      </c>
      <c r="MF31" s="231" t="str">
        <f t="shared" si="247"/>
        <v/>
      </c>
      <c r="MG31" s="231" t="str">
        <f t="shared" si="248"/>
        <v/>
      </c>
      <c r="MH31" s="231" t="str">
        <f t="shared" si="249"/>
        <v/>
      </c>
      <c r="MI31" s="231" t="str">
        <f t="shared" si="250"/>
        <v/>
      </c>
      <c r="MJ31" s="231" t="str">
        <f t="shared" si="251"/>
        <v/>
      </c>
      <c r="MK31" s="231" t="str">
        <f t="shared" si="252"/>
        <v/>
      </c>
      <c r="ML31" s="231" t="str">
        <f t="shared" si="253"/>
        <v/>
      </c>
      <c r="MM31" s="231" t="str">
        <f t="shared" si="254"/>
        <v/>
      </c>
      <c r="MN31" s="231" t="str">
        <f t="shared" si="255"/>
        <v/>
      </c>
      <c r="MO31" s="231" t="str">
        <f t="shared" si="256"/>
        <v/>
      </c>
      <c r="MP31" s="231" t="str">
        <f t="shared" si="257"/>
        <v/>
      </c>
      <c r="MQ31" s="231" t="str">
        <f t="shared" si="258"/>
        <v/>
      </c>
      <c r="MR31" s="231" t="str">
        <f t="shared" si="259"/>
        <v/>
      </c>
      <c r="MS31" s="231">
        <f t="shared" si="154"/>
        <v>93.4</v>
      </c>
      <c r="MT31" s="232" t="str">
        <f>IF(MS31="","",IF(MS31&gt;=KONVERSI!$A$5,KONVERSI!$E$5,IF(MS31&gt;=KONVERSI!$A$6,KONVERSI!$E$6,IF(MS31&gt;=KONVERSI!$A$7,KONVERSI!$E$7,KONVERSI!$E$8))))</f>
        <v>Sangat baik</v>
      </c>
      <c r="MU31" s="233" t="str">
        <f t="shared" si="155"/>
        <v>Sangat baik dalamjenis, sifat, karakter dan teknik pengolahan kerang, kaca, keramik dan botol plastik</v>
      </c>
      <c r="MV31" s="234">
        <f t="shared" si="260"/>
        <v>88</v>
      </c>
      <c r="MW31" s="232" t="str">
        <f>IF(MV31="","",IF(MV31&gt;=KONVERSI!$A$5,KONVERSI!$E$5,IF(MV31&gt;=KONVERSI!$A$6,KONVERSI!$E$6,IF(MV31&gt;=KONVERSI!$A$7,KONVERSI!$E$7,KONVERSI!$E$8))))</f>
        <v>Baik</v>
      </c>
      <c r="MX31" s="134" t="str">
        <f>IF(FI31&lt;$FN$4," "&amp;KONVERSI!$C$18&amp;INDEX($LY$8:$MR$8,MATCH(MV31,LY31:MR31,0))&amp;".",IF(KG31=0,"",IF(MV31&lt;&gt;0,MU31&amp;MW31&amp;".",MU31&amp;".")))</f>
        <v>Sangat baik dalamjenis, sifat, karakter dan teknik pengolahan kerang, kaca, keramik dan botol plastikBaik.</v>
      </c>
      <c r="MY31" s="235" t="str">
        <f t="shared" si="261"/>
        <v>OK</v>
      </c>
      <c r="MZ31" s="235" t="str">
        <f t="shared" si="262"/>
        <v>NO</v>
      </c>
      <c r="NA31" s="235" t="str">
        <f t="shared" si="263"/>
        <v/>
      </c>
      <c r="NB31" s="235" t="str">
        <f t="shared" si="264"/>
        <v/>
      </c>
      <c r="NC31" s="235" t="str">
        <f t="shared" si="265"/>
        <v/>
      </c>
      <c r="ND31" s="235" t="str">
        <f t="shared" si="266"/>
        <v/>
      </c>
      <c r="NE31" s="235" t="str">
        <f t="shared" si="267"/>
        <v/>
      </c>
      <c r="NF31" s="235" t="str">
        <f t="shared" si="268"/>
        <v/>
      </c>
      <c r="NG31" s="235" t="str">
        <f t="shared" si="269"/>
        <v/>
      </c>
      <c r="NH31" s="235" t="str">
        <f t="shared" si="270"/>
        <v/>
      </c>
      <c r="NI31" s="235" t="str">
        <f t="shared" si="271"/>
        <v/>
      </c>
      <c r="NJ31" s="235" t="str">
        <f t="shared" si="272"/>
        <v/>
      </c>
      <c r="NK31" s="235" t="str">
        <f t="shared" si="273"/>
        <v/>
      </c>
      <c r="NL31" s="235" t="str">
        <f t="shared" si="274"/>
        <v/>
      </c>
      <c r="NM31" s="235" t="str">
        <f t="shared" si="275"/>
        <v/>
      </c>
      <c r="NN31" s="235" t="str">
        <f t="shared" si="276"/>
        <v/>
      </c>
      <c r="NO31" s="235" t="str">
        <f t="shared" si="277"/>
        <v/>
      </c>
      <c r="NP31" s="235" t="str">
        <f t="shared" si="278"/>
        <v/>
      </c>
      <c r="NQ31" s="235" t="str">
        <f t="shared" si="279"/>
        <v/>
      </c>
      <c r="NR31" s="235" t="str">
        <f t="shared" si="280"/>
        <v/>
      </c>
      <c r="NS31" s="134" t="str">
        <f t="shared" si="281"/>
        <v>jenis, sifat, karakter dan teknik pengolahan kerang, kaca, keramik dan botol plastik</v>
      </c>
      <c r="NT31" s="134" t="str">
        <f t="shared" si="282"/>
        <v/>
      </c>
      <c r="NU31" s="134" t="str">
        <f t="shared" si="283"/>
        <v/>
      </c>
      <c r="NV31" s="134" t="str">
        <f t="shared" si="284"/>
        <v/>
      </c>
      <c r="NW31" s="134" t="str">
        <f t="shared" si="285"/>
        <v/>
      </c>
      <c r="NX31" s="134" t="str">
        <f t="shared" si="286"/>
        <v/>
      </c>
      <c r="NY31" s="134" t="str">
        <f t="shared" si="287"/>
        <v/>
      </c>
      <c r="NZ31" s="134" t="str">
        <f t="shared" si="288"/>
        <v/>
      </c>
      <c r="OA31" s="134" t="str">
        <f t="shared" si="289"/>
        <v/>
      </c>
      <c r="OB31" s="134" t="str">
        <f t="shared" si="290"/>
        <v/>
      </c>
      <c r="OC31" s="134" t="str">
        <f t="shared" si="291"/>
        <v/>
      </c>
      <c r="OD31" s="134" t="str">
        <f t="shared" si="292"/>
        <v/>
      </c>
      <c r="OE31" s="134" t="str">
        <f t="shared" si="293"/>
        <v/>
      </c>
      <c r="OF31" s="134" t="str">
        <f t="shared" si="294"/>
        <v/>
      </c>
      <c r="OG31" s="134" t="str">
        <f t="shared" si="295"/>
        <v/>
      </c>
      <c r="OH31" s="134" t="str">
        <f t="shared" si="296"/>
        <v/>
      </c>
      <c r="OI31" s="134" t="str">
        <f t="shared" si="297"/>
        <v/>
      </c>
      <c r="OJ31" s="134" t="str">
        <f t="shared" si="298"/>
        <v/>
      </c>
      <c r="OK31" s="134" t="str">
        <f t="shared" si="299"/>
        <v/>
      </c>
      <c r="OL31" s="134" t="str">
        <f t="shared" si="300"/>
        <v/>
      </c>
      <c r="OM31" s="134" t="str">
        <f t="shared" si="301"/>
        <v>Sangat baik dalam jenis, sifat, karakter dan teknik pengolahan kerang, kaca, keramik dan botol plastik</v>
      </c>
      <c r="ON31" s="134" t="str">
        <f t="shared" si="302"/>
        <v>Sangat baik dalam jenis, sifat, karakter dan teknik pengolahan kerang, kaca, keramik dan botol plasti.  </v>
      </c>
      <c r="OO31" s="236">
        <f t="shared" si="169"/>
        <v>1</v>
      </c>
      <c r="OP31" s="235" t="str">
        <f t="shared" si="303"/>
        <v>NO</v>
      </c>
      <c r="OQ31" s="235" t="str">
        <f t="shared" si="304"/>
        <v>OK</v>
      </c>
      <c r="OR31" s="235" t="str">
        <f t="shared" si="305"/>
        <v/>
      </c>
      <c r="OS31" s="235" t="str">
        <f t="shared" si="306"/>
        <v/>
      </c>
      <c r="OT31" s="235" t="str">
        <f t="shared" si="307"/>
        <v/>
      </c>
      <c r="OU31" s="235" t="str">
        <f t="shared" si="308"/>
        <v/>
      </c>
      <c r="OV31" s="235" t="str">
        <f t="shared" si="309"/>
        <v/>
      </c>
      <c r="OW31" s="235" t="str">
        <f t="shared" si="310"/>
        <v/>
      </c>
      <c r="OX31" s="235" t="str">
        <f t="shared" si="311"/>
        <v/>
      </c>
      <c r="OY31" s="235" t="str">
        <f t="shared" si="312"/>
        <v/>
      </c>
      <c r="OZ31" s="235" t="str">
        <f t="shared" si="313"/>
        <v/>
      </c>
      <c r="PA31" s="235" t="str">
        <f t="shared" si="314"/>
        <v/>
      </c>
      <c r="PB31" s="235" t="str">
        <f t="shared" si="315"/>
        <v/>
      </c>
      <c r="PC31" s="235" t="str">
        <f t="shared" si="316"/>
        <v/>
      </c>
      <c r="PD31" s="235" t="str">
        <f t="shared" si="317"/>
        <v/>
      </c>
      <c r="PE31" s="235" t="str">
        <f t="shared" si="318"/>
        <v/>
      </c>
      <c r="PF31" s="235" t="str">
        <f t="shared" si="319"/>
        <v/>
      </c>
      <c r="PG31" s="235" t="str">
        <f t="shared" si="320"/>
        <v/>
      </c>
      <c r="PH31" s="235" t="str">
        <f t="shared" si="321"/>
        <v/>
      </c>
      <c r="PI31" s="235" t="str">
        <f t="shared" si="322"/>
        <v/>
      </c>
      <c r="PJ31" s="134" t="str">
        <f t="shared" si="323"/>
        <v/>
      </c>
      <c r="PK31" s="134" t="str">
        <f t="shared" si="324"/>
        <v>prinsip perancangan, pembuatan dan penyajian produk kerajinan kerang, kaca, keramik dan botol plastik yang kreatif dan inovatif</v>
      </c>
      <c r="PL31" s="134" t="str">
        <f t="shared" si="325"/>
        <v/>
      </c>
      <c r="PM31" s="134" t="str">
        <f t="shared" si="326"/>
        <v/>
      </c>
      <c r="PN31" s="134" t="str">
        <f t="shared" si="327"/>
        <v/>
      </c>
      <c r="PO31" s="134" t="str">
        <f t="shared" si="328"/>
        <v/>
      </c>
      <c r="PP31" s="134" t="str">
        <f t="shared" si="329"/>
        <v/>
      </c>
      <c r="PQ31" s="134" t="str">
        <f t="shared" si="330"/>
        <v/>
      </c>
      <c r="PR31" s="134" t="str">
        <f t="shared" si="331"/>
        <v/>
      </c>
      <c r="PS31" s="134" t="str">
        <f t="shared" si="332"/>
        <v/>
      </c>
      <c r="PT31" s="134" t="str">
        <f t="shared" si="333"/>
        <v/>
      </c>
      <c r="PU31" s="134" t="str">
        <f t="shared" si="334"/>
        <v/>
      </c>
      <c r="PV31" s="134" t="str">
        <f t="shared" si="335"/>
        <v/>
      </c>
      <c r="PW31" s="134" t="str">
        <f t="shared" si="336"/>
        <v/>
      </c>
      <c r="PX31" s="134" t="str">
        <f t="shared" si="337"/>
        <v/>
      </c>
      <c r="PY31" s="134" t="str">
        <f t="shared" si="338"/>
        <v/>
      </c>
      <c r="PZ31" s="134" t="str">
        <f t="shared" si="339"/>
        <v/>
      </c>
      <c r="QA31" s="134" t="str">
        <f t="shared" si="340"/>
        <v/>
      </c>
      <c r="QB31" s="134" t="str">
        <f t="shared" si="341"/>
        <v/>
      </c>
      <c r="QC31" s="134" t="str">
        <f t="shared" si="342"/>
        <v/>
      </c>
      <c r="QD31" s="134" t="str">
        <f>IF(MT31=MW31,"",IF(MV31="","",IF(MV31&gt;=KONVERSI!$A$7,'KI3'!MW31&amp;" dalam"&amp;PJ31&amp;PK31&amp;PL31&amp;PM31&amp;PN31&amp;PO31&amp;PP31&amp;PQ31&amp;PR31&amp;PS31&amp;PT31&amp;PU31&amp;PV31&amp;PW31&amp;PX31&amp;PY31&amp;PZ31&amp;QA31&amp;QB31&amp;QC31,KONVERSI!$C$18&amp;" dalam"&amp;PJ31&amp;PK31&amp;PL31&amp;PM31&amp;PN31&amp;PO31&amp;PP31&amp;PQ31&amp;PR31&amp;PS31&amp;PT31&amp;PU31&amp;PV31&amp;PW31&amp;PX31&amp;PY31&amp;PZ31&amp;QA31&amp;QB31&amp;QC31)))</f>
        <v>Baik dalamprinsip perancangan, pembuatan dan penyajian produk kerajinan kerang, kaca, keramik dan botol plastik yang kreatif dan inovatif</v>
      </c>
      <c r="QE31" s="134" t="str">
        <f t="shared" si="343"/>
        <v>Baik dalamprinsip perancangan, pembuatan dan penyajian produk kerajinan kerang, kaca, keramik dan botol plastik yang kreatif dan inovati.</v>
      </c>
      <c r="QF31" s="236">
        <f t="shared" si="172"/>
        <v>1</v>
      </c>
      <c r="QG31" s="134" t="str">
        <f t="shared" si="173"/>
        <v>Sangat baik dalam jenis, sifat, karakter dan teknik pengolahan kerang, kaca, keramik dan botol plasti.  Baik dalamprinsip perancangan, pembuatan dan penyajian produk kerajinan kerang, kaca, keramik dan botol plastik yang kreatif dan inovati.</v>
      </c>
    </row>
    <row r="32" ht="27.6" customHeight="1" spans="1:449">
      <c r="A32" s="136"/>
      <c r="B32" s="177">
        <v>24</v>
      </c>
      <c r="C32" s="178" t="str">
        <f>siswa!C28</f>
        <v>TAGON BOAS BARUARA</v>
      </c>
      <c r="D32" s="174">
        <f>siswa!D28</f>
        <v>2848</v>
      </c>
      <c r="E32" s="175">
        <v>90</v>
      </c>
      <c r="F32" s="175">
        <v>90</v>
      </c>
      <c r="G32" s="248"/>
      <c r="H32" s="176"/>
      <c r="I32" s="176"/>
      <c r="J32" s="175">
        <v>100</v>
      </c>
      <c r="K32" s="176"/>
      <c r="L32" s="223">
        <f t="shared" si="174"/>
        <v>94</v>
      </c>
      <c r="M32" s="250">
        <v>88</v>
      </c>
      <c r="N32" s="250">
        <v>84</v>
      </c>
      <c r="O32" s="248"/>
      <c r="P32" s="176"/>
      <c r="Q32" s="176"/>
      <c r="R32" s="250">
        <v>86</v>
      </c>
      <c r="S32" s="176"/>
      <c r="T32" s="223">
        <f t="shared" si="175"/>
        <v>86</v>
      </c>
      <c r="U32" s="248"/>
      <c r="V32" s="248"/>
      <c r="W32" s="248"/>
      <c r="X32" s="176"/>
      <c r="Y32" s="176"/>
      <c r="Z32" s="250"/>
      <c r="AA32" s="176"/>
      <c r="AB32" s="223">
        <f t="shared" si="176"/>
        <v>0</v>
      </c>
      <c r="AC32" s="248"/>
      <c r="AD32" s="248"/>
      <c r="AE32" s="248"/>
      <c r="AF32" s="248"/>
      <c r="AG32" s="176"/>
      <c r="AH32" s="250"/>
      <c r="AI32" s="176"/>
      <c r="AJ32" s="223">
        <f t="shared" si="177"/>
        <v>0</v>
      </c>
      <c r="AK32" s="181"/>
      <c r="AL32" s="176"/>
      <c r="AM32" s="176"/>
      <c r="AN32" s="176"/>
      <c r="AO32" s="176"/>
      <c r="AP32" s="176"/>
      <c r="AQ32" s="176"/>
      <c r="AR32" s="223">
        <f t="shared" si="178"/>
        <v>0</v>
      </c>
      <c r="AS32" s="181"/>
      <c r="AT32" s="176"/>
      <c r="AU32" s="176"/>
      <c r="AV32" s="176"/>
      <c r="AW32" s="176"/>
      <c r="AX32" s="176"/>
      <c r="AY32" s="176"/>
      <c r="AZ32" s="223">
        <f t="shared" si="179"/>
        <v>0</v>
      </c>
      <c r="BA32" s="181"/>
      <c r="BB32" s="176"/>
      <c r="BC32" s="176"/>
      <c r="BD32" s="176"/>
      <c r="BE32" s="176"/>
      <c r="BF32" s="176"/>
      <c r="BG32" s="176"/>
      <c r="BH32" s="223">
        <f t="shared" si="180"/>
        <v>0</v>
      </c>
      <c r="BI32" s="181"/>
      <c r="BJ32" s="176"/>
      <c r="BK32" s="176"/>
      <c r="BL32" s="176"/>
      <c r="BM32" s="176"/>
      <c r="BN32" s="176"/>
      <c r="BO32" s="176"/>
      <c r="BP32" s="223">
        <f t="shared" si="181"/>
        <v>0</v>
      </c>
      <c r="BQ32" s="181"/>
      <c r="BR32" s="176"/>
      <c r="BS32" s="176"/>
      <c r="BT32" s="176"/>
      <c r="BU32" s="176"/>
      <c r="BV32" s="176"/>
      <c r="BW32" s="176"/>
      <c r="BX32" s="223">
        <f t="shared" si="182"/>
        <v>0</v>
      </c>
      <c r="BY32" s="181"/>
      <c r="BZ32" s="176"/>
      <c r="CA32" s="176"/>
      <c r="CB32" s="176"/>
      <c r="CC32" s="176"/>
      <c r="CD32" s="176"/>
      <c r="CE32" s="176"/>
      <c r="CF32" s="223">
        <f t="shared" si="183"/>
        <v>0</v>
      </c>
      <c r="CG32" s="181"/>
      <c r="CH32" s="176"/>
      <c r="CI32" s="176"/>
      <c r="CJ32" s="176"/>
      <c r="CK32" s="176"/>
      <c r="CL32" s="176"/>
      <c r="CM32" s="176"/>
      <c r="CN32" s="223">
        <f t="shared" si="184"/>
        <v>0</v>
      </c>
      <c r="CO32" s="181"/>
      <c r="CP32" s="176"/>
      <c r="CQ32" s="176"/>
      <c r="CR32" s="176"/>
      <c r="CS32" s="176"/>
      <c r="CT32" s="176"/>
      <c r="CU32" s="176"/>
      <c r="CV32" s="223">
        <f t="shared" si="185"/>
        <v>0</v>
      </c>
      <c r="CW32" s="181"/>
      <c r="CX32" s="176"/>
      <c r="CY32" s="176"/>
      <c r="CZ32" s="176"/>
      <c r="DA32" s="176"/>
      <c r="DB32" s="176"/>
      <c r="DC32" s="176"/>
      <c r="DD32" s="223">
        <f t="shared" si="186"/>
        <v>0</v>
      </c>
      <c r="DE32" s="181"/>
      <c r="DF32" s="176"/>
      <c r="DG32" s="176"/>
      <c r="DH32" s="176"/>
      <c r="DI32" s="176"/>
      <c r="DJ32" s="176"/>
      <c r="DK32" s="176"/>
      <c r="DL32" s="223">
        <f t="shared" si="187"/>
        <v>0</v>
      </c>
      <c r="DM32" s="181"/>
      <c r="DN32" s="176"/>
      <c r="DO32" s="176"/>
      <c r="DP32" s="176"/>
      <c r="DQ32" s="176"/>
      <c r="DR32" s="176"/>
      <c r="DS32" s="176"/>
      <c r="DT32" s="223">
        <f t="shared" si="188"/>
        <v>0</v>
      </c>
      <c r="DU32" s="181"/>
      <c r="DV32" s="176"/>
      <c r="DW32" s="176"/>
      <c r="DX32" s="176"/>
      <c r="DY32" s="176"/>
      <c r="DZ32" s="176"/>
      <c r="EA32" s="176"/>
      <c r="EB32" s="223">
        <f t="shared" si="189"/>
        <v>0</v>
      </c>
      <c r="EC32" s="181"/>
      <c r="ED32" s="176"/>
      <c r="EE32" s="176"/>
      <c r="EF32" s="176"/>
      <c r="EG32" s="176"/>
      <c r="EH32" s="176"/>
      <c r="EI32" s="176"/>
      <c r="EJ32" s="223">
        <f t="shared" si="190"/>
        <v>0</v>
      </c>
      <c r="EK32" s="181"/>
      <c r="EL32" s="176"/>
      <c r="EM32" s="176"/>
      <c r="EN32" s="176"/>
      <c r="EO32" s="176"/>
      <c r="EP32" s="176"/>
      <c r="EQ32" s="176"/>
      <c r="ER32" s="223">
        <f t="shared" si="191"/>
        <v>0</v>
      </c>
      <c r="ES32" s="181"/>
      <c r="ET32" s="176"/>
      <c r="EU32" s="176"/>
      <c r="EV32" s="176"/>
      <c r="EW32" s="176"/>
      <c r="EX32" s="176"/>
      <c r="EY32" s="176"/>
      <c r="EZ32" s="223">
        <f t="shared" si="192"/>
        <v>0</v>
      </c>
      <c r="FA32" s="181"/>
      <c r="FB32" s="176"/>
      <c r="FC32" s="176"/>
      <c r="FD32" s="176"/>
      <c r="FE32" s="176"/>
      <c r="FF32" s="176"/>
      <c r="FG32" s="176"/>
      <c r="FH32" s="223">
        <f t="shared" si="193"/>
        <v>0</v>
      </c>
      <c r="FI32" s="291">
        <f t="shared" si="194"/>
        <v>90</v>
      </c>
      <c r="FJ32" s="250">
        <v>90</v>
      </c>
      <c r="FK32" s="250"/>
      <c r="FL32" s="291">
        <f t="shared" si="195"/>
        <v>90</v>
      </c>
      <c r="FM32" s="312" t="str">
        <f>IFERROR(IF(FL32="","",IF(FL32&gt;=KONVERSI!$A$5,KONVERSI!$D$5,IF(FL32&gt;=KONVERSI!$A$6,KONVERSI!$D$6,IF(FL32&gt;=KONVERSI!$A$7,KONVERSI!$D$7,KONVERSI!$D$8)))),"")</f>
        <v>B</v>
      </c>
      <c r="FN32" s="232" t="str">
        <f t="shared" si="196"/>
        <v>Tuntas</v>
      </c>
      <c r="FO32" s="313"/>
      <c r="FP32" s="314">
        <f t="shared" si="197"/>
        <v>88</v>
      </c>
      <c r="FQ32" s="194">
        <f t="shared" si="33"/>
        <v>90</v>
      </c>
      <c r="FR32" s="194">
        <f t="shared" si="34"/>
        <v>90</v>
      </c>
      <c r="FS32" s="194" t="str">
        <f t="shared" si="35"/>
        <v/>
      </c>
      <c r="FT32" s="194" t="str">
        <f t="shared" si="36"/>
        <v/>
      </c>
      <c r="FU32" s="194" t="str">
        <f t="shared" si="37"/>
        <v/>
      </c>
      <c r="FV32" s="194">
        <f t="shared" si="38"/>
        <v>94</v>
      </c>
      <c r="FW32" s="194">
        <f t="shared" si="39"/>
        <v>88</v>
      </c>
      <c r="FX32" s="194">
        <f t="shared" si="344"/>
        <v>84</v>
      </c>
      <c r="FY32" s="194" t="str">
        <f t="shared" si="40"/>
        <v/>
      </c>
      <c r="FZ32" s="194" t="str">
        <f t="shared" si="41"/>
        <v/>
      </c>
      <c r="GA32" s="194" t="str">
        <f t="shared" si="42"/>
        <v/>
      </c>
      <c r="GB32" s="194">
        <f t="shared" si="43"/>
        <v>86</v>
      </c>
      <c r="GC32" s="194" t="str">
        <f t="shared" si="44"/>
        <v/>
      </c>
      <c r="GD32" s="194" t="str">
        <f t="shared" si="45"/>
        <v/>
      </c>
      <c r="GE32" s="194" t="str">
        <f t="shared" si="46"/>
        <v/>
      </c>
      <c r="GF32" s="194" t="str">
        <f t="shared" si="47"/>
        <v/>
      </c>
      <c r="GG32" s="194" t="str">
        <f t="shared" si="48"/>
        <v/>
      </c>
      <c r="GH32" s="194" t="str">
        <f t="shared" si="49"/>
        <v/>
      </c>
      <c r="GI32" s="194" t="str">
        <f t="shared" si="50"/>
        <v/>
      </c>
      <c r="GJ32" s="194" t="str">
        <f t="shared" si="51"/>
        <v/>
      </c>
      <c r="GK32" s="194" t="str">
        <f t="shared" si="52"/>
        <v/>
      </c>
      <c r="GL32" s="194" t="str">
        <f t="shared" si="53"/>
        <v/>
      </c>
      <c r="GM32" s="194" t="str">
        <f t="shared" si="54"/>
        <v/>
      </c>
      <c r="GN32" s="194" t="str">
        <f t="shared" si="55"/>
        <v/>
      </c>
      <c r="GO32" s="194" t="str">
        <f t="shared" si="56"/>
        <v/>
      </c>
      <c r="GP32" s="194" t="str">
        <f t="shared" si="57"/>
        <v/>
      </c>
      <c r="GQ32" s="194" t="str">
        <f t="shared" si="58"/>
        <v/>
      </c>
      <c r="GR32" s="194" t="str">
        <f t="shared" si="59"/>
        <v/>
      </c>
      <c r="GS32" s="194" t="str">
        <f t="shared" si="60"/>
        <v/>
      </c>
      <c r="GT32" s="194" t="str">
        <f t="shared" si="61"/>
        <v/>
      </c>
      <c r="GU32" s="194" t="str">
        <f t="shared" si="62"/>
        <v/>
      </c>
      <c r="GV32" s="194" t="str">
        <f t="shared" si="63"/>
        <v/>
      </c>
      <c r="GW32" s="194" t="str">
        <f t="shared" si="64"/>
        <v/>
      </c>
      <c r="GX32" s="194" t="str">
        <f t="shared" si="65"/>
        <v/>
      </c>
      <c r="GY32" s="194" t="str">
        <f t="shared" si="66"/>
        <v/>
      </c>
      <c r="GZ32" s="194" t="str">
        <f t="shared" si="67"/>
        <v/>
      </c>
      <c r="HA32" s="194" t="str">
        <f t="shared" si="68"/>
        <v/>
      </c>
      <c r="HB32" s="194" t="str">
        <f t="shared" si="69"/>
        <v/>
      </c>
      <c r="HC32" s="194" t="str">
        <f t="shared" si="70"/>
        <v/>
      </c>
      <c r="HD32" s="194" t="str">
        <f t="shared" si="71"/>
        <v/>
      </c>
      <c r="HE32" s="194" t="str">
        <f t="shared" si="72"/>
        <v/>
      </c>
      <c r="HF32" s="194" t="str">
        <f t="shared" si="73"/>
        <v/>
      </c>
      <c r="HG32" s="194" t="str">
        <f t="shared" si="74"/>
        <v/>
      </c>
      <c r="HH32" s="194" t="str">
        <f t="shared" si="75"/>
        <v/>
      </c>
      <c r="HI32" s="194" t="str">
        <f t="shared" si="76"/>
        <v/>
      </c>
      <c r="HJ32" s="194" t="str">
        <f t="shared" si="77"/>
        <v/>
      </c>
      <c r="HK32" s="194" t="str">
        <f t="shared" si="78"/>
        <v/>
      </c>
      <c r="HL32" s="194" t="str">
        <f t="shared" si="79"/>
        <v/>
      </c>
      <c r="HM32" s="194" t="str">
        <f t="shared" si="80"/>
        <v/>
      </c>
      <c r="HN32" s="194" t="str">
        <f t="shared" si="81"/>
        <v/>
      </c>
      <c r="HO32" s="194" t="str">
        <f t="shared" si="82"/>
        <v/>
      </c>
      <c r="HP32" s="194" t="str">
        <f t="shared" si="83"/>
        <v/>
      </c>
      <c r="HQ32" s="194" t="str">
        <f t="shared" si="84"/>
        <v/>
      </c>
      <c r="HR32" s="194" t="str">
        <f t="shared" si="85"/>
        <v/>
      </c>
      <c r="HS32" s="194" t="str">
        <f t="shared" si="86"/>
        <v/>
      </c>
      <c r="HT32" s="194" t="str">
        <f t="shared" si="87"/>
        <v/>
      </c>
      <c r="HU32" s="194" t="str">
        <f t="shared" si="88"/>
        <v/>
      </c>
      <c r="HV32" s="194" t="str">
        <f t="shared" si="89"/>
        <v/>
      </c>
      <c r="HW32" s="194" t="str">
        <f t="shared" si="90"/>
        <v/>
      </c>
      <c r="HX32" s="194" t="str">
        <f t="shared" si="91"/>
        <v/>
      </c>
      <c r="HY32" s="194" t="str">
        <f t="shared" si="92"/>
        <v/>
      </c>
      <c r="HZ32" s="194" t="str">
        <f t="shared" si="93"/>
        <v/>
      </c>
      <c r="IA32" s="194" t="str">
        <f t="shared" si="94"/>
        <v/>
      </c>
      <c r="IB32" s="194" t="str">
        <f t="shared" si="95"/>
        <v/>
      </c>
      <c r="IC32" s="194" t="str">
        <f t="shared" si="96"/>
        <v/>
      </c>
      <c r="ID32" s="194" t="str">
        <f t="shared" si="97"/>
        <v/>
      </c>
      <c r="IE32" s="194" t="str">
        <f t="shared" si="98"/>
        <v/>
      </c>
      <c r="IF32" s="194" t="str">
        <f t="shared" si="99"/>
        <v/>
      </c>
      <c r="IG32" s="194" t="str">
        <f t="shared" si="100"/>
        <v/>
      </c>
      <c r="IH32" s="194" t="str">
        <f t="shared" si="101"/>
        <v/>
      </c>
      <c r="II32" s="194" t="str">
        <f t="shared" si="102"/>
        <v/>
      </c>
      <c r="IJ32" s="194" t="str">
        <f t="shared" si="103"/>
        <v/>
      </c>
      <c r="IK32" s="194" t="str">
        <f t="shared" si="104"/>
        <v/>
      </c>
      <c r="IL32" s="194" t="str">
        <f t="shared" si="105"/>
        <v/>
      </c>
      <c r="IM32" s="194" t="str">
        <f t="shared" si="106"/>
        <v/>
      </c>
      <c r="IN32" s="194" t="str">
        <f t="shared" si="107"/>
        <v/>
      </c>
      <c r="IO32" s="194" t="str">
        <f t="shared" si="108"/>
        <v/>
      </c>
      <c r="IP32" s="194" t="str">
        <f t="shared" si="109"/>
        <v/>
      </c>
      <c r="IQ32" s="194" t="str">
        <f t="shared" si="110"/>
        <v/>
      </c>
      <c r="IR32" s="194" t="str">
        <f t="shared" si="111"/>
        <v/>
      </c>
      <c r="IS32" s="194" t="str">
        <f t="shared" si="112"/>
        <v/>
      </c>
      <c r="IT32" s="194" t="str">
        <f t="shared" si="113"/>
        <v/>
      </c>
      <c r="IU32" s="194" t="str">
        <f t="shared" si="114"/>
        <v/>
      </c>
      <c r="IV32" s="194" t="str">
        <f t="shared" si="115"/>
        <v/>
      </c>
      <c r="IW32" s="194" t="str">
        <f t="shared" si="116"/>
        <v/>
      </c>
      <c r="IX32" s="194" t="str">
        <f t="shared" si="117"/>
        <v/>
      </c>
      <c r="IY32" s="194" t="str">
        <f t="shared" si="118"/>
        <v/>
      </c>
      <c r="IZ32" s="194" t="str">
        <f t="shared" si="119"/>
        <v/>
      </c>
      <c r="JA32" s="194" t="str">
        <f t="shared" si="120"/>
        <v/>
      </c>
      <c r="JB32" s="194" t="str">
        <f t="shared" si="121"/>
        <v/>
      </c>
      <c r="JC32" s="194" t="str">
        <f t="shared" si="122"/>
        <v/>
      </c>
      <c r="JD32" s="194" t="str">
        <f t="shared" si="123"/>
        <v/>
      </c>
      <c r="JE32" s="194" t="str">
        <f t="shared" si="124"/>
        <v/>
      </c>
      <c r="JF32" s="194" t="str">
        <f t="shared" si="125"/>
        <v/>
      </c>
      <c r="JG32" s="194" t="str">
        <f t="shared" si="126"/>
        <v/>
      </c>
      <c r="JH32" s="194" t="str">
        <f t="shared" si="127"/>
        <v/>
      </c>
      <c r="JI32" s="194" t="str">
        <f t="shared" si="128"/>
        <v/>
      </c>
      <c r="JJ32" s="194" t="str">
        <f t="shared" si="129"/>
        <v/>
      </c>
      <c r="JK32" s="194" t="str">
        <f t="shared" si="130"/>
        <v/>
      </c>
      <c r="JL32" s="194" t="str">
        <f t="shared" si="131"/>
        <v/>
      </c>
      <c r="JM32" s="194" t="str">
        <f t="shared" si="132"/>
        <v/>
      </c>
      <c r="JN32" s="194" t="str">
        <f t="shared" si="133"/>
        <v/>
      </c>
      <c r="JO32" s="194" t="str">
        <f t="shared" si="134"/>
        <v/>
      </c>
      <c r="JP32" s="194" t="str">
        <f t="shared" si="135"/>
        <v/>
      </c>
      <c r="JQ32" s="194" t="str">
        <f t="shared" si="136"/>
        <v/>
      </c>
      <c r="JR32" s="194" t="str">
        <f t="shared" si="137"/>
        <v/>
      </c>
      <c r="JS32" s="194" t="str">
        <f t="shared" si="138"/>
        <v/>
      </c>
      <c r="JT32" s="194" t="str">
        <f t="shared" si="139"/>
        <v/>
      </c>
      <c r="JU32" s="194" t="str">
        <f t="shared" si="140"/>
        <v/>
      </c>
      <c r="JV32" s="194" t="str">
        <f t="shared" si="141"/>
        <v/>
      </c>
      <c r="JW32" s="194" t="str">
        <f t="shared" si="142"/>
        <v/>
      </c>
      <c r="JX32" s="194" t="str">
        <f t="shared" si="143"/>
        <v/>
      </c>
      <c r="JY32" s="194" t="str">
        <f t="shared" si="144"/>
        <v/>
      </c>
      <c r="JZ32" s="194" t="str">
        <f t="shared" si="145"/>
        <v/>
      </c>
      <c r="KA32" s="194" t="str">
        <f t="shared" si="146"/>
        <v/>
      </c>
      <c r="KB32" s="194" t="str">
        <f t="shared" si="147"/>
        <v/>
      </c>
      <c r="KC32" s="194" t="str">
        <f t="shared" si="148"/>
        <v/>
      </c>
      <c r="KD32" s="194" t="str">
        <f t="shared" si="149"/>
        <v/>
      </c>
      <c r="KE32" s="194" t="str">
        <f t="shared" si="150"/>
        <v/>
      </c>
      <c r="KF32" s="194" t="str">
        <f t="shared" si="151"/>
        <v/>
      </c>
      <c r="KG32" s="194">
        <f>SUM(LE32:LX32)/COUNTA(RefKI3KI4!$B$5:$B$24)</f>
        <v>90</v>
      </c>
      <c r="KH32" s="232">
        <f t="shared" si="198"/>
        <v>0</v>
      </c>
      <c r="KI32" s="340" t="str">
        <f t="shared" si="199"/>
        <v>ok</v>
      </c>
      <c r="KJ32" s="340" t="str">
        <f t="shared" si="200"/>
        <v>ok</v>
      </c>
      <c r="KK32" s="340" t="str">
        <f t="shared" si="201"/>
        <v/>
      </c>
      <c r="KL32" s="340" t="str">
        <f t="shared" si="202"/>
        <v/>
      </c>
      <c r="KM32" s="340" t="str">
        <f t="shared" si="203"/>
        <v/>
      </c>
      <c r="KN32" s="340" t="str">
        <f t="shared" si="204"/>
        <v/>
      </c>
      <c r="KO32" s="340" t="str">
        <f t="shared" si="205"/>
        <v/>
      </c>
      <c r="KP32" s="340" t="str">
        <f t="shared" si="206"/>
        <v/>
      </c>
      <c r="KQ32" s="340" t="str">
        <f t="shared" si="207"/>
        <v/>
      </c>
      <c r="KR32" s="340" t="str">
        <f t="shared" si="208"/>
        <v/>
      </c>
      <c r="KS32" s="340" t="str">
        <f t="shared" si="209"/>
        <v/>
      </c>
      <c r="KT32" s="340" t="str">
        <f t="shared" si="210"/>
        <v/>
      </c>
      <c r="KU32" s="340" t="str">
        <f t="shared" si="211"/>
        <v/>
      </c>
      <c r="KV32" s="340" t="str">
        <f t="shared" si="212"/>
        <v/>
      </c>
      <c r="KW32" s="340" t="str">
        <f t="shared" si="213"/>
        <v/>
      </c>
      <c r="KX32" s="340" t="str">
        <f t="shared" si="214"/>
        <v/>
      </c>
      <c r="KY32" s="340" t="str">
        <f t="shared" si="215"/>
        <v/>
      </c>
      <c r="KZ32" s="340" t="str">
        <f t="shared" si="216"/>
        <v/>
      </c>
      <c r="LA32" s="340" t="str">
        <f t="shared" si="217"/>
        <v/>
      </c>
      <c r="LB32" s="340" t="str">
        <f t="shared" si="218"/>
        <v/>
      </c>
      <c r="LC32" s="340">
        <f t="shared" si="219"/>
        <v>0</v>
      </c>
      <c r="LD32" s="228">
        <v>24</v>
      </c>
      <c r="LE32" s="229">
        <f t="shared" si="220"/>
        <v>94</v>
      </c>
      <c r="LF32" s="229">
        <f t="shared" si="221"/>
        <v>86</v>
      </c>
      <c r="LG32" s="229" t="str">
        <f t="shared" si="222"/>
        <v/>
      </c>
      <c r="LH32" s="229" t="str">
        <f t="shared" si="223"/>
        <v/>
      </c>
      <c r="LI32" s="229" t="str">
        <f t="shared" si="224"/>
        <v/>
      </c>
      <c r="LJ32" s="229" t="str">
        <f t="shared" si="225"/>
        <v/>
      </c>
      <c r="LK32" s="229" t="str">
        <f t="shared" si="226"/>
        <v/>
      </c>
      <c r="LL32" s="229" t="str">
        <f t="shared" si="227"/>
        <v/>
      </c>
      <c r="LM32" s="229" t="str">
        <f t="shared" si="228"/>
        <v/>
      </c>
      <c r="LN32" s="229" t="str">
        <f t="shared" si="229"/>
        <v/>
      </c>
      <c r="LO32" s="229" t="str">
        <f t="shared" si="230"/>
        <v/>
      </c>
      <c r="LP32" s="229" t="str">
        <f t="shared" si="231"/>
        <v/>
      </c>
      <c r="LQ32" s="229" t="str">
        <f t="shared" si="232"/>
        <v/>
      </c>
      <c r="LR32" s="229" t="str">
        <f t="shared" si="233"/>
        <v/>
      </c>
      <c r="LS32" s="229" t="str">
        <f t="shared" si="234"/>
        <v/>
      </c>
      <c r="LT32" s="229" t="str">
        <f t="shared" si="235"/>
        <v/>
      </c>
      <c r="LU32" s="229" t="str">
        <f t="shared" si="236"/>
        <v/>
      </c>
      <c r="LV32" s="229" t="str">
        <f t="shared" si="237"/>
        <v/>
      </c>
      <c r="LW32" s="229" t="str">
        <f t="shared" si="238"/>
        <v/>
      </c>
      <c r="LX32" s="229" t="str">
        <f t="shared" si="239"/>
        <v/>
      </c>
      <c r="LY32" s="231">
        <f t="shared" si="240"/>
        <v>94</v>
      </c>
      <c r="LZ32" s="231">
        <f t="shared" si="241"/>
        <v>86</v>
      </c>
      <c r="MA32" s="231" t="str">
        <f t="shared" si="242"/>
        <v/>
      </c>
      <c r="MB32" s="231" t="str">
        <f t="shared" si="243"/>
        <v/>
      </c>
      <c r="MC32" s="231" t="str">
        <f t="shared" si="244"/>
        <v/>
      </c>
      <c r="MD32" s="231" t="str">
        <f t="shared" si="245"/>
        <v/>
      </c>
      <c r="ME32" s="231" t="str">
        <f t="shared" si="246"/>
        <v/>
      </c>
      <c r="MF32" s="231" t="str">
        <f t="shared" si="247"/>
        <v/>
      </c>
      <c r="MG32" s="231" t="str">
        <f t="shared" si="248"/>
        <v/>
      </c>
      <c r="MH32" s="231" t="str">
        <f t="shared" si="249"/>
        <v/>
      </c>
      <c r="MI32" s="231" t="str">
        <f t="shared" si="250"/>
        <v/>
      </c>
      <c r="MJ32" s="231" t="str">
        <f t="shared" si="251"/>
        <v/>
      </c>
      <c r="MK32" s="231" t="str">
        <f t="shared" si="252"/>
        <v/>
      </c>
      <c r="ML32" s="231" t="str">
        <f t="shared" si="253"/>
        <v/>
      </c>
      <c r="MM32" s="231" t="str">
        <f t="shared" si="254"/>
        <v/>
      </c>
      <c r="MN32" s="231" t="str">
        <f t="shared" si="255"/>
        <v/>
      </c>
      <c r="MO32" s="231" t="str">
        <f t="shared" si="256"/>
        <v/>
      </c>
      <c r="MP32" s="231" t="str">
        <f t="shared" si="257"/>
        <v/>
      </c>
      <c r="MQ32" s="231" t="str">
        <f t="shared" si="258"/>
        <v/>
      </c>
      <c r="MR32" s="231" t="str">
        <f t="shared" si="259"/>
        <v/>
      </c>
      <c r="MS32" s="231">
        <f t="shared" si="154"/>
        <v>94</v>
      </c>
      <c r="MT32" s="232" t="str">
        <f>IF(MS32="","",IF(MS32&gt;=KONVERSI!$A$5,KONVERSI!$E$5,IF(MS32&gt;=KONVERSI!$A$6,KONVERSI!$E$6,IF(MS32&gt;=KONVERSI!$A$7,KONVERSI!$E$7,KONVERSI!$E$8))))</f>
        <v>Sangat baik</v>
      </c>
      <c r="MU32" s="233" t="str">
        <f t="shared" si="155"/>
        <v>Sangat baik dalamjenis, sifat, karakter dan teknik pengolahan kerang, kaca, keramik dan botol plastik</v>
      </c>
      <c r="MV32" s="234">
        <f t="shared" si="260"/>
        <v>86</v>
      </c>
      <c r="MW32" s="232" t="str">
        <f>IF(MV32="","",IF(MV32&gt;=KONVERSI!$A$5,KONVERSI!$E$5,IF(MV32&gt;=KONVERSI!$A$6,KONVERSI!$E$6,IF(MV32&gt;=KONVERSI!$A$7,KONVERSI!$E$7,KONVERSI!$E$8))))</f>
        <v>Baik</v>
      </c>
      <c r="MX32" s="134" t="str">
        <f>IF(FI32&lt;$FN$4," "&amp;KONVERSI!$C$18&amp;INDEX($LY$8:$MR$8,MATCH(MV32,LY32:MR32,0))&amp;".",IF(KG32=0,"",IF(MV32&lt;&gt;0,MU32&amp;MW32&amp;".",MU32&amp;".")))</f>
        <v>Sangat baik dalamjenis, sifat, karakter dan teknik pengolahan kerang, kaca, keramik dan botol plastikBaik.</v>
      </c>
      <c r="MY32" s="235" t="str">
        <f t="shared" si="261"/>
        <v>OK</v>
      </c>
      <c r="MZ32" s="235" t="str">
        <f t="shared" si="262"/>
        <v>NO</v>
      </c>
      <c r="NA32" s="235" t="str">
        <f t="shared" si="263"/>
        <v/>
      </c>
      <c r="NB32" s="235" t="str">
        <f t="shared" si="264"/>
        <v/>
      </c>
      <c r="NC32" s="235" t="str">
        <f t="shared" si="265"/>
        <v/>
      </c>
      <c r="ND32" s="235" t="str">
        <f t="shared" si="266"/>
        <v/>
      </c>
      <c r="NE32" s="235" t="str">
        <f t="shared" si="267"/>
        <v/>
      </c>
      <c r="NF32" s="235" t="str">
        <f t="shared" si="268"/>
        <v/>
      </c>
      <c r="NG32" s="235" t="str">
        <f t="shared" si="269"/>
        <v/>
      </c>
      <c r="NH32" s="235" t="str">
        <f t="shared" si="270"/>
        <v/>
      </c>
      <c r="NI32" s="235" t="str">
        <f t="shared" si="271"/>
        <v/>
      </c>
      <c r="NJ32" s="235" t="str">
        <f t="shared" si="272"/>
        <v/>
      </c>
      <c r="NK32" s="235" t="str">
        <f t="shared" si="273"/>
        <v/>
      </c>
      <c r="NL32" s="235" t="str">
        <f t="shared" si="274"/>
        <v/>
      </c>
      <c r="NM32" s="235" t="str">
        <f t="shared" si="275"/>
        <v/>
      </c>
      <c r="NN32" s="235" t="str">
        <f t="shared" si="276"/>
        <v/>
      </c>
      <c r="NO32" s="235" t="str">
        <f t="shared" si="277"/>
        <v/>
      </c>
      <c r="NP32" s="235" t="str">
        <f t="shared" si="278"/>
        <v/>
      </c>
      <c r="NQ32" s="235" t="str">
        <f t="shared" si="279"/>
        <v/>
      </c>
      <c r="NR32" s="235" t="str">
        <f t="shared" si="280"/>
        <v/>
      </c>
      <c r="NS32" s="134" t="str">
        <f t="shared" si="281"/>
        <v>jenis, sifat, karakter dan teknik pengolahan kerang, kaca, keramik dan botol plastik</v>
      </c>
      <c r="NT32" s="134" t="str">
        <f t="shared" si="282"/>
        <v/>
      </c>
      <c r="NU32" s="134" t="str">
        <f t="shared" si="283"/>
        <v/>
      </c>
      <c r="NV32" s="134" t="str">
        <f t="shared" si="284"/>
        <v/>
      </c>
      <c r="NW32" s="134" t="str">
        <f t="shared" si="285"/>
        <v/>
      </c>
      <c r="NX32" s="134" t="str">
        <f t="shared" si="286"/>
        <v/>
      </c>
      <c r="NY32" s="134" t="str">
        <f t="shared" si="287"/>
        <v/>
      </c>
      <c r="NZ32" s="134" t="str">
        <f t="shared" si="288"/>
        <v/>
      </c>
      <c r="OA32" s="134" t="str">
        <f t="shared" si="289"/>
        <v/>
      </c>
      <c r="OB32" s="134" t="str">
        <f t="shared" si="290"/>
        <v/>
      </c>
      <c r="OC32" s="134" t="str">
        <f t="shared" si="291"/>
        <v/>
      </c>
      <c r="OD32" s="134" t="str">
        <f t="shared" si="292"/>
        <v/>
      </c>
      <c r="OE32" s="134" t="str">
        <f t="shared" si="293"/>
        <v/>
      </c>
      <c r="OF32" s="134" t="str">
        <f t="shared" si="294"/>
        <v/>
      </c>
      <c r="OG32" s="134" t="str">
        <f t="shared" si="295"/>
        <v/>
      </c>
      <c r="OH32" s="134" t="str">
        <f t="shared" si="296"/>
        <v/>
      </c>
      <c r="OI32" s="134" t="str">
        <f t="shared" si="297"/>
        <v/>
      </c>
      <c r="OJ32" s="134" t="str">
        <f t="shared" si="298"/>
        <v/>
      </c>
      <c r="OK32" s="134" t="str">
        <f t="shared" si="299"/>
        <v/>
      </c>
      <c r="OL32" s="134" t="str">
        <f t="shared" si="300"/>
        <v/>
      </c>
      <c r="OM32" s="134" t="str">
        <f t="shared" si="301"/>
        <v>Sangat baik dalam jenis, sifat, karakter dan teknik pengolahan kerang, kaca, keramik dan botol plastik</v>
      </c>
      <c r="ON32" s="134" t="str">
        <f t="shared" si="302"/>
        <v>Sangat baik dalam jenis, sifat, karakter dan teknik pengolahan kerang, kaca, keramik dan botol plasti.  </v>
      </c>
      <c r="OO32" s="236">
        <f t="shared" si="169"/>
        <v>1</v>
      </c>
      <c r="OP32" s="235" t="str">
        <f t="shared" si="303"/>
        <v>NO</v>
      </c>
      <c r="OQ32" s="235" t="str">
        <f t="shared" si="304"/>
        <v>OK</v>
      </c>
      <c r="OR32" s="235" t="str">
        <f t="shared" si="305"/>
        <v/>
      </c>
      <c r="OS32" s="235" t="str">
        <f t="shared" si="306"/>
        <v/>
      </c>
      <c r="OT32" s="235" t="str">
        <f t="shared" si="307"/>
        <v/>
      </c>
      <c r="OU32" s="235" t="str">
        <f t="shared" si="308"/>
        <v/>
      </c>
      <c r="OV32" s="235" t="str">
        <f t="shared" si="309"/>
        <v/>
      </c>
      <c r="OW32" s="235" t="str">
        <f t="shared" si="310"/>
        <v/>
      </c>
      <c r="OX32" s="235" t="str">
        <f t="shared" si="311"/>
        <v/>
      </c>
      <c r="OY32" s="235" t="str">
        <f t="shared" si="312"/>
        <v/>
      </c>
      <c r="OZ32" s="235" t="str">
        <f t="shared" si="313"/>
        <v/>
      </c>
      <c r="PA32" s="235" t="str">
        <f t="shared" si="314"/>
        <v/>
      </c>
      <c r="PB32" s="235" t="str">
        <f t="shared" si="315"/>
        <v/>
      </c>
      <c r="PC32" s="235" t="str">
        <f t="shared" si="316"/>
        <v/>
      </c>
      <c r="PD32" s="235" t="str">
        <f t="shared" si="317"/>
        <v/>
      </c>
      <c r="PE32" s="235" t="str">
        <f t="shared" si="318"/>
        <v/>
      </c>
      <c r="PF32" s="235" t="str">
        <f t="shared" si="319"/>
        <v/>
      </c>
      <c r="PG32" s="235" t="str">
        <f t="shared" si="320"/>
        <v/>
      </c>
      <c r="PH32" s="235" t="str">
        <f t="shared" si="321"/>
        <v/>
      </c>
      <c r="PI32" s="235" t="str">
        <f t="shared" si="322"/>
        <v/>
      </c>
      <c r="PJ32" s="134" t="str">
        <f t="shared" si="323"/>
        <v/>
      </c>
      <c r="PK32" s="134" t="str">
        <f t="shared" si="324"/>
        <v>prinsip perancangan, pembuatan dan penyajian produk kerajinan kerang, kaca, keramik dan botol plastik yang kreatif dan inovatif</v>
      </c>
      <c r="PL32" s="134" t="str">
        <f t="shared" si="325"/>
        <v/>
      </c>
      <c r="PM32" s="134" t="str">
        <f t="shared" si="326"/>
        <v/>
      </c>
      <c r="PN32" s="134" t="str">
        <f t="shared" si="327"/>
        <v/>
      </c>
      <c r="PO32" s="134" t="str">
        <f t="shared" si="328"/>
        <v/>
      </c>
      <c r="PP32" s="134" t="str">
        <f t="shared" si="329"/>
        <v/>
      </c>
      <c r="PQ32" s="134" t="str">
        <f t="shared" si="330"/>
        <v/>
      </c>
      <c r="PR32" s="134" t="str">
        <f t="shared" si="331"/>
        <v/>
      </c>
      <c r="PS32" s="134" t="str">
        <f t="shared" si="332"/>
        <v/>
      </c>
      <c r="PT32" s="134" t="str">
        <f t="shared" si="333"/>
        <v/>
      </c>
      <c r="PU32" s="134" t="str">
        <f t="shared" si="334"/>
        <v/>
      </c>
      <c r="PV32" s="134" t="str">
        <f t="shared" si="335"/>
        <v/>
      </c>
      <c r="PW32" s="134" t="str">
        <f t="shared" si="336"/>
        <v/>
      </c>
      <c r="PX32" s="134" t="str">
        <f t="shared" si="337"/>
        <v/>
      </c>
      <c r="PY32" s="134" t="str">
        <f t="shared" si="338"/>
        <v/>
      </c>
      <c r="PZ32" s="134" t="str">
        <f t="shared" si="339"/>
        <v/>
      </c>
      <c r="QA32" s="134" t="str">
        <f t="shared" si="340"/>
        <v/>
      </c>
      <c r="QB32" s="134" t="str">
        <f t="shared" si="341"/>
        <v/>
      </c>
      <c r="QC32" s="134" t="str">
        <f t="shared" si="342"/>
        <v/>
      </c>
      <c r="QD32" s="134" t="str">
        <f>IF(MT32=MW32,"",IF(MV32="","",IF(MV32&gt;=KONVERSI!$A$7,'KI3'!MW32&amp;" dalam"&amp;PJ32&amp;PK32&amp;PL32&amp;PM32&amp;PN32&amp;PO32&amp;PP32&amp;PQ32&amp;PR32&amp;PS32&amp;PT32&amp;PU32&amp;PV32&amp;PW32&amp;PX32&amp;PY32&amp;PZ32&amp;QA32&amp;QB32&amp;QC32,KONVERSI!$C$18&amp;" dalam"&amp;PJ32&amp;PK32&amp;PL32&amp;PM32&amp;PN32&amp;PO32&amp;PP32&amp;PQ32&amp;PR32&amp;PS32&amp;PT32&amp;PU32&amp;PV32&amp;PW32&amp;PX32&amp;PY32&amp;PZ32&amp;QA32&amp;QB32&amp;QC32)))</f>
        <v>Baik dalamprinsip perancangan, pembuatan dan penyajian produk kerajinan kerang, kaca, keramik dan botol plastik yang kreatif dan inovatif</v>
      </c>
      <c r="QE32" s="134" t="str">
        <f t="shared" si="343"/>
        <v>Baik dalamprinsip perancangan, pembuatan dan penyajian produk kerajinan kerang, kaca, keramik dan botol plastik yang kreatif dan inovati.</v>
      </c>
      <c r="QF32" s="236">
        <f t="shared" si="172"/>
        <v>1</v>
      </c>
      <c r="QG32" s="134" t="str">
        <f t="shared" si="173"/>
        <v>Sangat baik dalam jenis, sifat, karakter dan teknik pengolahan kerang, kaca, keramik dan botol plasti.  Baik dalamprinsip perancangan, pembuatan dan penyajian produk kerajinan kerang, kaca, keramik dan botol plastik yang kreatif dan inovati.</v>
      </c>
    </row>
    <row r="33" ht="27.6" customHeight="1" spans="1:449">
      <c r="A33" s="136"/>
      <c r="B33" s="177">
        <v>25</v>
      </c>
      <c r="C33" s="178" t="str">
        <f>siswa!C29</f>
        <v>TRIAS RAMADAN PASARIBU</v>
      </c>
      <c r="D33" s="174">
        <f>siswa!D29</f>
        <v>2854</v>
      </c>
      <c r="E33" s="175">
        <v>86</v>
      </c>
      <c r="F33" s="175">
        <v>86</v>
      </c>
      <c r="G33" s="248"/>
      <c r="H33" s="176"/>
      <c r="I33" s="176"/>
      <c r="J33" s="175">
        <v>74</v>
      </c>
      <c r="K33" s="176"/>
      <c r="L33" s="223">
        <f t="shared" si="174"/>
        <v>81.2</v>
      </c>
      <c r="M33" s="250">
        <v>73</v>
      </c>
      <c r="N33" s="250">
        <v>73</v>
      </c>
      <c r="O33" s="248"/>
      <c r="P33" s="176"/>
      <c r="Q33" s="176"/>
      <c r="R33" s="250">
        <v>73</v>
      </c>
      <c r="S33" s="176"/>
      <c r="T33" s="223">
        <f t="shared" si="175"/>
        <v>73</v>
      </c>
      <c r="U33" s="248"/>
      <c r="V33" s="248"/>
      <c r="W33" s="248"/>
      <c r="X33" s="176"/>
      <c r="Y33" s="176"/>
      <c r="Z33" s="250"/>
      <c r="AA33" s="176"/>
      <c r="AB33" s="223">
        <f t="shared" si="176"/>
        <v>0</v>
      </c>
      <c r="AC33" s="248"/>
      <c r="AD33" s="248"/>
      <c r="AE33" s="248"/>
      <c r="AF33" s="248"/>
      <c r="AG33" s="176"/>
      <c r="AH33" s="250"/>
      <c r="AI33" s="176"/>
      <c r="AJ33" s="223">
        <f t="shared" si="177"/>
        <v>0</v>
      </c>
      <c r="AK33" s="181"/>
      <c r="AL33" s="176"/>
      <c r="AM33" s="176"/>
      <c r="AN33" s="176"/>
      <c r="AO33" s="176"/>
      <c r="AP33" s="176"/>
      <c r="AQ33" s="176"/>
      <c r="AR33" s="223">
        <f t="shared" si="178"/>
        <v>0</v>
      </c>
      <c r="AS33" s="181"/>
      <c r="AT33" s="176"/>
      <c r="AU33" s="176"/>
      <c r="AV33" s="176"/>
      <c r="AW33" s="176"/>
      <c r="AX33" s="176"/>
      <c r="AY33" s="176"/>
      <c r="AZ33" s="223">
        <f t="shared" si="179"/>
        <v>0</v>
      </c>
      <c r="BA33" s="181"/>
      <c r="BB33" s="176"/>
      <c r="BC33" s="176"/>
      <c r="BD33" s="176"/>
      <c r="BE33" s="176"/>
      <c r="BF33" s="176"/>
      <c r="BG33" s="176"/>
      <c r="BH33" s="223">
        <f t="shared" si="180"/>
        <v>0</v>
      </c>
      <c r="BI33" s="181"/>
      <c r="BJ33" s="176"/>
      <c r="BK33" s="176"/>
      <c r="BL33" s="176"/>
      <c r="BM33" s="176"/>
      <c r="BN33" s="176"/>
      <c r="BO33" s="176"/>
      <c r="BP33" s="223">
        <f t="shared" si="181"/>
        <v>0</v>
      </c>
      <c r="BQ33" s="181"/>
      <c r="BR33" s="176"/>
      <c r="BS33" s="176"/>
      <c r="BT33" s="176"/>
      <c r="BU33" s="176"/>
      <c r="BV33" s="176"/>
      <c r="BW33" s="176"/>
      <c r="BX33" s="223">
        <f t="shared" si="182"/>
        <v>0</v>
      </c>
      <c r="BY33" s="181"/>
      <c r="BZ33" s="176"/>
      <c r="CA33" s="176"/>
      <c r="CB33" s="176"/>
      <c r="CC33" s="176"/>
      <c r="CD33" s="176"/>
      <c r="CE33" s="176"/>
      <c r="CF33" s="223">
        <f t="shared" si="183"/>
        <v>0</v>
      </c>
      <c r="CG33" s="181"/>
      <c r="CH33" s="176"/>
      <c r="CI33" s="176"/>
      <c r="CJ33" s="176"/>
      <c r="CK33" s="176"/>
      <c r="CL33" s="176"/>
      <c r="CM33" s="176"/>
      <c r="CN33" s="223">
        <f t="shared" si="184"/>
        <v>0</v>
      </c>
      <c r="CO33" s="181"/>
      <c r="CP33" s="176"/>
      <c r="CQ33" s="176"/>
      <c r="CR33" s="176"/>
      <c r="CS33" s="176"/>
      <c r="CT33" s="176"/>
      <c r="CU33" s="176"/>
      <c r="CV33" s="223">
        <f t="shared" si="185"/>
        <v>0</v>
      </c>
      <c r="CW33" s="181"/>
      <c r="CX33" s="176"/>
      <c r="CY33" s="176"/>
      <c r="CZ33" s="176"/>
      <c r="DA33" s="176"/>
      <c r="DB33" s="176"/>
      <c r="DC33" s="176"/>
      <c r="DD33" s="223">
        <f t="shared" si="186"/>
        <v>0</v>
      </c>
      <c r="DE33" s="181"/>
      <c r="DF33" s="176"/>
      <c r="DG33" s="176"/>
      <c r="DH33" s="176"/>
      <c r="DI33" s="176"/>
      <c r="DJ33" s="176"/>
      <c r="DK33" s="176"/>
      <c r="DL33" s="223">
        <f t="shared" si="187"/>
        <v>0</v>
      </c>
      <c r="DM33" s="181"/>
      <c r="DN33" s="176"/>
      <c r="DO33" s="176"/>
      <c r="DP33" s="176"/>
      <c r="DQ33" s="176"/>
      <c r="DR33" s="176"/>
      <c r="DS33" s="176"/>
      <c r="DT33" s="223">
        <f t="shared" si="188"/>
        <v>0</v>
      </c>
      <c r="DU33" s="181"/>
      <c r="DV33" s="176"/>
      <c r="DW33" s="176"/>
      <c r="DX33" s="176"/>
      <c r="DY33" s="176"/>
      <c r="DZ33" s="176"/>
      <c r="EA33" s="176"/>
      <c r="EB33" s="223">
        <f t="shared" si="189"/>
        <v>0</v>
      </c>
      <c r="EC33" s="181"/>
      <c r="ED33" s="176"/>
      <c r="EE33" s="176"/>
      <c r="EF33" s="176"/>
      <c r="EG33" s="176"/>
      <c r="EH33" s="176"/>
      <c r="EI33" s="176"/>
      <c r="EJ33" s="223">
        <f t="shared" si="190"/>
        <v>0</v>
      </c>
      <c r="EK33" s="181"/>
      <c r="EL33" s="176"/>
      <c r="EM33" s="176"/>
      <c r="EN33" s="176"/>
      <c r="EO33" s="176"/>
      <c r="EP33" s="176"/>
      <c r="EQ33" s="176"/>
      <c r="ER33" s="223">
        <f t="shared" si="191"/>
        <v>0</v>
      </c>
      <c r="ES33" s="181"/>
      <c r="ET33" s="176"/>
      <c r="EU33" s="176"/>
      <c r="EV33" s="176"/>
      <c r="EW33" s="176"/>
      <c r="EX33" s="176"/>
      <c r="EY33" s="176"/>
      <c r="EZ33" s="223">
        <f t="shared" si="192"/>
        <v>0</v>
      </c>
      <c r="FA33" s="181"/>
      <c r="FB33" s="176"/>
      <c r="FC33" s="176"/>
      <c r="FD33" s="176"/>
      <c r="FE33" s="176"/>
      <c r="FF33" s="176"/>
      <c r="FG33" s="176"/>
      <c r="FH33" s="223">
        <f t="shared" si="193"/>
        <v>0</v>
      </c>
      <c r="FI33" s="291">
        <f t="shared" si="194"/>
        <v>77</v>
      </c>
      <c r="FJ33" s="250">
        <v>74</v>
      </c>
      <c r="FK33" s="250"/>
      <c r="FL33" s="291">
        <f t="shared" si="195"/>
        <v>76</v>
      </c>
      <c r="FM33" s="312" t="str">
        <f>IFERROR(IF(FL33="","",IF(FL33&gt;=KONVERSI!$A$5,KONVERSI!$D$5,IF(FL33&gt;=KONVERSI!$A$6,KONVERSI!$D$6,IF(FL33&gt;=KONVERSI!$A$7,KONVERSI!$D$7,KONVERSI!$D$8)))),"")</f>
        <v>C</v>
      </c>
      <c r="FN33" s="232" t="str">
        <f t="shared" si="196"/>
        <v>Tuntas</v>
      </c>
      <c r="FO33" s="313"/>
      <c r="FP33" s="314">
        <f t="shared" si="197"/>
        <v>79.5</v>
      </c>
      <c r="FQ33" s="194">
        <f t="shared" si="33"/>
        <v>86</v>
      </c>
      <c r="FR33" s="194">
        <f t="shared" si="34"/>
        <v>86</v>
      </c>
      <c r="FS33" s="194" t="str">
        <f t="shared" si="35"/>
        <v/>
      </c>
      <c r="FT33" s="194" t="str">
        <f t="shared" si="36"/>
        <v/>
      </c>
      <c r="FU33" s="194" t="str">
        <f t="shared" si="37"/>
        <v/>
      </c>
      <c r="FV33" s="194">
        <f t="shared" si="38"/>
        <v>81.2</v>
      </c>
      <c r="FW33" s="194">
        <f t="shared" si="39"/>
        <v>73</v>
      </c>
      <c r="FX33" s="194">
        <f t="shared" si="344"/>
        <v>73</v>
      </c>
      <c r="FY33" s="194" t="str">
        <f t="shared" si="40"/>
        <v/>
      </c>
      <c r="FZ33" s="194" t="str">
        <f t="shared" si="41"/>
        <v/>
      </c>
      <c r="GA33" s="194" t="str">
        <f t="shared" si="42"/>
        <v/>
      </c>
      <c r="GB33" s="194">
        <f t="shared" si="43"/>
        <v>73</v>
      </c>
      <c r="GC33" s="194" t="str">
        <f t="shared" si="44"/>
        <v/>
      </c>
      <c r="GD33" s="194" t="str">
        <f t="shared" si="45"/>
        <v/>
      </c>
      <c r="GE33" s="194" t="str">
        <f t="shared" si="46"/>
        <v/>
      </c>
      <c r="GF33" s="194" t="str">
        <f t="shared" si="47"/>
        <v/>
      </c>
      <c r="GG33" s="194" t="str">
        <f t="shared" si="48"/>
        <v/>
      </c>
      <c r="GH33" s="194" t="str">
        <f t="shared" si="49"/>
        <v/>
      </c>
      <c r="GI33" s="194" t="str">
        <f t="shared" si="50"/>
        <v/>
      </c>
      <c r="GJ33" s="194" t="str">
        <f t="shared" si="51"/>
        <v/>
      </c>
      <c r="GK33" s="194" t="str">
        <f t="shared" si="52"/>
        <v/>
      </c>
      <c r="GL33" s="194" t="str">
        <f t="shared" si="53"/>
        <v/>
      </c>
      <c r="GM33" s="194" t="str">
        <f t="shared" si="54"/>
        <v/>
      </c>
      <c r="GN33" s="194" t="str">
        <f t="shared" si="55"/>
        <v/>
      </c>
      <c r="GO33" s="194" t="str">
        <f t="shared" si="56"/>
        <v/>
      </c>
      <c r="GP33" s="194" t="str">
        <f t="shared" si="57"/>
        <v/>
      </c>
      <c r="GQ33" s="194" t="str">
        <f t="shared" si="58"/>
        <v/>
      </c>
      <c r="GR33" s="194" t="str">
        <f t="shared" si="59"/>
        <v/>
      </c>
      <c r="GS33" s="194" t="str">
        <f t="shared" si="60"/>
        <v/>
      </c>
      <c r="GT33" s="194" t="str">
        <f t="shared" si="61"/>
        <v/>
      </c>
      <c r="GU33" s="194" t="str">
        <f t="shared" si="62"/>
        <v/>
      </c>
      <c r="GV33" s="194" t="str">
        <f t="shared" si="63"/>
        <v/>
      </c>
      <c r="GW33" s="194" t="str">
        <f t="shared" si="64"/>
        <v/>
      </c>
      <c r="GX33" s="194" t="str">
        <f t="shared" si="65"/>
        <v/>
      </c>
      <c r="GY33" s="194" t="str">
        <f t="shared" si="66"/>
        <v/>
      </c>
      <c r="GZ33" s="194" t="str">
        <f t="shared" si="67"/>
        <v/>
      </c>
      <c r="HA33" s="194" t="str">
        <f t="shared" si="68"/>
        <v/>
      </c>
      <c r="HB33" s="194" t="str">
        <f t="shared" si="69"/>
        <v/>
      </c>
      <c r="HC33" s="194" t="str">
        <f t="shared" si="70"/>
        <v/>
      </c>
      <c r="HD33" s="194" t="str">
        <f t="shared" si="71"/>
        <v/>
      </c>
      <c r="HE33" s="194" t="str">
        <f t="shared" si="72"/>
        <v/>
      </c>
      <c r="HF33" s="194" t="str">
        <f t="shared" si="73"/>
        <v/>
      </c>
      <c r="HG33" s="194" t="str">
        <f t="shared" si="74"/>
        <v/>
      </c>
      <c r="HH33" s="194" t="str">
        <f t="shared" si="75"/>
        <v/>
      </c>
      <c r="HI33" s="194" t="str">
        <f t="shared" si="76"/>
        <v/>
      </c>
      <c r="HJ33" s="194" t="str">
        <f t="shared" si="77"/>
        <v/>
      </c>
      <c r="HK33" s="194" t="str">
        <f t="shared" si="78"/>
        <v/>
      </c>
      <c r="HL33" s="194" t="str">
        <f t="shared" si="79"/>
        <v/>
      </c>
      <c r="HM33" s="194" t="str">
        <f t="shared" si="80"/>
        <v/>
      </c>
      <c r="HN33" s="194" t="str">
        <f t="shared" si="81"/>
        <v/>
      </c>
      <c r="HO33" s="194" t="str">
        <f t="shared" si="82"/>
        <v/>
      </c>
      <c r="HP33" s="194" t="str">
        <f t="shared" si="83"/>
        <v/>
      </c>
      <c r="HQ33" s="194" t="str">
        <f t="shared" si="84"/>
        <v/>
      </c>
      <c r="HR33" s="194" t="str">
        <f t="shared" si="85"/>
        <v/>
      </c>
      <c r="HS33" s="194" t="str">
        <f t="shared" si="86"/>
        <v/>
      </c>
      <c r="HT33" s="194" t="str">
        <f t="shared" si="87"/>
        <v/>
      </c>
      <c r="HU33" s="194" t="str">
        <f t="shared" si="88"/>
        <v/>
      </c>
      <c r="HV33" s="194" t="str">
        <f t="shared" si="89"/>
        <v/>
      </c>
      <c r="HW33" s="194" t="str">
        <f t="shared" si="90"/>
        <v/>
      </c>
      <c r="HX33" s="194" t="str">
        <f t="shared" si="91"/>
        <v/>
      </c>
      <c r="HY33" s="194" t="str">
        <f t="shared" si="92"/>
        <v/>
      </c>
      <c r="HZ33" s="194" t="str">
        <f t="shared" si="93"/>
        <v/>
      </c>
      <c r="IA33" s="194" t="str">
        <f t="shared" si="94"/>
        <v/>
      </c>
      <c r="IB33" s="194" t="str">
        <f t="shared" si="95"/>
        <v/>
      </c>
      <c r="IC33" s="194" t="str">
        <f t="shared" si="96"/>
        <v/>
      </c>
      <c r="ID33" s="194" t="str">
        <f t="shared" si="97"/>
        <v/>
      </c>
      <c r="IE33" s="194" t="str">
        <f t="shared" si="98"/>
        <v/>
      </c>
      <c r="IF33" s="194" t="str">
        <f t="shared" si="99"/>
        <v/>
      </c>
      <c r="IG33" s="194" t="str">
        <f t="shared" si="100"/>
        <v/>
      </c>
      <c r="IH33" s="194" t="str">
        <f t="shared" si="101"/>
        <v/>
      </c>
      <c r="II33" s="194" t="str">
        <f t="shared" si="102"/>
        <v/>
      </c>
      <c r="IJ33" s="194" t="str">
        <f t="shared" si="103"/>
        <v/>
      </c>
      <c r="IK33" s="194" t="str">
        <f t="shared" si="104"/>
        <v/>
      </c>
      <c r="IL33" s="194" t="str">
        <f t="shared" si="105"/>
        <v/>
      </c>
      <c r="IM33" s="194" t="str">
        <f t="shared" si="106"/>
        <v/>
      </c>
      <c r="IN33" s="194" t="str">
        <f t="shared" si="107"/>
        <v/>
      </c>
      <c r="IO33" s="194" t="str">
        <f t="shared" si="108"/>
        <v/>
      </c>
      <c r="IP33" s="194" t="str">
        <f t="shared" si="109"/>
        <v/>
      </c>
      <c r="IQ33" s="194" t="str">
        <f t="shared" si="110"/>
        <v/>
      </c>
      <c r="IR33" s="194" t="str">
        <f t="shared" si="111"/>
        <v/>
      </c>
      <c r="IS33" s="194" t="str">
        <f t="shared" si="112"/>
        <v/>
      </c>
      <c r="IT33" s="194" t="str">
        <f t="shared" si="113"/>
        <v/>
      </c>
      <c r="IU33" s="194" t="str">
        <f t="shared" si="114"/>
        <v/>
      </c>
      <c r="IV33" s="194" t="str">
        <f t="shared" si="115"/>
        <v/>
      </c>
      <c r="IW33" s="194" t="str">
        <f t="shared" si="116"/>
        <v/>
      </c>
      <c r="IX33" s="194" t="str">
        <f t="shared" si="117"/>
        <v/>
      </c>
      <c r="IY33" s="194" t="str">
        <f t="shared" si="118"/>
        <v/>
      </c>
      <c r="IZ33" s="194" t="str">
        <f t="shared" si="119"/>
        <v/>
      </c>
      <c r="JA33" s="194" t="str">
        <f t="shared" si="120"/>
        <v/>
      </c>
      <c r="JB33" s="194" t="str">
        <f t="shared" si="121"/>
        <v/>
      </c>
      <c r="JC33" s="194" t="str">
        <f t="shared" si="122"/>
        <v/>
      </c>
      <c r="JD33" s="194" t="str">
        <f t="shared" si="123"/>
        <v/>
      </c>
      <c r="JE33" s="194" t="str">
        <f t="shared" si="124"/>
        <v/>
      </c>
      <c r="JF33" s="194" t="str">
        <f t="shared" si="125"/>
        <v/>
      </c>
      <c r="JG33" s="194" t="str">
        <f t="shared" si="126"/>
        <v/>
      </c>
      <c r="JH33" s="194" t="str">
        <f t="shared" si="127"/>
        <v/>
      </c>
      <c r="JI33" s="194" t="str">
        <f t="shared" si="128"/>
        <v/>
      </c>
      <c r="JJ33" s="194" t="str">
        <f t="shared" si="129"/>
        <v/>
      </c>
      <c r="JK33" s="194" t="str">
        <f t="shared" si="130"/>
        <v/>
      </c>
      <c r="JL33" s="194" t="str">
        <f t="shared" si="131"/>
        <v/>
      </c>
      <c r="JM33" s="194" t="str">
        <f t="shared" si="132"/>
        <v/>
      </c>
      <c r="JN33" s="194" t="str">
        <f t="shared" si="133"/>
        <v/>
      </c>
      <c r="JO33" s="194" t="str">
        <f t="shared" si="134"/>
        <v/>
      </c>
      <c r="JP33" s="194" t="str">
        <f t="shared" si="135"/>
        <v/>
      </c>
      <c r="JQ33" s="194" t="str">
        <f t="shared" si="136"/>
        <v/>
      </c>
      <c r="JR33" s="194" t="str">
        <f t="shared" si="137"/>
        <v/>
      </c>
      <c r="JS33" s="194" t="str">
        <f t="shared" si="138"/>
        <v/>
      </c>
      <c r="JT33" s="194" t="str">
        <f t="shared" si="139"/>
        <v/>
      </c>
      <c r="JU33" s="194" t="str">
        <f t="shared" si="140"/>
        <v/>
      </c>
      <c r="JV33" s="194" t="str">
        <f t="shared" si="141"/>
        <v/>
      </c>
      <c r="JW33" s="194" t="str">
        <f t="shared" si="142"/>
        <v/>
      </c>
      <c r="JX33" s="194" t="str">
        <f t="shared" si="143"/>
        <v/>
      </c>
      <c r="JY33" s="194" t="str">
        <f t="shared" si="144"/>
        <v/>
      </c>
      <c r="JZ33" s="194" t="str">
        <f t="shared" si="145"/>
        <v/>
      </c>
      <c r="KA33" s="194" t="str">
        <f t="shared" si="146"/>
        <v/>
      </c>
      <c r="KB33" s="194" t="str">
        <f t="shared" si="147"/>
        <v/>
      </c>
      <c r="KC33" s="194" t="str">
        <f t="shared" si="148"/>
        <v/>
      </c>
      <c r="KD33" s="194" t="str">
        <f t="shared" si="149"/>
        <v/>
      </c>
      <c r="KE33" s="194" t="str">
        <f t="shared" si="150"/>
        <v/>
      </c>
      <c r="KF33" s="194" t="str">
        <f t="shared" si="151"/>
        <v/>
      </c>
      <c r="KG33" s="194">
        <f>SUM(LE33:LX33)/COUNTA(RefKI3KI4!$B$5:$B$24)</f>
        <v>77.1</v>
      </c>
      <c r="KH33" s="232">
        <f t="shared" si="198"/>
        <v>0</v>
      </c>
      <c r="KI33" s="340" t="str">
        <f t="shared" si="199"/>
        <v>ok</v>
      </c>
      <c r="KJ33" s="340" t="str">
        <f t="shared" si="200"/>
        <v>ok</v>
      </c>
      <c r="KK33" s="340" t="str">
        <f t="shared" si="201"/>
        <v/>
      </c>
      <c r="KL33" s="340" t="str">
        <f t="shared" si="202"/>
        <v/>
      </c>
      <c r="KM33" s="340" t="str">
        <f t="shared" si="203"/>
        <v/>
      </c>
      <c r="KN33" s="340" t="str">
        <f t="shared" si="204"/>
        <v/>
      </c>
      <c r="KO33" s="340" t="str">
        <f t="shared" si="205"/>
        <v/>
      </c>
      <c r="KP33" s="340" t="str">
        <f t="shared" si="206"/>
        <v/>
      </c>
      <c r="KQ33" s="340" t="str">
        <f t="shared" si="207"/>
        <v/>
      </c>
      <c r="KR33" s="340" t="str">
        <f t="shared" si="208"/>
        <v/>
      </c>
      <c r="KS33" s="340" t="str">
        <f t="shared" si="209"/>
        <v/>
      </c>
      <c r="KT33" s="340" t="str">
        <f t="shared" si="210"/>
        <v/>
      </c>
      <c r="KU33" s="340" t="str">
        <f t="shared" si="211"/>
        <v/>
      </c>
      <c r="KV33" s="340" t="str">
        <f t="shared" si="212"/>
        <v/>
      </c>
      <c r="KW33" s="340" t="str">
        <f t="shared" si="213"/>
        <v/>
      </c>
      <c r="KX33" s="340" t="str">
        <f t="shared" si="214"/>
        <v/>
      </c>
      <c r="KY33" s="340" t="str">
        <f t="shared" si="215"/>
        <v/>
      </c>
      <c r="KZ33" s="340" t="str">
        <f t="shared" si="216"/>
        <v/>
      </c>
      <c r="LA33" s="340" t="str">
        <f t="shared" si="217"/>
        <v/>
      </c>
      <c r="LB33" s="340" t="str">
        <f t="shared" si="218"/>
        <v/>
      </c>
      <c r="LC33" s="340">
        <f t="shared" si="219"/>
        <v>0</v>
      </c>
      <c r="LD33" s="228">
        <v>25</v>
      </c>
      <c r="LE33" s="229">
        <f t="shared" si="220"/>
        <v>81.2</v>
      </c>
      <c r="LF33" s="229">
        <f t="shared" si="221"/>
        <v>73</v>
      </c>
      <c r="LG33" s="229" t="str">
        <f t="shared" si="222"/>
        <v/>
      </c>
      <c r="LH33" s="229" t="str">
        <f t="shared" si="223"/>
        <v/>
      </c>
      <c r="LI33" s="229" t="str">
        <f t="shared" si="224"/>
        <v/>
      </c>
      <c r="LJ33" s="229" t="str">
        <f t="shared" si="225"/>
        <v/>
      </c>
      <c r="LK33" s="229" t="str">
        <f t="shared" si="226"/>
        <v/>
      </c>
      <c r="LL33" s="229" t="str">
        <f t="shared" si="227"/>
        <v/>
      </c>
      <c r="LM33" s="229" t="str">
        <f t="shared" si="228"/>
        <v/>
      </c>
      <c r="LN33" s="229" t="str">
        <f t="shared" si="229"/>
        <v/>
      </c>
      <c r="LO33" s="229" t="str">
        <f t="shared" si="230"/>
        <v/>
      </c>
      <c r="LP33" s="229" t="str">
        <f t="shared" si="231"/>
        <v/>
      </c>
      <c r="LQ33" s="229" t="str">
        <f t="shared" si="232"/>
        <v/>
      </c>
      <c r="LR33" s="229" t="str">
        <f t="shared" si="233"/>
        <v/>
      </c>
      <c r="LS33" s="229" t="str">
        <f t="shared" si="234"/>
        <v/>
      </c>
      <c r="LT33" s="229" t="str">
        <f t="shared" si="235"/>
        <v/>
      </c>
      <c r="LU33" s="229" t="str">
        <f t="shared" si="236"/>
        <v/>
      </c>
      <c r="LV33" s="229" t="str">
        <f t="shared" si="237"/>
        <v/>
      </c>
      <c r="LW33" s="229" t="str">
        <f t="shared" si="238"/>
        <v/>
      </c>
      <c r="LX33" s="229" t="str">
        <f t="shared" si="239"/>
        <v/>
      </c>
      <c r="LY33" s="231">
        <f t="shared" si="240"/>
        <v>81.2</v>
      </c>
      <c r="LZ33" s="231">
        <f t="shared" si="241"/>
        <v>73</v>
      </c>
      <c r="MA33" s="231" t="str">
        <f t="shared" si="242"/>
        <v/>
      </c>
      <c r="MB33" s="231" t="str">
        <f t="shared" si="243"/>
        <v/>
      </c>
      <c r="MC33" s="231" t="str">
        <f t="shared" si="244"/>
        <v/>
      </c>
      <c r="MD33" s="231" t="str">
        <f t="shared" si="245"/>
        <v/>
      </c>
      <c r="ME33" s="231" t="str">
        <f t="shared" si="246"/>
        <v/>
      </c>
      <c r="MF33" s="231" t="str">
        <f t="shared" si="247"/>
        <v/>
      </c>
      <c r="MG33" s="231" t="str">
        <f t="shared" si="248"/>
        <v/>
      </c>
      <c r="MH33" s="231" t="str">
        <f t="shared" si="249"/>
        <v/>
      </c>
      <c r="MI33" s="231" t="str">
        <f t="shared" si="250"/>
        <v/>
      </c>
      <c r="MJ33" s="231" t="str">
        <f t="shared" si="251"/>
        <v/>
      </c>
      <c r="MK33" s="231" t="str">
        <f t="shared" si="252"/>
        <v/>
      </c>
      <c r="ML33" s="231" t="str">
        <f t="shared" si="253"/>
        <v/>
      </c>
      <c r="MM33" s="231" t="str">
        <f t="shared" si="254"/>
        <v/>
      </c>
      <c r="MN33" s="231" t="str">
        <f t="shared" si="255"/>
        <v/>
      </c>
      <c r="MO33" s="231" t="str">
        <f t="shared" si="256"/>
        <v/>
      </c>
      <c r="MP33" s="231" t="str">
        <f t="shared" si="257"/>
        <v/>
      </c>
      <c r="MQ33" s="231" t="str">
        <f t="shared" si="258"/>
        <v/>
      </c>
      <c r="MR33" s="231" t="str">
        <f t="shared" si="259"/>
        <v/>
      </c>
      <c r="MS33" s="231">
        <f t="shared" si="154"/>
        <v>81.2</v>
      </c>
      <c r="MT33" s="232" t="str">
        <f>IF(MS33="","",IF(MS33&gt;=KONVERSI!$A$5,KONVERSI!$E$5,IF(MS33&gt;=KONVERSI!$A$6,KONVERSI!$E$6,IF(MS33&gt;=KONVERSI!$A$7,KONVERSI!$E$7,KONVERSI!$E$8))))</f>
        <v>Cukup Baik</v>
      </c>
      <c r="MU33" s="233" t="str">
        <f t="shared" si="155"/>
        <v>Cukup Baik dalamjenis, sifat, karakter dan teknik pengolahan kerang, kaca, keramik dan botol plastik</v>
      </c>
      <c r="MV33" s="234">
        <f t="shared" si="260"/>
        <v>73</v>
      </c>
      <c r="MW33" s="232" t="str">
        <f>IF(MV33="","",IF(MV33&gt;=KONVERSI!$A$5,KONVERSI!$E$5,IF(MV33&gt;=KONVERSI!$A$6,KONVERSI!$E$6,IF(MV33&gt;=KONVERSI!$A$7,KONVERSI!$E$7,KONVERSI!$E$8))))</f>
        <v>Cukup Baik</v>
      </c>
      <c r="MX33" s="134" t="str">
        <f>IF(FI33&lt;$FN$4," "&amp;KONVERSI!$C$18&amp;INDEX($LY$8:$MR$8,MATCH(MV33,LY33:MR33,0))&amp;".",IF(KG33=0,"",IF(MV33&lt;&gt;0,MU33&amp;MW33&amp;".",MU33&amp;".")))</f>
        <v>Cukup Baik dalamjenis, sifat, karakter dan teknik pengolahan kerang, kaca, keramik dan botol plastikCukup Baik.</v>
      </c>
      <c r="MY33" s="235" t="str">
        <f t="shared" si="261"/>
        <v>OK</v>
      </c>
      <c r="MZ33" s="235" t="str">
        <f t="shared" si="262"/>
        <v>NO</v>
      </c>
      <c r="NA33" s="235" t="str">
        <f t="shared" si="263"/>
        <v/>
      </c>
      <c r="NB33" s="235" t="str">
        <f t="shared" si="264"/>
        <v/>
      </c>
      <c r="NC33" s="235" t="str">
        <f t="shared" si="265"/>
        <v/>
      </c>
      <c r="ND33" s="235" t="str">
        <f t="shared" si="266"/>
        <v/>
      </c>
      <c r="NE33" s="235" t="str">
        <f t="shared" si="267"/>
        <v/>
      </c>
      <c r="NF33" s="235" t="str">
        <f t="shared" si="268"/>
        <v/>
      </c>
      <c r="NG33" s="235" t="str">
        <f t="shared" si="269"/>
        <v/>
      </c>
      <c r="NH33" s="235" t="str">
        <f t="shared" si="270"/>
        <v/>
      </c>
      <c r="NI33" s="235" t="str">
        <f t="shared" si="271"/>
        <v/>
      </c>
      <c r="NJ33" s="235" t="str">
        <f t="shared" si="272"/>
        <v/>
      </c>
      <c r="NK33" s="235" t="str">
        <f t="shared" si="273"/>
        <v/>
      </c>
      <c r="NL33" s="235" t="str">
        <f t="shared" si="274"/>
        <v/>
      </c>
      <c r="NM33" s="235" t="str">
        <f t="shared" si="275"/>
        <v/>
      </c>
      <c r="NN33" s="235" t="str">
        <f t="shared" si="276"/>
        <v/>
      </c>
      <c r="NO33" s="235" t="str">
        <f t="shared" si="277"/>
        <v/>
      </c>
      <c r="NP33" s="235" t="str">
        <f t="shared" si="278"/>
        <v/>
      </c>
      <c r="NQ33" s="235" t="str">
        <f t="shared" si="279"/>
        <v/>
      </c>
      <c r="NR33" s="235" t="str">
        <f t="shared" si="280"/>
        <v/>
      </c>
      <c r="NS33" s="134" t="str">
        <f t="shared" si="281"/>
        <v>jenis, sifat, karakter dan teknik pengolahan kerang, kaca, keramik dan botol plastik</v>
      </c>
      <c r="NT33" s="134" t="str">
        <f t="shared" si="282"/>
        <v/>
      </c>
      <c r="NU33" s="134" t="str">
        <f t="shared" si="283"/>
        <v/>
      </c>
      <c r="NV33" s="134" t="str">
        <f t="shared" si="284"/>
        <v/>
      </c>
      <c r="NW33" s="134" t="str">
        <f t="shared" si="285"/>
        <v/>
      </c>
      <c r="NX33" s="134" t="str">
        <f t="shared" si="286"/>
        <v/>
      </c>
      <c r="NY33" s="134" t="str">
        <f t="shared" si="287"/>
        <v/>
      </c>
      <c r="NZ33" s="134" t="str">
        <f t="shared" si="288"/>
        <v/>
      </c>
      <c r="OA33" s="134" t="str">
        <f t="shared" si="289"/>
        <v/>
      </c>
      <c r="OB33" s="134" t="str">
        <f t="shared" si="290"/>
        <v/>
      </c>
      <c r="OC33" s="134" t="str">
        <f t="shared" si="291"/>
        <v/>
      </c>
      <c r="OD33" s="134" t="str">
        <f t="shared" si="292"/>
        <v/>
      </c>
      <c r="OE33" s="134" t="str">
        <f t="shared" si="293"/>
        <v/>
      </c>
      <c r="OF33" s="134" t="str">
        <f t="shared" si="294"/>
        <v/>
      </c>
      <c r="OG33" s="134" t="str">
        <f t="shared" si="295"/>
        <v/>
      </c>
      <c r="OH33" s="134" t="str">
        <f t="shared" si="296"/>
        <v/>
      </c>
      <c r="OI33" s="134" t="str">
        <f t="shared" si="297"/>
        <v/>
      </c>
      <c r="OJ33" s="134" t="str">
        <f t="shared" si="298"/>
        <v/>
      </c>
      <c r="OK33" s="134" t="str">
        <f t="shared" si="299"/>
        <v/>
      </c>
      <c r="OL33" s="134" t="str">
        <f t="shared" si="300"/>
        <v/>
      </c>
      <c r="OM33" s="134" t="str">
        <f t="shared" si="301"/>
        <v>Cukup Baik dalam jenis, sifat, karakter dan teknik pengolahan kerang, kaca, keramik dan botol plastik</v>
      </c>
      <c r="ON33" s="134" t="str">
        <f t="shared" si="302"/>
        <v>Cukup Baik dalam jenis, sifat, karakter dan teknik pengolahan kerang, kaca, keramik dan botol plasti.  </v>
      </c>
      <c r="OO33" s="236">
        <f t="shared" si="169"/>
        <v>1</v>
      </c>
      <c r="OP33" s="235" t="str">
        <f t="shared" si="303"/>
        <v>NO</v>
      </c>
      <c r="OQ33" s="235" t="str">
        <f t="shared" si="304"/>
        <v>OK</v>
      </c>
      <c r="OR33" s="235" t="str">
        <f t="shared" si="305"/>
        <v/>
      </c>
      <c r="OS33" s="235" t="str">
        <f t="shared" si="306"/>
        <v/>
      </c>
      <c r="OT33" s="235" t="str">
        <f t="shared" si="307"/>
        <v/>
      </c>
      <c r="OU33" s="235" t="str">
        <f t="shared" si="308"/>
        <v/>
      </c>
      <c r="OV33" s="235" t="str">
        <f t="shared" si="309"/>
        <v/>
      </c>
      <c r="OW33" s="235" t="str">
        <f t="shared" si="310"/>
        <v/>
      </c>
      <c r="OX33" s="235" t="str">
        <f t="shared" si="311"/>
        <v/>
      </c>
      <c r="OY33" s="235" t="str">
        <f t="shared" si="312"/>
        <v/>
      </c>
      <c r="OZ33" s="235" t="str">
        <f t="shared" si="313"/>
        <v/>
      </c>
      <c r="PA33" s="235" t="str">
        <f t="shared" si="314"/>
        <v/>
      </c>
      <c r="PB33" s="235" t="str">
        <f t="shared" si="315"/>
        <v/>
      </c>
      <c r="PC33" s="235" t="str">
        <f t="shared" si="316"/>
        <v/>
      </c>
      <c r="PD33" s="235" t="str">
        <f t="shared" si="317"/>
        <v/>
      </c>
      <c r="PE33" s="235" t="str">
        <f t="shared" si="318"/>
        <v/>
      </c>
      <c r="PF33" s="235" t="str">
        <f t="shared" si="319"/>
        <v/>
      </c>
      <c r="PG33" s="235" t="str">
        <f t="shared" si="320"/>
        <v/>
      </c>
      <c r="PH33" s="235" t="str">
        <f t="shared" si="321"/>
        <v/>
      </c>
      <c r="PI33" s="235" t="str">
        <f t="shared" si="322"/>
        <v/>
      </c>
      <c r="PJ33" s="134" t="str">
        <f t="shared" si="323"/>
        <v/>
      </c>
      <c r="PK33" s="134" t="str">
        <f t="shared" si="324"/>
        <v>prinsip perancangan, pembuatan dan penyajian produk kerajinan kerang, kaca, keramik dan botol plastik yang kreatif dan inovatif</v>
      </c>
      <c r="PL33" s="134" t="str">
        <f t="shared" si="325"/>
        <v/>
      </c>
      <c r="PM33" s="134" t="str">
        <f t="shared" si="326"/>
        <v/>
      </c>
      <c r="PN33" s="134" t="str">
        <f t="shared" si="327"/>
        <v/>
      </c>
      <c r="PO33" s="134" t="str">
        <f t="shared" si="328"/>
        <v/>
      </c>
      <c r="PP33" s="134" t="str">
        <f t="shared" si="329"/>
        <v/>
      </c>
      <c r="PQ33" s="134" t="str">
        <f t="shared" si="330"/>
        <v/>
      </c>
      <c r="PR33" s="134" t="str">
        <f t="shared" si="331"/>
        <v/>
      </c>
      <c r="PS33" s="134" t="str">
        <f t="shared" si="332"/>
        <v/>
      </c>
      <c r="PT33" s="134" t="str">
        <f t="shared" si="333"/>
        <v/>
      </c>
      <c r="PU33" s="134" t="str">
        <f t="shared" si="334"/>
        <v/>
      </c>
      <c r="PV33" s="134" t="str">
        <f t="shared" si="335"/>
        <v/>
      </c>
      <c r="PW33" s="134" t="str">
        <f t="shared" si="336"/>
        <v/>
      </c>
      <c r="PX33" s="134" t="str">
        <f t="shared" si="337"/>
        <v/>
      </c>
      <c r="PY33" s="134" t="str">
        <f t="shared" si="338"/>
        <v/>
      </c>
      <c r="PZ33" s="134" t="str">
        <f t="shared" si="339"/>
        <v/>
      </c>
      <c r="QA33" s="134" t="str">
        <f t="shared" si="340"/>
        <v/>
      </c>
      <c r="QB33" s="134" t="str">
        <f t="shared" si="341"/>
        <v/>
      </c>
      <c r="QC33" s="134" t="str">
        <f t="shared" si="342"/>
        <v/>
      </c>
      <c r="QD33" s="134" t="str">
        <f>IF(MT33=MW33,"",IF(MV33="","",IF(MV33&gt;=KONVERSI!$A$7,'KI3'!MW33&amp;" dalam"&amp;PJ33&amp;PK33&amp;PL33&amp;PM33&amp;PN33&amp;PO33&amp;PP33&amp;PQ33&amp;PR33&amp;PS33&amp;PT33&amp;PU33&amp;PV33&amp;PW33&amp;PX33&amp;PY33&amp;PZ33&amp;QA33&amp;QB33&amp;QC33,KONVERSI!$C$18&amp;" dalam"&amp;PJ33&amp;PK33&amp;PL33&amp;PM33&amp;PN33&amp;PO33&amp;PP33&amp;PQ33&amp;PR33&amp;PS33&amp;PT33&amp;PU33&amp;PV33&amp;PW33&amp;PX33&amp;PY33&amp;PZ33&amp;QA33&amp;QB33&amp;QC33)))</f>
        <v/>
      </c>
      <c r="QE33" s="134" t="str">
        <f t="shared" si="343"/>
        <v/>
      </c>
      <c r="QF33" s="236">
        <f t="shared" si="172"/>
        <v>1</v>
      </c>
      <c r="QG33" s="134" t="str">
        <f t="shared" si="173"/>
        <v>Cukup Baik dalam jenis, sifat, karakter dan teknik pengolahan kerang, kaca, keramik dan botol plasti.  </v>
      </c>
    </row>
    <row r="34" ht="27.6" customHeight="1" spans="1:449">
      <c r="A34" s="136"/>
      <c r="B34" s="177">
        <v>26</v>
      </c>
      <c r="C34" s="178" t="str">
        <f>siswa!C30</f>
        <v>TUAHMAN</v>
      </c>
      <c r="D34" s="174">
        <f>siswa!D30</f>
        <v>2856</v>
      </c>
      <c r="E34" s="175">
        <v>80</v>
      </c>
      <c r="F34" s="175">
        <v>80</v>
      </c>
      <c r="G34" s="248"/>
      <c r="H34" s="176"/>
      <c r="I34" s="176"/>
      <c r="J34" s="175">
        <v>100</v>
      </c>
      <c r="K34" s="176"/>
      <c r="L34" s="223">
        <f t="shared" si="174"/>
        <v>88</v>
      </c>
      <c r="M34" s="250"/>
      <c r="N34" s="250"/>
      <c r="O34" s="248"/>
      <c r="P34" s="176"/>
      <c r="Q34" s="176"/>
      <c r="R34" s="250">
        <v>84</v>
      </c>
      <c r="S34" s="176"/>
      <c r="T34" s="223" t="str">
        <f t="shared" si="175"/>
        <v/>
      </c>
      <c r="U34" s="248"/>
      <c r="V34" s="248"/>
      <c r="W34" s="248"/>
      <c r="X34" s="176"/>
      <c r="Y34" s="176"/>
      <c r="Z34" s="250"/>
      <c r="AA34" s="176"/>
      <c r="AB34" s="223">
        <f t="shared" si="176"/>
        <v>0</v>
      </c>
      <c r="AC34" s="248"/>
      <c r="AD34" s="248"/>
      <c r="AE34" s="248"/>
      <c r="AF34" s="248"/>
      <c r="AG34" s="176"/>
      <c r="AH34" s="250"/>
      <c r="AI34" s="176"/>
      <c r="AJ34" s="223">
        <f t="shared" si="177"/>
        <v>0</v>
      </c>
      <c r="AK34" s="181"/>
      <c r="AL34" s="176"/>
      <c r="AM34" s="176"/>
      <c r="AN34" s="176"/>
      <c r="AO34" s="176"/>
      <c r="AP34" s="176"/>
      <c r="AQ34" s="176"/>
      <c r="AR34" s="223">
        <f t="shared" si="178"/>
        <v>0</v>
      </c>
      <c r="AS34" s="181"/>
      <c r="AT34" s="176"/>
      <c r="AU34" s="176"/>
      <c r="AV34" s="176"/>
      <c r="AW34" s="176"/>
      <c r="AX34" s="176"/>
      <c r="AY34" s="176"/>
      <c r="AZ34" s="223">
        <f t="shared" si="179"/>
        <v>0</v>
      </c>
      <c r="BA34" s="181"/>
      <c r="BB34" s="176"/>
      <c r="BC34" s="176"/>
      <c r="BD34" s="176"/>
      <c r="BE34" s="176"/>
      <c r="BF34" s="176"/>
      <c r="BG34" s="176"/>
      <c r="BH34" s="223">
        <f t="shared" si="180"/>
        <v>0</v>
      </c>
      <c r="BI34" s="181"/>
      <c r="BJ34" s="176"/>
      <c r="BK34" s="176"/>
      <c r="BL34" s="176"/>
      <c r="BM34" s="176"/>
      <c r="BN34" s="176"/>
      <c r="BO34" s="176"/>
      <c r="BP34" s="223">
        <f t="shared" si="181"/>
        <v>0</v>
      </c>
      <c r="BQ34" s="181"/>
      <c r="BR34" s="176"/>
      <c r="BS34" s="176"/>
      <c r="BT34" s="176"/>
      <c r="BU34" s="176"/>
      <c r="BV34" s="176"/>
      <c r="BW34" s="176"/>
      <c r="BX34" s="223">
        <f t="shared" si="182"/>
        <v>0</v>
      </c>
      <c r="BY34" s="181"/>
      <c r="BZ34" s="176"/>
      <c r="CA34" s="176"/>
      <c r="CB34" s="176"/>
      <c r="CC34" s="176"/>
      <c r="CD34" s="176"/>
      <c r="CE34" s="176"/>
      <c r="CF34" s="223">
        <f t="shared" si="183"/>
        <v>0</v>
      </c>
      <c r="CG34" s="181"/>
      <c r="CH34" s="176"/>
      <c r="CI34" s="176"/>
      <c r="CJ34" s="176"/>
      <c r="CK34" s="176"/>
      <c r="CL34" s="176"/>
      <c r="CM34" s="176"/>
      <c r="CN34" s="223">
        <f t="shared" si="184"/>
        <v>0</v>
      </c>
      <c r="CO34" s="181"/>
      <c r="CP34" s="176"/>
      <c r="CQ34" s="176"/>
      <c r="CR34" s="176"/>
      <c r="CS34" s="176"/>
      <c r="CT34" s="176"/>
      <c r="CU34" s="176"/>
      <c r="CV34" s="223">
        <f t="shared" si="185"/>
        <v>0</v>
      </c>
      <c r="CW34" s="181"/>
      <c r="CX34" s="176"/>
      <c r="CY34" s="176"/>
      <c r="CZ34" s="176"/>
      <c r="DA34" s="176"/>
      <c r="DB34" s="176"/>
      <c r="DC34" s="176"/>
      <c r="DD34" s="223">
        <f t="shared" si="186"/>
        <v>0</v>
      </c>
      <c r="DE34" s="181"/>
      <c r="DF34" s="176"/>
      <c r="DG34" s="176"/>
      <c r="DH34" s="176"/>
      <c r="DI34" s="176"/>
      <c r="DJ34" s="176"/>
      <c r="DK34" s="176"/>
      <c r="DL34" s="223">
        <f t="shared" si="187"/>
        <v>0</v>
      </c>
      <c r="DM34" s="181"/>
      <c r="DN34" s="176"/>
      <c r="DO34" s="176"/>
      <c r="DP34" s="176"/>
      <c r="DQ34" s="176"/>
      <c r="DR34" s="176"/>
      <c r="DS34" s="176"/>
      <c r="DT34" s="223">
        <f t="shared" si="188"/>
        <v>0</v>
      </c>
      <c r="DU34" s="181"/>
      <c r="DV34" s="176"/>
      <c r="DW34" s="176"/>
      <c r="DX34" s="176"/>
      <c r="DY34" s="176"/>
      <c r="DZ34" s="176"/>
      <c r="EA34" s="176"/>
      <c r="EB34" s="223">
        <f t="shared" si="189"/>
        <v>0</v>
      </c>
      <c r="EC34" s="181"/>
      <c r="ED34" s="176"/>
      <c r="EE34" s="176"/>
      <c r="EF34" s="176"/>
      <c r="EG34" s="176"/>
      <c r="EH34" s="176"/>
      <c r="EI34" s="176"/>
      <c r="EJ34" s="223">
        <f t="shared" si="190"/>
        <v>0</v>
      </c>
      <c r="EK34" s="181"/>
      <c r="EL34" s="176"/>
      <c r="EM34" s="176"/>
      <c r="EN34" s="176"/>
      <c r="EO34" s="176"/>
      <c r="EP34" s="176"/>
      <c r="EQ34" s="176"/>
      <c r="ER34" s="223">
        <f t="shared" si="191"/>
        <v>0</v>
      </c>
      <c r="ES34" s="181"/>
      <c r="ET34" s="176"/>
      <c r="EU34" s="176"/>
      <c r="EV34" s="176"/>
      <c r="EW34" s="176"/>
      <c r="EX34" s="176"/>
      <c r="EY34" s="176"/>
      <c r="EZ34" s="223">
        <f t="shared" si="192"/>
        <v>0</v>
      </c>
      <c r="FA34" s="181"/>
      <c r="FB34" s="176"/>
      <c r="FC34" s="176"/>
      <c r="FD34" s="176"/>
      <c r="FE34" s="176"/>
      <c r="FF34" s="176"/>
      <c r="FG34" s="176"/>
      <c r="FH34" s="223">
        <f t="shared" si="193"/>
        <v>0</v>
      </c>
      <c r="FI34" s="291">
        <f t="shared" si="194"/>
        <v>44</v>
      </c>
      <c r="FJ34" s="250" t="s">
        <v>189</v>
      </c>
      <c r="FK34" s="250"/>
      <c r="FL34" s="291">
        <f t="shared" si="195"/>
        <v>44</v>
      </c>
      <c r="FM34" s="312" t="str">
        <f>IFERROR(IF(FL34="","",IF(FL34&gt;=KONVERSI!$A$5,KONVERSI!$D$5,IF(FL34&gt;=KONVERSI!$A$6,KONVERSI!$D$6,IF(FL34&gt;=KONVERSI!$A$7,KONVERSI!$D$7,KONVERSI!$D$8)))),"")</f>
        <v>D</v>
      </c>
      <c r="FN34" s="232" t="str">
        <f t="shared" si="196"/>
        <v>BelumTuntas</v>
      </c>
      <c r="FO34" s="313"/>
      <c r="FP34" s="314">
        <f t="shared" si="197"/>
        <v>80</v>
      </c>
      <c r="FQ34" s="194">
        <f t="shared" si="33"/>
        <v>80</v>
      </c>
      <c r="FR34" s="194">
        <f t="shared" si="34"/>
        <v>80</v>
      </c>
      <c r="FS34" s="194" t="str">
        <f t="shared" si="35"/>
        <v/>
      </c>
      <c r="FT34" s="194" t="str">
        <f t="shared" si="36"/>
        <v/>
      </c>
      <c r="FU34" s="194" t="str">
        <f t="shared" si="37"/>
        <v/>
      </c>
      <c r="FV34" s="194">
        <f t="shared" si="38"/>
        <v>88</v>
      </c>
      <c r="FW34" s="194" t="str">
        <f t="shared" si="39"/>
        <v/>
      </c>
      <c r="FX34" s="194" t="str">
        <f t="shared" si="344"/>
        <v/>
      </c>
      <c r="FY34" s="194" t="str">
        <f t="shared" si="40"/>
        <v/>
      </c>
      <c r="FZ34" s="194" t="str">
        <f t="shared" si="41"/>
        <v/>
      </c>
      <c r="GA34" s="194" t="str">
        <f t="shared" si="42"/>
        <v/>
      </c>
      <c r="GB34" s="194" t="str">
        <f t="shared" si="43"/>
        <v/>
      </c>
      <c r="GC34" s="194" t="str">
        <f t="shared" si="44"/>
        <v/>
      </c>
      <c r="GD34" s="194" t="str">
        <f t="shared" si="45"/>
        <v/>
      </c>
      <c r="GE34" s="194" t="str">
        <f t="shared" si="46"/>
        <v/>
      </c>
      <c r="GF34" s="194" t="str">
        <f t="shared" si="47"/>
        <v/>
      </c>
      <c r="GG34" s="194" t="str">
        <f t="shared" si="48"/>
        <v/>
      </c>
      <c r="GH34" s="194" t="str">
        <f t="shared" si="49"/>
        <v/>
      </c>
      <c r="GI34" s="194" t="str">
        <f t="shared" si="50"/>
        <v/>
      </c>
      <c r="GJ34" s="194" t="str">
        <f t="shared" si="51"/>
        <v/>
      </c>
      <c r="GK34" s="194" t="str">
        <f t="shared" si="52"/>
        <v/>
      </c>
      <c r="GL34" s="194" t="str">
        <f t="shared" si="53"/>
        <v/>
      </c>
      <c r="GM34" s="194" t="str">
        <f t="shared" si="54"/>
        <v/>
      </c>
      <c r="GN34" s="194" t="str">
        <f t="shared" si="55"/>
        <v/>
      </c>
      <c r="GO34" s="194" t="str">
        <f t="shared" si="56"/>
        <v/>
      </c>
      <c r="GP34" s="194" t="str">
        <f t="shared" si="57"/>
        <v/>
      </c>
      <c r="GQ34" s="194" t="str">
        <f t="shared" si="58"/>
        <v/>
      </c>
      <c r="GR34" s="194" t="str">
        <f t="shared" si="59"/>
        <v/>
      </c>
      <c r="GS34" s="194" t="str">
        <f t="shared" si="60"/>
        <v/>
      </c>
      <c r="GT34" s="194" t="str">
        <f t="shared" si="61"/>
        <v/>
      </c>
      <c r="GU34" s="194" t="str">
        <f t="shared" si="62"/>
        <v/>
      </c>
      <c r="GV34" s="194" t="str">
        <f t="shared" si="63"/>
        <v/>
      </c>
      <c r="GW34" s="194" t="str">
        <f t="shared" si="64"/>
        <v/>
      </c>
      <c r="GX34" s="194" t="str">
        <f t="shared" si="65"/>
        <v/>
      </c>
      <c r="GY34" s="194" t="str">
        <f t="shared" si="66"/>
        <v/>
      </c>
      <c r="GZ34" s="194" t="str">
        <f t="shared" si="67"/>
        <v/>
      </c>
      <c r="HA34" s="194" t="str">
        <f t="shared" si="68"/>
        <v/>
      </c>
      <c r="HB34" s="194" t="str">
        <f t="shared" si="69"/>
        <v/>
      </c>
      <c r="HC34" s="194" t="str">
        <f t="shared" si="70"/>
        <v/>
      </c>
      <c r="HD34" s="194" t="str">
        <f t="shared" si="71"/>
        <v/>
      </c>
      <c r="HE34" s="194" t="str">
        <f t="shared" si="72"/>
        <v/>
      </c>
      <c r="HF34" s="194" t="str">
        <f t="shared" si="73"/>
        <v/>
      </c>
      <c r="HG34" s="194" t="str">
        <f t="shared" si="74"/>
        <v/>
      </c>
      <c r="HH34" s="194" t="str">
        <f t="shared" si="75"/>
        <v/>
      </c>
      <c r="HI34" s="194" t="str">
        <f t="shared" si="76"/>
        <v/>
      </c>
      <c r="HJ34" s="194" t="str">
        <f t="shared" si="77"/>
        <v/>
      </c>
      <c r="HK34" s="194" t="str">
        <f t="shared" si="78"/>
        <v/>
      </c>
      <c r="HL34" s="194" t="str">
        <f t="shared" si="79"/>
        <v/>
      </c>
      <c r="HM34" s="194" t="str">
        <f t="shared" si="80"/>
        <v/>
      </c>
      <c r="HN34" s="194" t="str">
        <f t="shared" si="81"/>
        <v/>
      </c>
      <c r="HO34" s="194" t="str">
        <f t="shared" si="82"/>
        <v/>
      </c>
      <c r="HP34" s="194" t="str">
        <f t="shared" si="83"/>
        <v/>
      </c>
      <c r="HQ34" s="194" t="str">
        <f t="shared" si="84"/>
        <v/>
      </c>
      <c r="HR34" s="194" t="str">
        <f t="shared" si="85"/>
        <v/>
      </c>
      <c r="HS34" s="194" t="str">
        <f t="shared" si="86"/>
        <v/>
      </c>
      <c r="HT34" s="194" t="str">
        <f t="shared" si="87"/>
        <v/>
      </c>
      <c r="HU34" s="194" t="str">
        <f t="shared" si="88"/>
        <v/>
      </c>
      <c r="HV34" s="194" t="str">
        <f t="shared" si="89"/>
        <v/>
      </c>
      <c r="HW34" s="194" t="str">
        <f t="shared" si="90"/>
        <v/>
      </c>
      <c r="HX34" s="194" t="str">
        <f t="shared" si="91"/>
        <v/>
      </c>
      <c r="HY34" s="194" t="str">
        <f t="shared" si="92"/>
        <v/>
      </c>
      <c r="HZ34" s="194" t="str">
        <f t="shared" si="93"/>
        <v/>
      </c>
      <c r="IA34" s="194" t="str">
        <f t="shared" si="94"/>
        <v/>
      </c>
      <c r="IB34" s="194" t="str">
        <f t="shared" si="95"/>
        <v/>
      </c>
      <c r="IC34" s="194" t="str">
        <f t="shared" si="96"/>
        <v/>
      </c>
      <c r="ID34" s="194" t="str">
        <f t="shared" si="97"/>
        <v/>
      </c>
      <c r="IE34" s="194" t="str">
        <f t="shared" si="98"/>
        <v/>
      </c>
      <c r="IF34" s="194" t="str">
        <f t="shared" si="99"/>
        <v/>
      </c>
      <c r="IG34" s="194" t="str">
        <f t="shared" si="100"/>
        <v/>
      </c>
      <c r="IH34" s="194" t="str">
        <f t="shared" si="101"/>
        <v/>
      </c>
      <c r="II34" s="194" t="str">
        <f t="shared" si="102"/>
        <v/>
      </c>
      <c r="IJ34" s="194" t="str">
        <f t="shared" si="103"/>
        <v/>
      </c>
      <c r="IK34" s="194" t="str">
        <f t="shared" si="104"/>
        <v/>
      </c>
      <c r="IL34" s="194" t="str">
        <f t="shared" si="105"/>
        <v/>
      </c>
      <c r="IM34" s="194" t="str">
        <f t="shared" si="106"/>
        <v/>
      </c>
      <c r="IN34" s="194" t="str">
        <f t="shared" si="107"/>
        <v/>
      </c>
      <c r="IO34" s="194" t="str">
        <f t="shared" si="108"/>
        <v/>
      </c>
      <c r="IP34" s="194" t="str">
        <f t="shared" si="109"/>
        <v/>
      </c>
      <c r="IQ34" s="194" t="str">
        <f t="shared" si="110"/>
        <v/>
      </c>
      <c r="IR34" s="194" t="str">
        <f t="shared" si="111"/>
        <v/>
      </c>
      <c r="IS34" s="194" t="str">
        <f t="shared" si="112"/>
        <v/>
      </c>
      <c r="IT34" s="194" t="str">
        <f t="shared" si="113"/>
        <v/>
      </c>
      <c r="IU34" s="194" t="str">
        <f t="shared" si="114"/>
        <v/>
      </c>
      <c r="IV34" s="194" t="str">
        <f t="shared" si="115"/>
        <v/>
      </c>
      <c r="IW34" s="194" t="str">
        <f t="shared" si="116"/>
        <v/>
      </c>
      <c r="IX34" s="194" t="str">
        <f t="shared" si="117"/>
        <v/>
      </c>
      <c r="IY34" s="194" t="str">
        <f t="shared" si="118"/>
        <v/>
      </c>
      <c r="IZ34" s="194" t="str">
        <f t="shared" si="119"/>
        <v/>
      </c>
      <c r="JA34" s="194" t="str">
        <f t="shared" si="120"/>
        <v/>
      </c>
      <c r="JB34" s="194" t="str">
        <f t="shared" si="121"/>
        <v/>
      </c>
      <c r="JC34" s="194" t="str">
        <f t="shared" si="122"/>
        <v/>
      </c>
      <c r="JD34" s="194" t="str">
        <f t="shared" si="123"/>
        <v/>
      </c>
      <c r="JE34" s="194" t="str">
        <f t="shared" si="124"/>
        <v/>
      </c>
      <c r="JF34" s="194" t="str">
        <f t="shared" si="125"/>
        <v/>
      </c>
      <c r="JG34" s="194" t="str">
        <f t="shared" si="126"/>
        <v/>
      </c>
      <c r="JH34" s="194" t="str">
        <f t="shared" si="127"/>
        <v/>
      </c>
      <c r="JI34" s="194" t="str">
        <f t="shared" si="128"/>
        <v/>
      </c>
      <c r="JJ34" s="194" t="str">
        <f t="shared" si="129"/>
        <v/>
      </c>
      <c r="JK34" s="194" t="str">
        <f t="shared" si="130"/>
        <v/>
      </c>
      <c r="JL34" s="194" t="str">
        <f t="shared" si="131"/>
        <v/>
      </c>
      <c r="JM34" s="194" t="str">
        <f t="shared" si="132"/>
        <v/>
      </c>
      <c r="JN34" s="194" t="str">
        <f t="shared" si="133"/>
        <v/>
      </c>
      <c r="JO34" s="194" t="str">
        <f t="shared" si="134"/>
        <v/>
      </c>
      <c r="JP34" s="194" t="str">
        <f t="shared" si="135"/>
        <v/>
      </c>
      <c r="JQ34" s="194" t="str">
        <f t="shared" si="136"/>
        <v/>
      </c>
      <c r="JR34" s="194" t="str">
        <f t="shared" si="137"/>
        <v/>
      </c>
      <c r="JS34" s="194" t="str">
        <f t="shared" si="138"/>
        <v/>
      </c>
      <c r="JT34" s="194" t="str">
        <f t="shared" si="139"/>
        <v/>
      </c>
      <c r="JU34" s="194" t="str">
        <f t="shared" si="140"/>
        <v/>
      </c>
      <c r="JV34" s="194" t="str">
        <f t="shared" si="141"/>
        <v/>
      </c>
      <c r="JW34" s="194" t="str">
        <f t="shared" si="142"/>
        <v/>
      </c>
      <c r="JX34" s="194" t="str">
        <f t="shared" si="143"/>
        <v/>
      </c>
      <c r="JY34" s="194" t="str">
        <f t="shared" si="144"/>
        <v/>
      </c>
      <c r="JZ34" s="194" t="str">
        <f t="shared" si="145"/>
        <v/>
      </c>
      <c r="KA34" s="194" t="str">
        <f t="shared" si="146"/>
        <v/>
      </c>
      <c r="KB34" s="194" t="str">
        <f t="shared" si="147"/>
        <v/>
      </c>
      <c r="KC34" s="194" t="str">
        <f t="shared" si="148"/>
        <v/>
      </c>
      <c r="KD34" s="194" t="str">
        <f t="shared" si="149"/>
        <v/>
      </c>
      <c r="KE34" s="194" t="str">
        <f t="shared" si="150"/>
        <v/>
      </c>
      <c r="KF34" s="194" t="str">
        <f t="shared" si="151"/>
        <v/>
      </c>
      <c r="KG34" s="194">
        <f>SUM(LE34:LX34)/COUNTA(RefKI3KI4!$B$5:$B$24)</f>
        <v>44</v>
      </c>
      <c r="KH34" s="232">
        <f t="shared" si="198"/>
        <v>0</v>
      </c>
      <c r="KI34" s="340" t="str">
        <f t="shared" si="199"/>
        <v>ok</v>
      </c>
      <c r="KJ34" s="340" t="str">
        <f t="shared" si="200"/>
        <v>ok</v>
      </c>
      <c r="KK34" s="340" t="str">
        <f t="shared" si="201"/>
        <v/>
      </c>
      <c r="KL34" s="340" t="str">
        <f t="shared" si="202"/>
        <v/>
      </c>
      <c r="KM34" s="340" t="str">
        <f t="shared" si="203"/>
        <v/>
      </c>
      <c r="KN34" s="340" t="str">
        <f t="shared" si="204"/>
        <v/>
      </c>
      <c r="KO34" s="340" t="str">
        <f t="shared" si="205"/>
        <v/>
      </c>
      <c r="KP34" s="340" t="str">
        <f t="shared" si="206"/>
        <v/>
      </c>
      <c r="KQ34" s="340" t="str">
        <f t="shared" si="207"/>
        <v/>
      </c>
      <c r="KR34" s="340" t="str">
        <f t="shared" si="208"/>
        <v/>
      </c>
      <c r="KS34" s="340" t="str">
        <f t="shared" si="209"/>
        <v/>
      </c>
      <c r="KT34" s="340" t="str">
        <f t="shared" si="210"/>
        <v/>
      </c>
      <c r="KU34" s="340" t="str">
        <f t="shared" si="211"/>
        <v/>
      </c>
      <c r="KV34" s="340" t="str">
        <f t="shared" si="212"/>
        <v/>
      </c>
      <c r="KW34" s="340" t="str">
        <f t="shared" si="213"/>
        <v/>
      </c>
      <c r="KX34" s="340" t="str">
        <f t="shared" si="214"/>
        <v/>
      </c>
      <c r="KY34" s="340" t="str">
        <f t="shared" si="215"/>
        <v/>
      </c>
      <c r="KZ34" s="340" t="str">
        <f t="shared" si="216"/>
        <v/>
      </c>
      <c r="LA34" s="340" t="str">
        <f t="shared" si="217"/>
        <v/>
      </c>
      <c r="LB34" s="340" t="str">
        <f t="shared" si="218"/>
        <v/>
      </c>
      <c r="LC34" s="340">
        <f t="shared" si="219"/>
        <v>0</v>
      </c>
      <c r="LD34" s="228">
        <v>26</v>
      </c>
      <c r="LE34" s="229">
        <f t="shared" si="220"/>
        <v>88</v>
      </c>
      <c r="LF34" s="229" t="str">
        <f t="shared" si="221"/>
        <v/>
      </c>
      <c r="LG34" s="229" t="str">
        <f t="shared" si="222"/>
        <v/>
      </c>
      <c r="LH34" s="229" t="str">
        <f t="shared" si="223"/>
        <v/>
      </c>
      <c r="LI34" s="229" t="str">
        <f t="shared" si="224"/>
        <v/>
      </c>
      <c r="LJ34" s="229" t="str">
        <f t="shared" si="225"/>
        <v/>
      </c>
      <c r="LK34" s="229" t="str">
        <f t="shared" si="226"/>
        <v/>
      </c>
      <c r="LL34" s="229" t="str">
        <f t="shared" si="227"/>
        <v/>
      </c>
      <c r="LM34" s="229" t="str">
        <f t="shared" si="228"/>
        <v/>
      </c>
      <c r="LN34" s="229" t="str">
        <f t="shared" si="229"/>
        <v/>
      </c>
      <c r="LO34" s="229" t="str">
        <f t="shared" si="230"/>
        <v/>
      </c>
      <c r="LP34" s="229" t="str">
        <f t="shared" si="231"/>
        <v/>
      </c>
      <c r="LQ34" s="229" t="str">
        <f t="shared" si="232"/>
        <v/>
      </c>
      <c r="LR34" s="229" t="str">
        <f t="shared" si="233"/>
        <v/>
      </c>
      <c r="LS34" s="229" t="str">
        <f t="shared" si="234"/>
        <v/>
      </c>
      <c r="LT34" s="229" t="str">
        <f t="shared" si="235"/>
        <v/>
      </c>
      <c r="LU34" s="229" t="str">
        <f t="shared" si="236"/>
        <v/>
      </c>
      <c r="LV34" s="229" t="str">
        <f t="shared" si="237"/>
        <v/>
      </c>
      <c r="LW34" s="229" t="str">
        <f t="shared" si="238"/>
        <v/>
      </c>
      <c r="LX34" s="229" t="str">
        <f t="shared" si="239"/>
        <v/>
      </c>
      <c r="LY34" s="231">
        <f t="shared" si="240"/>
        <v>88</v>
      </c>
      <c r="LZ34" s="231" t="str">
        <f t="shared" si="241"/>
        <v/>
      </c>
      <c r="MA34" s="231" t="str">
        <f t="shared" si="242"/>
        <v/>
      </c>
      <c r="MB34" s="231" t="str">
        <f t="shared" si="243"/>
        <v/>
      </c>
      <c r="MC34" s="231" t="str">
        <f t="shared" si="244"/>
        <v/>
      </c>
      <c r="MD34" s="231" t="str">
        <f t="shared" si="245"/>
        <v/>
      </c>
      <c r="ME34" s="231" t="str">
        <f t="shared" si="246"/>
        <v/>
      </c>
      <c r="MF34" s="231" t="str">
        <f t="shared" si="247"/>
        <v/>
      </c>
      <c r="MG34" s="231" t="str">
        <f t="shared" si="248"/>
        <v/>
      </c>
      <c r="MH34" s="231" t="str">
        <f t="shared" si="249"/>
        <v/>
      </c>
      <c r="MI34" s="231" t="str">
        <f t="shared" si="250"/>
        <v/>
      </c>
      <c r="MJ34" s="231" t="str">
        <f t="shared" si="251"/>
        <v/>
      </c>
      <c r="MK34" s="231" t="str">
        <f t="shared" si="252"/>
        <v/>
      </c>
      <c r="ML34" s="231" t="str">
        <f t="shared" si="253"/>
        <v/>
      </c>
      <c r="MM34" s="231" t="str">
        <f t="shared" si="254"/>
        <v/>
      </c>
      <c r="MN34" s="231" t="str">
        <f t="shared" si="255"/>
        <v/>
      </c>
      <c r="MO34" s="231" t="str">
        <f t="shared" si="256"/>
        <v/>
      </c>
      <c r="MP34" s="231" t="str">
        <f t="shared" si="257"/>
        <v/>
      </c>
      <c r="MQ34" s="231" t="str">
        <f t="shared" si="258"/>
        <v/>
      </c>
      <c r="MR34" s="231" t="str">
        <f t="shared" si="259"/>
        <v/>
      </c>
      <c r="MS34" s="231">
        <f t="shared" si="154"/>
        <v>88</v>
      </c>
      <c r="MT34" s="232" t="str">
        <f>IF(MS34="","",IF(MS34&gt;=KONVERSI!$A$5,KONVERSI!$E$5,IF(MS34&gt;=KONVERSI!$A$6,KONVERSI!$E$6,IF(MS34&gt;=KONVERSI!$A$7,KONVERSI!$E$7,KONVERSI!$E$8))))</f>
        <v>Baik</v>
      </c>
      <c r="MU34" s="233" t="str">
        <f t="shared" si="155"/>
        <v/>
      </c>
      <c r="MV34" s="234">
        <f t="shared" si="260"/>
        <v>88</v>
      </c>
      <c r="MW34" s="232" t="str">
        <f>IF(MV34="","",IF(MV34&gt;=KONVERSI!$A$5,KONVERSI!$E$5,IF(MV34&gt;=KONVERSI!$A$6,KONVERSI!$E$6,IF(MV34&gt;=KONVERSI!$A$7,KONVERSI!$E$7,KONVERSI!$E$8))))</f>
        <v>Baik</v>
      </c>
      <c r="MX34" s="134" t="str">
        <f>IF(FI34&lt;$FN$4," "&amp;KONVERSI!$C$18&amp;INDEX($LY$8:$MR$8,MATCH(MV34,LY34:MR34,0))&amp;".",IF(KG34=0,"",IF(MV34&lt;&gt;0,MU34&amp;MW34&amp;".",MU34&amp;".")))</f>
        <v> Belum optimal dalam pengetahuanjenis, sifat, karakter dan teknik pengolahan kerang, kaca, keramik dan botol plastik.</v>
      </c>
      <c r="MY34" s="235" t="str">
        <f t="shared" si="261"/>
        <v>OK</v>
      </c>
      <c r="MZ34" s="235" t="str">
        <f t="shared" si="262"/>
        <v/>
      </c>
      <c r="NA34" s="235" t="str">
        <f t="shared" si="263"/>
        <v/>
      </c>
      <c r="NB34" s="235" t="str">
        <f t="shared" si="264"/>
        <v/>
      </c>
      <c r="NC34" s="235" t="str">
        <f t="shared" si="265"/>
        <v/>
      </c>
      <c r="ND34" s="235" t="str">
        <f t="shared" si="266"/>
        <v/>
      </c>
      <c r="NE34" s="235" t="str">
        <f t="shared" si="267"/>
        <v/>
      </c>
      <c r="NF34" s="235" t="str">
        <f t="shared" si="268"/>
        <v/>
      </c>
      <c r="NG34" s="235" t="str">
        <f t="shared" si="269"/>
        <v/>
      </c>
      <c r="NH34" s="235" t="str">
        <f t="shared" si="270"/>
        <v/>
      </c>
      <c r="NI34" s="235" t="str">
        <f t="shared" si="271"/>
        <v/>
      </c>
      <c r="NJ34" s="235" t="str">
        <f t="shared" si="272"/>
        <v/>
      </c>
      <c r="NK34" s="235" t="str">
        <f t="shared" si="273"/>
        <v/>
      </c>
      <c r="NL34" s="235" t="str">
        <f t="shared" si="274"/>
        <v/>
      </c>
      <c r="NM34" s="235" t="str">
        <f t="shared" si="275"/>
        <v/>
      </c>
      <c r="NN34" s="235" t="str">
        <f t="shared" si="276"/>
        <v/>
      </c>
      <c r="NO34" s="235" t="str">
        <f t="shared" si="277"/>
        <v/>
      </c>
      <c r="NP34" s="235" t="str">
        <f t="shared" si="278"/>
        <v/>
      </c>
      <c r="NQ34" s="235" t="str">
        <f t="shared" si="279"/>
        <v/>
      </c>
      <c r="NR34" s="235" t="str">
        <f t="shared" si="280"/>
        <v/>
      </c>
      <c r="NS34" s="134" t="str">
        <f t="shared" si="281"/>
        <v>jenis, sifat, karakter dan teknik pengolahan kerang, kaca, keramik dan botol plastik</v>
      </c>
      <c r="NT34" s="134" t="str">
        <f t="shared" si="282"/>
        <v/>
      </c>
      <c r="NU34" s="134" t="str">
        <f t="shared" si="283"/>
        <v/>
      </c>
      <c r="NV34" s="134" t="str">
        <f t="shared" si="284"/>
        <v/>
      </c>
      <c r="NW34" s="134" t="str">
        <f t="shared" si="285"/>
        <v/>
      </c>
      <c r="NX34" s="134" t="str">
        <f t="shared" si="286"/>
        <v/>
      </c>
      <c r="NY34" s="134" t="str">
        <f t="shared" si="287"/>
        <v/>
      </c>
      <c r="NZ34" s="134" t="str">
        <f t="shared" si="288"/>
        <v/>
      </c>
      <c r="OA34" s="134" t="str">
        <f t="shared" si="289"/>
        <v/>
      </c>
      <c r="OB34" s="134" t="str">
        <f t="shared" si="290"/>
        <v/>
      </c>
      <c r="OC34" s="134" t="str">
        <f t="shared" si="291"/>
        <v/>
      </c>
      <c r="OD34" s="134" t="str">
        <f t="shared" si="292"/>
        <v/>
      </c>
      <c r="OE34" s="134" t="str">
        <f t="shared" si="293"/>
        <v/>
      </c>
      <c r="OF34" s="134" t="str">
        <f t="shared" si="294"/>
        <v/>
      </c>
      <c r="OG34" s="134" t="str">
        <f t="shared" si="295"/>
        <v/>
      </c>
      <c r="OH34" s="134" t="str">
        <f t="shared" si="296"/>
        <v/>
      </c>
      <c r="OI34" s="134" t="str">
        <f t="shared" si="297"/>
        <v/>
      </c>
      <c r="OJ34" s="134" t="str">
        <f t="shared" si="298"/>
        <v/>
      </c>
      <c r="OK34" s="134" t="str">
        <f t="shared" si="299"/>
        <v/>
      </c>
      <c r="OL34" s="134" t="str">
        <f t="shared" si="300"/>
        <v/>
      </c>
      <c r="OM34" s="134" t="str">
        <f t="shared" si="301"/>
        <v>Baik dalam jenis, sifat, karakter dan teknik pengolahan kerang, kaca, keramik dan botol plastik</v>
      </c>
      <c r="ON34" s="134" t="str">
        <f t="shared" si="302"/>
        <v>Baik dalam jenis, sifat, karakter dan teknik pengolahan kerang, kaca, keramik dan botol plasti.  </v>
      </c>
      <c r="OO34" s="236">
        <f t="shared" si="169"/>
        <v>1</v>
      </c>
      <c r="OP34" s="235" t="str">
        <f t="shared" si="303"/>
        <v>OK</v>
      </c>
      <c r="OQ34" s="235" t="str">
        <f t="shared" si="304"/>
        <v/>
      </c>
      <c r="OR34" s="235" t="str">
        <f t="shared" si="305"/>
        <v/>
      </c>
      <c r="OS34" s="235" t="str">
        <f t="shared" si="306"/>
        <v/>
      </c>
      <c r="OT34" s="235" t="str">
        <f t="shared" si="307"/>
        <v/>
      </c>
      <c r="OU34" s="235" t="str">
        <f t="shared" si="308"/>
        <v/>
      </c>
      <c r="OV34" s="235" t="str">
        <f t="shared" si="309"/>
        <v/>
      </c>
      <c r="OW34" s="235" t="str">
        <f t="shared" si="310"/>
        <v/>
      </c>
      <c r="OX34" s="235" t="str">
        <f t="shared" si="311"/>
        <v/>
      </c>
      <c r="OY34" s="235" t="str">
        <f t="shared" si="312"/>
        <v/>
      </c>
      <c r="OZ34" s="235" t="str">
        <f t="shared" si="313"/>
        <v/>
      </c>
      <c r="PA34" s="235" t="str">
        <f t="shared" si="314"/>
        <v/>
      </c>
      <c r="PB34" s="235" t="str">
        <f t="shared" si="315"/>
        <v/>
      </c>
      <c r="PC34" s="235" t="str">
        <f t="shared" si="316"/>
        <v/>
      </c>
      <c r="PD34" s="235" t="str">
        <f t="shared" si="317"/>
        <v/>
      </c>
      <c r="PE34" s="235" t="str">
        <f t="shared" si="318"/>
        <v/>
      </c>
      <c r="PF34" s="235" t="str">
        <f t="shared" si="319"/>
        <v/>
      </c>
      <c r="PG34" s="235" t="str">
        <f t="shared" si="320"/>
        <v/>
      </c>
      <c r="PH34" s="235" t="str">
        <f t="shared" si="321"/>
        <v/>
      </c>
      <c r="PI34" s="235" t="str">
        <f t="shared" si="322"/>
        <v/>
      </c>
      <c r="PJ34" s="134" t="str">
        <f t="shared" si="323"/>
        <v>jenis, sifat, karakter dan teknik pengolahan kerang, kaca, keramik dan botol plastik</v>
      </c>
      <c r="PK34" s="134" t="str">
        <f t="shared" si="324"/>
        <v/>
      </c>
      <c r="PL34" s="134" t="str">
        <f t="shared" si="325"/>
        <v/>
      </c>
      <c r="PM34" s="134" t="str">
        <f t="shared" si="326"/>
        <v/>
      </c>
      <c r="PN34" s="134" t="str">
        <f t="shared" si="327"/>
        <v/>
      </c>
      <c r="PO34" s="134" t="str">
        <f t="shared" si="328"/>
        <v/>
      </c>
      <c r="PP34" s="134" t="str">
        <f t="shared" si="329"/>
        <v/>
      </c>
      <c r="PQ34" s="134" t="str">
        <f t="shared" si="330"/>
        <v/>
      </c>
      <c r="PR34" s="134" t="str">
        <f t="shared" si="331"/>
        <v/>
      </c>
      <c r="PS34" s="134" t="str">
        <f t="shared" si="332"/>
        <v/>
      </c>
      <c r="PT34" s="134" t="str">
        <f t="shared" si="333"/>
        <v/>
      </c>
      <c r="PU34" s="134" t="str">
        <f t="shared" si="334"/>
        <v/>
      </c>
      <c r="PV34" s="134" t="str">
        <f t="shared" si="335"/>
        <v/>
      </c>
      <c r="PW34" s="134" t="str">
        <f t="shared" si="336"/>
        <v/>
      </c>
      <c r="PX34" s="134" t="str">
        <f t="shared" si="337"/>
        <v/>
      </c>
      <c r="PY34" s="134" t="str">
        <f t="shared" si="338"/>
        <v/>
      </c>
      <c r="PZ34" s="134" t="str">
        <f t="shared" si="339"/>
        <v/>
      </c>
      <c r="QA34" s="134" t="str">
        <f t="shared" si="340"/>
        <v/>
      </c>
      <c r="QB34" s="134" t="str">
        <f t="shared" si="341"/>
        <v/>
      </c>
      <c r="QC34" s="134" t="str">
        <f t="shared" si="342"/>
        <v/>
      </c>
      <c r="QD34" s="134" t="str">
        <f>IF(MT34=MW34,"",IF(MV34="","",IF(MV34&gt;=KONVERSI!$A$7,'KI3'!MW34&amp;" dalam"&amp;PJ34&amp;PK34&amp;PL34&amp;PM34&amp;PN34&amp;PO34&amp;PP34&amp;PQ34&amp;PR34&amp;PS34&amp;PT34&amp;PU34&amp;PV34&amp;PW34&amp;PX34&amp;PY34&amp;PZ34&amp;QA34&amp;QB34&amp;QC34,KONVERSI!$C$18&amp;" dalam"&amp;PJ34&amp;PK34&amp;PL34&amp;PM34&amp;PN34&amp;PO34&amp;PP34&amp;PQ34&amp;PR34&amp;PS34&amp;PT34&amp;PU34&amp;PV34&amp;PW34&amp;PX34&amp;PY34&amp;PZ34&amp;QA34&amp;QB34&amp;QC34)))</f>
        <v/>
      </c>
      <c r="QE34" s="134" t="str">
        <f t="shared" si="343"/>
        <v/>
      </c>
      <c r="QF34" s="236">
        <f t="shared" si="172"/>
        <v>1</v>
      </c>
      <c r="QG34" s="134" t="str">
        <f t="shared" si="173"/>
        <v>Baik dalam jenis, sifat, karakter dan teknik pengolahan kerang, kaca, keramik dan botol plasti.  </v>
      </c>
    </row>
    <row r="35" ht="27.6" customHeight="1" spans="1:449">
      <c r="A35" s="136"/>
      <c r="B35" s="177">
        <v>27</v>
      </c>
      <c r="C35" s="178" t="str">
        <f>siswa!C31</f>
        <v>VHARIL SUHAIB SIMBOLON</v>
      </c>
      <c r="D35" s="174">
        <f>siswa!D31</f>
        <v>2858</v>
      </c>
      <c r="E35" s="175">
        <v>82</v>
      </c>
      <c r="F35" s="175">
        <v>82</v>
      </c>
      <c r="G35" s="248"/>
      <c r="H35" s="176"/>
      <c r="I35" s="176"/>
      <c r="J35" s="175">
        <v>74</v>
      </c>
      <c r="K35" s="176"/>
      <c r="L35" s="223">
        <f t="shared" si="174"/>
        <v>78.8</v>
      </c>
      <c r="M35" s="250">
        <v>84</v>
      </c>
      <c r="N35" s="250">
        <v>84</v>
      </c>
      <c r="O35" s="248"/>
      <c r="P35" s="176"/>
      <c r="Q35" s="176"/>
      <c r="R35" s="250">
        <v>84</v>
      </c>
      <c r="S35" s="176"/>
      <c r="T35" s="223">
        <f t="shared" si="175"/>
        <v>84</v>
      </c>
      <c r="U35" s="248"/>
      <c r="V35" s="248"/>
      <c r="W35" s="248"/>
      <c r="X35" s="176"/>
      <c r="Y35" s="176"/>
      <c r="Z35" s="250"/>
      <c r="AA35" s="176"/>
      <c r="AB35" s="223">
        <f t="shared" si="176"/>
        <v>0</v>
      </c>
      <c r="AC35" s="248"/>
      <c r="AD35" s="248"/>
      <c r="AE35" s="248"/>
      <c r="AF35" s="248"/>
      <c r="AG35" s="176"/>
      <c r="AH35" s="250"/>
      <c r="AI35" s="176"/>
      <c r="AJ35" s="223">
        <f t="shared" si="177"/>
        <v>0</v>
      </c>
      <c r="AK35" s="181"/>
      <c r="AL35" s="176"/>
      <c r="AM35" s="176"/>
      <c r="AN35" s="176"/>
      <c r="AO35" s="176"/>
      <c r="AP35" s="176"/>
      <c r="AQ35" s="176"/>
      <c r="AR35" s="223">
        <f t="shared" si="178"/>
        <v>0</v>
      </c>
      <c r="AS35" s="181"/>
      <c r="AT35" s="176"/>
      <c r="AU35" s="176"/>
      <c r="AV35" s="176"/>
      <c r="AW35" s="176"/>
      <c r="AX35" s="176"/>
      <c r="AY35" s="176"/>
      <c r="AZ35" s="223">
        <f t="shared" si="179"/>
        <v>0</v>
      </c>
      <c r="BA35" s="181"/>
      <c r="BB35" s="176"/>
      <c r="BC35" s="176"/>
      <c r="BD35" s="176"/>
      <c r="BE35" s="176"/>
      <c r="BF35" s="176"/>
      <c r="BG35" s="176"/>
      <c r="BH35" s="223">
        <f t="shared" si="180"/>
        <v>0</v>
      </c>
      <c r="BI35" s="181"/>
      <c r="BJ35" s="176"/>
      <c r="BK35" s="176"/>
      <c r="BL35" s="176"/>
      <c r="BM35" s="176"/>
      <c r="BN35" s="176"/>
      <c r="BO35" s="176"/>
      <c r="BP35" s="223">
        <f t="shared" si="181"/>
        <v>0</v>
      </c>
      <c r="BQ35" s="181"/>
      <c r="BR35" s="176"/>
      <c r="BS35" s="176"/>
      <c r="BT35" s="176"/>
      <c r="BU35" s="176"/>
      <c r="BV35" s="176"/>
      <c r="BW35" s="176"/>
      <c r="BX35" s="223">
        <f t="shared" si="182"/>
        <v>0</v>
      </c>
      <c r="BY35" s="181"/>
      <c r="BZ35" s="176"/>
      <c r="CA35" s="176"/>
      <c r="CB35" s="176"/>
      <c r="CC35" s="176"/>
      <c r="CD35" s="176"/>
      <c r="CE35" s="176"/>
      <c r="CF35" s="223">
        <f t="shared" si="183"/>
        <v>0</v>
      </c>
      <c r="CG35" s="181"/>
      <c r="CH35" s="176"/>
      <c r="CI35" s="176"/>
      <c r="CJ35" s="176"/>
      <c r="CK35" s="176"/>
      <c r="CL35" s="176"/>
      <c r="CM35" s="176"/>
      <c r="CN35" s="223">
        <f t="shared" si="184"/>
        <v>0</v>
      </c>
      <c r="CO35" s="181"/>
      <c r="CP35" s="176"/>
      <c r="CQ35" s="176"/>
      <c r="CR35" s="176"/>
      <c r="CS35" s="176"/>
      <c r="CT35" s="176"/>
      <c r="CU35" s="176"/>
      <c r="CV35" s="223">
        <f t="shared" si="185"/>
        <v>0</v>
      </c>
      <c r="CW35" s="181"/>
      <c r="CX35" s="176"/>
      <c r="CY35" s="176"/>
      <c r="CZ35" s="176"/>
      <c r="DA35" s="176"/>
      <c r="DB35" s="176"/>
      <c r="DC35" s="176"/>
      <c r="DD35" s="223">
        <f t="shared" si="186"/>
        <v>0</v>
      </c>
      <c r="DE35" s="181"/>
      <c r="DF35" s="176"/>
      <c r="DG35" s="176"/>
      <c r="DH35" s="176"/>
      <c r="DI35" s="176"/>
      <c r="DJ35" s="176"/>
      <c r="DK35" s="176"/>
      <c r="DL35" s="223">
        <f t="shared" si="187"/>
        <v>0</v>
      </c>
      <c r="DM35" s="181"/>
      <c r="DN35" s="176"/>
      <c r="DO35" s="176"/>
      <c r="DP35" s="176"/>
      <c r="DQ35" s="176"/>
      <c r="DR35" s="176"/>
      <c r="DS35" s="176"/>
      <c r="DT35" s="223">
        <f t="shared" si="188"/>
        <v>0</v>
      </c>
      <c r="DU35" s="181"/>
      <c r="DV35" s="176"/>
      <c r="DW35" s="176"/>
      <c r="DX35" s="176"/>
      <c r="DY35" s="176"/>
      <c r="DZ35" s="176"/>
      <c r="EA35" s="176"/>
      <c r="EB35" s="223">
        <f t="shared" si="189"/>
        <v>0</v>
      </c>
      <c r="EC35" s="181"/>
      <c r="ED35" s="176"/>
      <c r="EE35" s="176"/>
      <c r="EF35" s="176"/>
      <c r="EG35" s="176"/>
      <c r="EH35" s="176"/>
      <c r="EI35" s="176"/>
      <c r="EJ35" s="223">
        <f t="shared" si="190"/>
        <v>0</v>
      </c>
      <c r="EK35" s="181"/>
      <c r="EL35" s="176"/>
      <c r="EM35" s="176"/>
      <c r="EN35" s="176"/>
      <c r="EO35" s="176"/>
      <c r="EP35" s="176"/>
      <c r="EQ35" s="176"/>
      <c r="ER35" s="223">
        <f t="shared" si="191"/>
        <v>0</v>
      </c>
      <c r="ES35" s="181"/>
      <c r="ET35" s="176"/>
      <c r="EU35" s="176"/>
      <c r="EV35" s="176"/>
      <c r="EW35" s="176"/>
      <c r="EX35" s="176"/>
      <c r="EY35" s="176"/>
      <c r="EZ35" s="223">
        <f t="shared" si="192"/>
        <v>0</v>
      </c>
      <c r="FA35" s="181"/>
      <c r="FB35" s="176"/>
      <c r="FC35" s="176"/>
      <c r="FD35" s="176"/>
      <c r="FE35" s="176"/>
      <c r="FF35" s="176"/>
      <c r="FG35" s="176"/>
      <c r="FH35" s="223">
        <f t="shared" si="193"/>
        <v>0</v>
      </c>
      <c r="FI35" s="291">
        <f t="shared" si="194"/>
        <v>81</v>
      </c>
      <c r="FJ35" s="250">
        <v>84</v>
      </c>
      <c r="FK35" s="250"/>
      <c r="FL35" s="291">
        <f t="shared" si="195"/>
        <v>82</v>
      </c>
      <c r="FM35" s="312" t="str">
        <f>IFERROR(IF(FL35="","",IF(FL35&gt;=KONVERSI!$A$5,KONVERSI!$D$5,IF(FL35&gt;=KONVERSI!$A$6,KONVERSI!$D$6,IF(FL35&gt;=KONVERSI!$A$7,KONVERSI!$D$7,KONVERSI!$D$8)))),"")</f>
        <v>C</v>
      </c>
      <c r="FN35" s="232" t="str">
        <f t="shared" si="196"/>
        <v>Tuntas</v>
      </c>
      <c r="FO35" s="313"/>
      <c r="FP35" s="314">
        <f t="shared" si="197"/>
        <v>83</v>
      </c>
      <c r="FQ35" s="194">
        <f t="shared" si="33"/>
        <v>82</v>
      </c>
      <c r="FR35" s="194">
        <f t="shared" si="34"/>
        <v>82</v>
      </c>
      <c r="FS35" s="194" t="str">
        <f t="shared" si="35"/>
        <v/>
      </c>
      <c r="FT35" s="194" t="str">
        <f t="shared" si="36"/>
        <v/>
      </c>
      <c r="FU35" s="194" t="str">
        <f t="shared" si="37"/>
        <v/>
      </c>
      <c r="FV35" s="194">
        <f t="shared" si="38"/>
        <v>78.8</v>
      </c>
      <c r="FW35" s="194">
        <f t="shared" si="39"/>
        <v>84</v>
      </c>
      <c r="FX35" s="194">
        <f t="shared" si="344"/>
        <v>84</v>
      </c>
      <c r="FY35" s="194" t="str">
        <f t="shared" si="40"/>
        <v/>
      </c>
      <c r="FZ35" s="194" t="str">
        <f t="shared" si="41"/>
        <v/>
      </c>
      <c r="GA35" s="194" t="str">
        <f t="shared" si="42"/>
        <v/>
      </c>
      <c r="GB35" s="194">
        <f t="shared" si="43"/>
        <v>84</v>
      </c>
      <c r="GC35" s="194" t="str">
        <f t="shared" si="44"/>
        <v/>
      </c>
      <c r="GD35" s="194" t="str">
        <f t="shared" si="45"/>
        <v/>
      </c>
      <c r="GE35" s="194" t="str">
        <f t="shared" si="46"/>
        <v/>
      </c>
      <c r="GF35" s="194" t="str">
        <f t="shared" si="47"/>
        <v/>
      </c>
      <c r="GG35" s="194" t="str">
        <f t="shared" si="48"/>
        <v/>
      </c>
      <c r="GH35" s="194" t="str">
        <f t="shared" si="49"/>
        <v/>
      </c>
      <c r="GI35" s="194" t="str">
        <f t="shared" si="50"/>
        <v/>
      </c>
      <c r="GJ35" s="194" t="str">
        <f t="shared" si="51"/>
        <v/>
      </c>
      <c r="GK35" s="194" t="str">
        <f t="shared" si="52"/>
        <v/>
      </c>
      <c r="GL35" s="194" t="str">
        <f t="shared" si="53"/>
        <v/>
      </c>
      <c r="GM35" s="194" t="str">
        <f t="shared" si="54"/>
        <v/>
      </c>
      <c r="GN35" s="194" t="str">
        <f t="shared" si="55"/>
        <v/>
      </c>
      <c r="GO35" s="194" t="str">
        <f t="shared" si="56"/>
        <v/>
      </c>
      <c r="GP35" s="194" t="str">
        <f t="shared" si="57"/>
        <v/>
      </c>
      <c r="GQ35" s="194" t="str">
        <f t="shared" si="58"/>
        <v/>
      </c>
      <c r="GR35" s="194" t="str">
        <f t="shared" si="59"/>
        <v/>
      </c>
      <c r="GS35" s="194" t="str">
        <f t="shared" si="60"/>
        <v/>
      </c>
      <c r="GT35" s="194" t="str">
        <f t="shared" si="61"/>
        <v/>
      </c>
      <c r="GU35" s="194" t="str">
        <f t="shared" si="62"/>
        <v/>
      </c>
      <c r="GV35" s="194" t="str">
        <f t="shared" si="63"/>
        <v/>
      </c>
      <c r="GW35" s="194" t="str">
        <f t="shared" si="64"/>
        <v/>
      </c>
      <c r="GX35" s="194" t="str">
        <f t="shared" si="65"/>
        <v/>
      </c>
      <c r="GY35" s="194" t="str">
        <f t="shared" si="66"/>
        <v/>
      </c>
      <c r="GZ35" s="194" t="str">
        <f t="shared" si="67"/>
        <v/>
      </c>
      <c r="HA35" s="194" t="str">
        <f t="shared" si="68"/>
        <v/>
      </c>
      <c r="HB35" s="194" t="str">
        <f t="shared" si="69"/>
        <v/>
      </c>
      <c r="HC35" s="194" t="str">
        <f t="shared" si="70"/>
        <v/>
      </c>
      <c r="HD35" s="194" t="str">
        <f t="shared" si="71"/>
        <v/>
      </c>
      <c r="HE35" s="194" t="str">
        <f t="shared" si="72"/>
        <v/>
      </c>
      <c r="HF35" s="194" t="str">
        <f t="shared" si="73"/>
        <v/>
      </c>
      <c r="HG35" s="194" t="str">
        <f t="shared" si="74"/>
        <v/>
      </c>
      <c r="HH35" s="194" t="str">
        <f t="shared" si="75"/>
        <v/>
      </c>
      <c r="HI35" s="194" t="str">
        <f t="shared" si="76"/>
        <v/>
      </c>
      <c r="HJ35" s="194" t="str">
        <f t="shared" si="77"/>
        <v/>
      </c>
      <c r="HK35" s="194" t="str">
        <f t="shared" si="78"/>
        <v/>
      </c>
      <c r="HL35" s="194" t="str">
        <f t="shared" si="79"/>
        <v/>
      </c>
      <c r="HM35" s="194" t="str">
        <f t="shared" si="80"/>
        <v/>
      </c>
      <c r="HN35" s="194" t="str">
        <f t="shared" si="81"/>
        <v/>
      </c>
      <c r="HO35" s="194" t="str">
        <f t="shared" si="82"/>
        <v/>
      </c>
      <c r="HP35" s="194" t="str">
        <f t="shared" si="83"/>
        <v/>
      </c>
      <c r="HQ35" s="194" t="str">
        <f t="shared" si="84"/>
        <v/>
      </c>
      <c r="HR35" s="194" t="str">
        <f t="shared" si="85"/>
        <v/>
      </c>
      <c r="HS35" s="194" t="str">
        <f t="shared" si="86"/>
        <v/>
      </c>
      <c r="HT35" s="194" t="str">
        <f t="shared" si="87"/>
        <v/>
      </c>
      <c r="HU35" s="194" t="str">
        <f t="shared" si="88"/>
        <v/>
      </c>
      <c r="HV35" s="194" t="str">
        <f t="shared" si="89"/>
        <v/>
      </c>
      <c r="HW35" s="194" t="str">
        <f t="shared" si="90"/>
        <v/>
      </c>
      <c r="HX35" s="194" t="str">
        <f t="shared" si="91"/>
        <v/>
      </c>
      <c r="HY35" s="194" t="str">
        <f t="shared" si="92"/>
        <v/>
      </c>
      <c r="HZ35" s="194" t="str">
        <f t="shared" si="93"/>
        <v/>
      </c>
      <c r="IA35" s="194" t="str">
        <f t="shared" si="94"/>
        <v/>
      </c>
      <c r="IB35" s="194" t="str">
        <f t="shared" si="95"/>
        <v/>
      </c>
      <c r="IC35" s="194" t="str">
        <f t="shared" si="96"/>
        <v/>
      </c>
      <c r="ID35" s="194" t="str">
        <f t="shared" si="97"/>
        <v/>
      </c>
      <c r="IE35" s="194" t="str">
        <f t="shared" si="98"/>
        <v/>
      </c>
      <c r="IF35" s="194" t="str">
        <f t="shared" si="99"/>
        <v/>
      </c>
      <c r="IG35" s="194" t="str">
        <f t="shared" si="100"/>
        <v/>
      </c>
      <c r="IH35" s="194" t="str">
        <f t="shared" si="101"/>
        <v/>
      </c>
      <c r="II35" s="194" t="str">
        <f t="shared" si="102"/>
        <v/>
      </c>
      <c r="IJ35" s="194" t="str">
        <f t="shared" si="103"/>
        <v/>
      </c>
      <c r="IK35" s="194" t="str">
        <f t="shared" si="104"/>
        <v/>
      </c>
      <c r="IL35" s="194" t="str">
        <f t="shared" si="105"/>
        <v/>
      </c>
      <c r="IM35" s="194" t="str">
        <f t="shared" si="106"/>
        <v/>
      </c>
      <c r="IN35" s="194" t="str">
        <f t="shared" si="107"/>
        <v/>
      </c>
      <c r="IO35" s="194" t="str">
        <f t="shared" si="108"/>
        <v/>
      </c>
      <c r="IP35" s="194" t="str">
        <f t="shared" si="109"/>
        <v/>
      </c>
      <c r="IQ35" s="194" t="str">
        <f t="shared" si="110"/>
        <v/>
      </c>
      <c r="IR35" s="194" t="str">
        <f t="shared" si="111"/>
        <v/>
      </c>
      <c r="IS35" s="194" t="str">
        <f t="shared" si="112"/>
        <v/>
      </c>
      <c r="IT35" s="194" t="str">
        <f t="shared" si="113"/>
        <v/>
      </c>
      <c r="IU35" s="194" t="str">
        <f t="shared" si="114"/>
        <v/>
      </c>
      <c r="IV35" s="194" t="str">
        <f t="shared" si="115"/>
        <v/>
      </c>
      <c r="IW35" s="194" t="str">
        <f t="shared" si="116"/>
        <v/>
      </c>
      <c r="IX35" s="194" t="str">
        <f t="shared" si="117"/>
        <v/>
      </c>
      <c r="IY35" s="194" t="str">
        <f t="shared" si="118"/>
        <v/>
      </c>
      <c r="IZ35" s="194" t="str">
        <f t="shared" si="119"/>
        <v/>
      </c>
      <c r="JA35" s="194" t="str">
        <f t="shared" si="120"/>
        <v/>
      </c>
      <c r="JB35" s="194" t="str">
        <f t="shared" si="121"/>
        <v/>
      </c>
      <c r="JC35" s="194" t="str">
        <f t="shared" si="122"/>
        <v/>
      </c>
      <c r="JD35" s="194" t="str">
        <f t="shared" si="123"/>
        <v/>
      </c>
      <c r="JE35" s="194" t="str">
        <f t="shared" si="124"/>
        <v/>
      </c>
      <c r="JF35" s="194" t="str">
        <f t="shared" si="125"/>
        <v/>
      </c>
      <c r="JG35" s="194" t="str">
        <f t="shared" si="126"/>
        <v/>
      </c>
      <c r="JH35" s="194" t="str">
        <f t="shared" si="127"/>
        <v/>
      </c>
      <c r="JI35" s="194" t="str">
        <f t="shared" si="128"/>
        <v/>
      </c>
      <c r="JJ35" s="194" t="str">
        <f t="shared" si="129"/>
        <v/>
      </c>
      <c r="JK35" s="194" t="str">
        <f t="shared" si="130"/>
        <v/>
      </c>
      <c r="JL35" s="194" t="str">
        <f t="shared" si="131"/>
        <v/>
      </c>
      <c r="JM35" s="194" t="str">
        <f t="shared" si="132"/>
        <v/>
      </c>
      <c r="JN35" s="194" t="str">
        <f t="shared" si="133"/>
        <v/>
      </c>
      <c r="JO35" s="194" t="str">
        <f t="shared" si="134"/>
        <v/>
      </c>
      <c r="JP35" s="194" t="str">
        <f t="shared" si="135"/>
        <v/>
      </c>
      <c r="JQ35" s="194" t="str">
        <f t="shared" si="136"/>
        <v/>
      </c>
      <c r="JR35" s="194" t="str">
        <f t="shared" si="137"/>
        <v/>
      </c>
      <c r="JS35" s="194" t="str">
        <f t="shared" si="138"/>
        <v/>
      </c>
      <c r="JT35" s="194" t="str">
        <f t="shared" si="139"/>
        <v/>
      </c>
      <c r="JU35" s="194" t="str">
        <f t="shared" si="140"/>
        <v/>
      </c>
      <c r="JV35" s="194" t="str">
        <f t="shared" si="141"/>
        <v/>
      </c>
      <c r="JW35" s="194" t="str">
        <f t="shared" si="142"/>
        <v/>
      </c>
      <c r="JX35" s="194" t="str">
        <f t="shared" si="143"/>
        <v/>
      </c>
      <c r="JY35" s="194" t="str">
        <f t="shared" si="144"/>
        <v/>
      </c>
      <c r="JZ35" s="194" t="str">
        <f t="shared" si="145"/>
        <v/>
      </c>
      <c r="KA35" s="194" t="str">
        <f t="shared" si="146"/>
        <v/>
      </c>
      <c r="KB35" s="194" t="str">
        <f t="shared" si="147"/>
        <v/>
      </c>
      <c r="KC35" s="194" t="str">
        <f t="shared" si="148"/>
        <v/>
      </c>
      <c r="KD35" s="194" t="str">
        <f t="shared" si="149"/>
        <v/>
      </c>
      <c r="KE35" s="194" t="str">
        <f t="shared" si="150"/>
        <v/>
      </c>
      <c r="KF35" s="194" t="str">
        <f t="shared" si="151"/>
        <v/>
      </c>
      <c r="KG35" s="194">
        <f>SUM(LE35:LX35)/COUNTA(RefKI3KI4!$B$5:$B$24)</f>
        <v>81.4</v>
      </c>
      <c r="KH35" s="232">
        <f t="shared" si="198"/>
        <v>0</v>
      </c>
      <c r="KI35" s="340" t="str">
        <f t="shared" si="199"/>
        <v>ok</v>
      </c>
      <c r="KJ35" s="340" t="str">
        <f t="shared" si="200"/>
        <v>ok</v>
      </c>
      <c r="KK35" s="340" t="str">
        <f t="shared" si="201"/>
        <v/>
      </c>
      <c r="KL35" s="340" t="str">
        <f t="shared" si="202"/>
        <v/>
      </c>
      <c r="KM35" s="340" t="str">
        <f t="shared" si="203"/>
        <v/>
      </c>
      <c r="KN35" s="340" t="str">
        <f t="shared" si="204"/>
        <v/>
      </c>
      <c r="KO35" s="340" t="str">
        <f t="shared" si="205"/>
        <v/>
      </c>
      <c r="KP35" s="340" t="str">
        <f t="shared" si="206"/>
        <v/>
      </c>
      <c r="KQ35" s="340" t="str">
        <f t="shared" si="207"/>
        <v/>
      </c>
      <c r="KR35" s="340" t="str">
        <f t="shared" si="208"/>
        <v/>
      </c>
      <c r="KS35" s="340" t="str">
        <f t="shared" si="209"/>
        <v/>
      </c>
      <c r="KT35" s="340" t="str">
        <f t="shared" si="210"/>
        <v/>
      </c>
      <c r="KU35" s="340" t="str">
        <f t="shared" si="211"/>
        <v/>
      </c>
      <c r="KV35" s="340" t="str">
        <f t="shared" si="212"/>
        <v/>
      </c>
      <c r="KW35" s="340" t="str">
        <f t="shared" si="213"/>
        <v/>
      </c>
      <c r="KX35" s="340" t="str">
        <f t="shared" si="214"/>
        <v/>
      </c>
      <c r="KY35" s="340" t="str">
        <f t="shared" si="215"/>
        <v/>
      </c>
      <c r="KZ35" s="340" t="str">
        <f t="shared" si="216"/>
        <v/>
      </c>
      <c r="LA35" s="340" t="str">
        <f t="shared" si="217"/>
        <v/>
      </c>
      <c r="LB35" s="340" t="str">
        <f t="shared" si="218"/>
        <v/>
      </c>
      <c r="LC35" s="340">
        <f t="shared" si="219"/>
        <v>0</v>
      </c>
      <c r="LD35" s="228">
        <v>27</v>
      </c>
      <c r="LE35" s="229">
        <f t="shared" si="220"/>
        <v>78.8</v>
      </c>
      <c r="LF35" s="229">
        <f t="shared" si="221"/>
        <v>84</v>
      </c>
      <c r="LG35" s="229" t="str">
        <f t="shared" si="222"/>
        <v/>
      </c>
      <c r="LH35" s="229" t="str">
        <f t="shared" si="223"/>
        <v/>
      </c>
      <c r="LI35" s="229" t="str">
        <f t="shared" si="224"/>
        <v/>
      </c>
      <c r="LJ35" s="229" t="str">
        <f t="shared" si="225"/>
        <v/>
      </c>
      <c r="LK35" s="229" t="str">
        <f t="shared" si="226"/>
        <v/>
      </c>
      <c r="LL35" s="229" t="str">
        <f t="shared" si="227"/>
        <v/>
      </c>
      <c r="LM35" s="229" t="str">
        <f t="shared" si="228"/>
        <v/>
      </c>
      <c r="LN35" s="229" t="str">
        <f t="shared" si="229"/>
        <v/>
      </c>
      <c r="LO35" s="229" t="str">
        <f t="shared" si="230"/>
        <v/>
      </c>
      <c r="LP35" s="229" t="str">
        <f t="shared" si="231"/>
        <v/>
      </c>
      <c r="LQ35" s="229" t="str">
        <f t="shared" si="232"/>
        <v/>
      </c>
      <c r="LR35" s="229" t="str">
        <f t="shared" si="233"/>
        <v/>
      </c>
      <c r="LS35" s="229" t="str">
        <f t="shared" si="234"/>
        <v/>
      </c>
      <c r="LT35" s="229" t="str">
        <f t="shared" si="235"/>
        <v/>
      </c>
      <c r="LU35" s="229" t="str">
        <f t="shared" si="236"/>
        <v/>
      </c>
      <c r="LV35" s="229" t="str">
        <f t="shared" si="237"/>
        <v/>
      </c>
      <c r="LW35" s="229" t="str">
        <f t="shared" si="238"/>
        <v/>
      </c>
      <c r="LX35" s="229" t="str">
        <f t="shared" si="239"/>
        <v/>
      </c>
      <c r="LY35" s="231">
        <f t="shared" si="240"/>
        <v>78.8</v>
      </c>
      <c r="LZ35" s="231">
        <f t="shared" si="241"/>
        <v>84</v>
      </c>
      <c r="MA35" s="231" t="str">
        <f t="shared" si="242"/>
        <v/>
      </c>
      <c r="MB35" s="231" t="str">
        <f t="shared" si="243"/>
        <v/>
      </c>
      <c r="MC35" s="231" t="str">
        <f t="shared" si="244"/>
        <v/>
      </c>
      <c r="MD35" s="231" t="str">
        <f t="shared" si="245"/>
        <v/>
      </c>
      <c r="ME35" s="231" t="str">
        <f t="shared" si="246"/>
        <v/>
      </c>
      <c r="MF35" s="231" t="str">
        <f t="shared" si="247"/>
        <v/>
      </c>
      <c r="MG35" s="231" t="str">
        <f t="shared" si="248"/>
        <v/>
      </c>
      <c r="MH35" s="231" t="str">
        <f t="shared" si="249"/>
        <v/>
      </c>
      <c r="MI35" s="231" t="str">
        <f t="shared" si="250"/>
        <v/>
      </c>
      <c r="MJ35" s="231" t="str">
        <f t="shared" si="251"/>
        <v/>
      </c>
      <c r="MK35" s="231" t="str">
        <f t="shared" si="252"/>
        <v/>
      </c>
      <c r="ML35" s="231" t="str">
        <f t="shared" si="253"/>
        <v/>
      </c>
      <c r="MM35" s="231" t="str">
        <f t="shared" si="254"/>
        <v/>
      </c>
      <c r="MN35" s="231" t="str">
        <f t="shared" si="255"/>
        <v/>
      </c>
      <c r="MO35" s="231" t="str">
        <f t="shared" si="256"/>
        <v/>
      </c>
      <c r="MP35" s="231" t="str">
        <f t="shared" si="257"/>
        <v/>
      </c>
      <c r="MQ35" s="231" t="str">
        <f t="shared" si="258"/>
        <v/>
      </c>
      <c r="MR35" s="231" t="str">
        <f t="shared" si="259"/>
        <v/>
      </c>
      <c r="MS35" s="231">
        <f t="shared" si="154"/>
        <v>84</v>
      </c>
      <c r="MT35" s="232" t="str">
        <f>IF(MS35="","",IF(MS35&gt;=KONVERSI!$A$5,KONVERSI!$E$5,IF(MS35&gt;=KONVERSI!$A$6,KONVERSI!$E$6,IF(MS35&gt;=KONVERSI!$A$7,KONVERSI!$E$7,KONVERSI!$E$8))))</f>
        <v>Baik</v>
      </c>
      <c r="MU35" s="233" t="str">
        <f t="shared" si="155"/>
        <v>Baik dalamprinsip perancangan, pembuatan dan penyajian produk kerajinan kerang, kaca, keramik dan botol plastik yang kreatif dan inovatif</v>
      </c>
      <c r="MV35" s="234">
        <f t="shared" si="260"/>
        <v>78.8</v>
      </c>
      <c r="MW35" s="232" t="str">
        <f>IF(MV35="","",IF(MV35&gt;=KONVERSI!$A$5,KONVERSI!$E$5,IF(MV35&gt;=KONVERSI!$A$6,KONVERSI!$E$6,IF(MV35&gt;=KONVERSI!$A$7,KONVERSI!$E$7,KONVERSI!$E$8))))</f>
        <v>Cukup Baik</v>
      </c>
      <c r="MX35" s="134" t="str">
        <f>IF(FI35&lt;$FN$4," "&amp;KONVERSI!$C$18&amp;INDEX($LY$8:$MR$8,MATCH(MV35,LY35:MR35,0))&amp;".",IF(KG35=0,"",IF(MV35&lt;&gt;0,MU35&amp;MW35&amp;".",MU35&amp;".")))</f>
        <v>Baik dalamprinsip perancangan, pembuatan dan penyajian produk kerajinan kerang, kaca, keramik dan botol plastik yang kreatif dan inovatifCukup Baik.</v>
      </c>
      <c r="MY35" s="235" t="str">
        <f t="shared" si="261"/>
        <v>NO</v>
      </c>
      <c r="MZ35" s="235" t="str">
        <f t="shared" si="262"/>
        <v>OK</v>
      </c>
      <c r="NA35" s="235" t="str">
        <f t="shared" si="263"/>
        <v/>
      </c>
      <c r="NB35" s="235" t="str">
        <f t="shared" si="264"/>
        <v/>
      </c>
      <c r="NC35" s="235" t="str">
        <f t="shared" si="265"/>
        <v/>
      </c>
      <c r="ND35" s="235" t="str">
        <f t="shared" si="266"/>
        <v/>
      </c>
      <c r="NE35" s="235" t="str">
        <f t="shared" si="267"/>
        <v/>
      </c>
      <c r="NF35" s="235" t="str">
        <f t="shared" si="268"/>
        <v/>
      </c>
      <c r="NG35" s="235" t="str">
        <f t="shared" si="269"/>
        <v/>
      </c>
      <c r="NH35" s="235" t="str">
        <f t="shared" si="270"/>
        <v/>
      </c>
      <c r="NI35" s="235" t="str">
        <f t="shared" si="271"/>
        <v/>
      </c>
      <c r="NJ35" s="235" t="str">
        <f t="shared" si="272"/>
        <v/>
      </c>
      <c r="NK35" s="235" t="str">
        <f t="shared" si="273"/>
        <v/>
      </c>
      <c r="NL35" s="235" t="str">
        <f t="shared" si="274"/>
        <v/>
      </c>
      <c r="NM35" s="235" t="str">
        <f t="shared" si="275"/>
        <v/>
      </c>
      <c r="NN35" s="235" t="str">
        <f t="shared" si="276"/>
        <v/>
      </c>
      <c r="NO35" s="235" t="str">
        <f t="shared" si="277"/>
        <v/>
      </c>
      <c r="NP35" s="235" t="str">
        <f t="shared" si="278"/>
        <v/>
      </c>
      <c r="NQ35" s="235" t="str">
        <f t="shared" si="279"/>
        <v/>
      </c>
      <c r="NR35" s="235" t="str">
        <f t="shared" si="280"/>
        <v/>
      </c>
      <c r="NS35" s="134" t="str">
        <f t="shared" si="281"/>
        <v/>
      </c>
      <c r="NT35" s="134" t="str">
        <f t="shared" si="282"/>
        <v>prinsip perancangan, pembuatan dan penyajian produk kerajinan kerang, kaca, keramik dan botol plastik yang kreatif dan inovatif</v>
      </c>
      <c r="NU35" s="134" t="str">
        <f t="shared" si="283"/>
        <v/>
      </c>
      <c r="NV35" s="134" t="str">
        <f t="shared" si="284"/>
        <v/>
      </c>
      <c r="NW35" s="134" t="str">
        <f t="shared" si="285"/>
        <v/>
      </c>
      <c r="NX35" s="134" t="str">
        <f t="shared" si="286"/>
        <v/>
      </c>
      <c r="NY35" s="134" t="str">
        <f t="shared" si="287"/>
        <v/>
      </c>
      <c r="NZ35" s="134" t="str">
        <f t="shared" si="288"/>
        <v/>
      </c>
      <c r="OA35" s="134" t="str">
        <f t="shared" si="289"/>
        <v/>
      </c>
      <c r="OB35" s="134" t="str">
        <f t="shared" si="290"/>
        <v/>
      </c>
      <c r="OC35" s="134" t="str">
        <f t="shared" si="291"/>
        <v/>
      </c>
      <c r="OD35" s="134" t="str">
        <f t="shared" si="292"/>
        <v/>
      </c>
      <c r="OE35" s="134" t="str">
        <f t="shared" si="293"/>
        <v/>
      </c>
      <c r="OF35" s="134" t="str">
        <f t="shared" si="294"/>
        <v/>
      </c>
      <c r="OG35" s="134" t="str">
        <f t="shared" si="295"/>
        <v/>
      </c>
      <c r="OH35" s="134" t="str">
        <f t="shared" si="296"/>
        <v/>
      </c>
      <c r="OI35" s="134" t="str">
        <f t="shared" si="297"/>
        <v/>
      </c>
      <c r="OJ35" s="134" t="str">
        <f t="shared" si="298"/>
        <v/>
      </c>
      <c r="OK35" s="134" t="str">
        <f t="shared" si="299"/>
        <v/>
      </c>
      <c r="OL35" s="134" t="str">
        <f t="shared" si="300"/>
        <v/>
      </c>
      <c r="OM35" s="134" t="str">
        <f t="shared" si="301"/>
        <v>Baik dalam prinsip perancangan, pembuatan dan penyajian produk kerajinan kerang, kaca, keramik dan botol plastik yang kreatif dan inovatif</v>
      </c>
      <c r="ON35" s="134" t="str">
        <f t="shared" si="302"/>
        <v>Baik dalam prinsip perancangan, pembuatan dan penyajian produk kerajinan kerang, kaca, keramik dan botol plastik yang kreatif dan inovati.  </v>
      </c>
      <c r="OO35" s="236">
        <f t="shared" si="169"/>
        <v>1</v>
      </c>
      <c r="OP35" s="235" t="str">
        <f t="shared" si="303"/>
        <v>OK</v>
      </c>
      <c r="OQ35" s="235" t="str">
        <f t="shared" si="304"/>
        <v>NO</v>
      </c>
      <c r="OR35" s="235" t="str">
        <f t="shared" si="305"/>
        <v/>
      </c>
      <c r="OS35" s="235" t="str">
        <f t="shared" si="306"/>
        <v/>
      </c>
      <c r="OT35" s="235" t="str">
        <f t="shared" si="307"/>
        <v/>
      </c>
      <c r="OU35" s="235" t="str">
        <f t="shared" si="308"/>
        <v/>
      </c>
      <c r="OV35" s="235" t="str">
        <f t="shared" si="309"/>
        <v/>
      </c>
      <c r="OW35" s="235" t="str">
        <f t="shared" si="310"/>
        <v/>
      </c>
      <c r="OX35" s="235" t="str">
        <f t="shared" si="311"/>
        <v/>
      </c>
      <c r="OY35" s="235" t="str">
        <f t="shared" si="312"/>
        <v/>
      </c>
      <c r="OZ35" s="235" t="str">
        <f t="shared" si="313"/>
        <v/>
      </c>
      <c r="PA35" s="235" t="str">
        <f t="shared" si="314"/>
        <v/>
      </c>
      <c r="PB35" s="235" t="str">
        <f t="shared" si="315"/>
        <v/>
      </c>
      <c r="PC35" s="235" t="str">
        <f t="shared" si="316"/>
        <v/>
      </c>
      <c r="PD35" s="235" t="str">
        <f t="shared" si="317"/>
        <v/>
      </c>
      <c r="PE35" s="235" t="str">
        <f t="shared" si="318"/>
        <v/>
      </c>
      <c r="PF35" s="235" t="str">
        <f t="shared" si="319"/>
        <v/>
      </c>
      <c r="PG35" s="235" t="str">
        <f t="shared" si="320"/>
        <v/>
      </c>
      <c r="PH35" s="235" t="str">
        <f t="shared" si="321"/>
        <v/>
      </c>
      <c r="PI35" s="235" t="str">
        <f t="shared" si="322"/>
        <v/>
      </c>
      <c r="PJ35" s="134" t="str">
        <f t="shared" si="323"/>
        <v>jenis, sifat, karakter dan teknik pengolahan kerang, kaca, keramik dan botol plastik</v>
      </c>
      <c r="PK35" s="134" t="str">
        <f t="shared" si="324"/>
        <v/>
      </c>
      <c r="PL35" s="134" t="str">
        <f t="shared" si="325"/>
        <v/>
      </c>
      <c r="PM35" s="134" t="str">
        <f t="shared" si="326"/>
        <v/>
      </c>
      <c r="PN35" s="134" t="str">
        <f t="shared" si="327"/>
        <v/>
      </c>
      <c r="PO35" s="134" t="str">
        <f t="shared" si="328"/>
        <v/>
      </c>
      <c r="PP35" s="134" t="str">
        <f t="shared" si="329"/>
        <v/>
      </c>
      <c r="PQ35" s="134" t="str">
        <f t="shared" si="330"/>
        <v/>
      </c>
      <c r="PR35" s="134" t="str">
        <f t="shared" si="331"/>
        <v/>
      </c>
      <c r="PS35" s="134" t="str">
        <f t="shared" si="332"/>
        <v/>
      </c>
      <c r="PT35" s="134" t="str">
        <f t="shared" si="333"/>
        <v/>
      </c>
      <c r="PU35" s="134" t="str">
        <f t="shared" si="334"/>
        <v/>
      </c>
      <c r="PV35" s="134" t="str">
        <f t="shared" si="335"/>
        <v/>
      </c>
      <c r="PW35" s="134" t="str">
        <f t="shared" si="336"/>
        <v/>
      </c>
      <c r="PX35" s="134" t="str">
        <f t="shared" si="337"/>
        <v/>
      </c>
      <c r="PY35" s="134" t="str">
        <f t="shared" si="338"/>
        <v/>
      </c>
      <c r="PZ35" s="134" t="str">
        <f t="shared" si="339"/>
        <v/>
      </c>
      <c r="QA35" s="134" t="str">
        <f t="shared" si="340"/>
        <v/>
      </c>
      <c r="QB35" s="134" t="str">
        <f t="shared" si="341"/>
        <v/>
      </c>
      <c r="QC35" s="134" t="str">
        <f t="shared" si="342"/>
        <v/>
      </c>
      <c r="QD35" s="134" t="str">
        <f>IF(MT35=MW35,"",IF(MV35="","",IF(MV35&gt;=KONVERSI!$A$7,'KI3'!MW35&amp;" dalam"&amp;PJ35&amp;PK35&amp;PL35&amp;PM35&amp;PN35&amp;PO35&amp;PP35&amp;PQ35&amp;PR35&amp;PS35&amp;PT35&amp;PU35&amp;PV35&amp;PW35&amp;PX35&amp;PY35&amp;PZ35&amp;QA35&amp;QB35&amp;QC35,KONVERSI!$C$18&amp;" dalam"&amp;PJ35&amp;PK35&amp;PL35&amp;PM35&amp;PN35&amp;PO35&amp;PP35&amp;PQ35&amp;PR35&amp;PS35&amp;PT35&amp;PU35&amp;PV35&amp;PW35&amp;PX35&amp;PY35&amp;PZ35&amp;QA35&amp;QB35&amp;QC35)))</f>
        <v>Cukup Baik dalamjenis, sifat, karakter dan teknik pengolahan kerang, kaca, keramik dan botol plastik</v>
      </c>
      <c r="QE35" s="134" t="str">
        <f t="shared" si="343"/>
        <v>Cukup Baik dalamjenis, sifat, karakter dan teknik pengolahan kerang, kaca, keramik dan botol plasti.</v>
      </c>
      <c r="QF35" s="236">
        <f t="shared" si="172"/>
        <v>1</v>
      </c>
      <c r="QG35" s="134" t="str">
        <f t="shared" si="173"/>
        <v>Baik dalam prinsip perancangan, pembuatan dan penyajian produk kerajinan kerang, kaca, keramik dan botol plastik yang kreatif dan inovati.  Cukup Baik dalamjenis, sifat, karakter dan teknik pengolahan kerang, kaca, keramik dan botol plasti.</v>
      </c>
    </row>
    <row r="36" ht="27.6" customHeight="1" spans="1:449">
      <c r="A36" s="136"/>
      <c r="B36" s="177">
        <v>28</v>
      </c>
      <c r="C36" s="178" t="str">
        <f>siswa!C32</f>
        <v>SISKA DIANA PUTRI</v>
      </c>
      <c r="D36" s="174">
        <f>siswa!D32</f>
        <v>2871</v>
      </c>
      <c r="E36" s="249">
        <v>86</v>
      </c>
      <c r="F36" s="249">
        <v>86</v>
      </c>
      <c r="G36" s="248"/>
      <c r="H36" s="176"/>
      <c r="I36" s="176"/>
      <c r="J36" s="175">
        <v>82</v>
      </c>
      <c r="K36" s="176"/>
      <c r="L36" s="223">
        <f t="shared" si="174"/>
        <v>84.4</v>
      </c>
      <c r="M36" s="250">
        <v>86</v>
      </c>
      <c r="N36" s="250">
        <v>100</v>
      </c>
      <c r="O36" s="248"/>
      <c r="P36" s="176"/>
      <c r="Q36" s="176"/>
      <c r="R36" s="250">
        <v>88</v>
      </c>
      <c r="S36" s="176"/>
      <c r="T36" s="223">
        <f t="shared" si="175"/>
        <v>91</v>
      </c>
      <c r="U36" s="248"/>
      <c r="V36" s="248"/>
      <c r="W36" s="248"/>
      <c r="X36" s="176"/>
      <c r="Y36" s="176"/>
      <c r="Z36" s="250"/>
      <c r="AA36" s="176"/>
      <c r="AB36" s="223">
        <f t="shared" si="176"/>
        <v>0</v>
      </c>
      <c r="AC36" s="248"/>
      <c r="AD36" s="248"/>
      <c r="AE36" s="248"/>
      <c r="AF36" s="248"/>
      <c r="AG36" s="176"/>
      <c r="AH36" s="250"/>
      <c r="AI36" s="176"/>
      <c r="AJ36" s="223">
        <f t="shared" si="177"/>
        <v>0</v>
      </c>
      <c r="AK36" s="181"/>
      <c r="AL36" s="176"/>
      <c r="AM36" s="176"/>
      <c r="AN36" s="176"/>
      <c r="AO36" s="176"/>
      <c r="AP36" s="176"/>
      <c r="AQ36" s="176"/>
      <c r="AR36" s="223">
        <f t="shared" si="178"/>
        <v>0</v>
      </c>
      <c r="AS36" s="181"/>
      <c r="AT36" s="176"/>
      <c r="AU36" s="176"/>
      <c r="AV36" s="176"/>
      <c r="AW36" s="176"/>
      <c r="AX36" s="176"/>
      <c r="AY36" s="176"/>
      <c r="AZ36" s="223">
        <f t="shared" si="179"/>
        <v>0</v>
      </c>
      <c r="BA36" s="181"/>
      <c r="BB36" s="176"/>
      <c r="BC36" s="176"/>
      <c r="BD36" s="176"/>
      <c r="BE36" s="176"/>
      <c r="BF36" s="176"/>
      <c r="BG36" s="176"/>
      <c r="BH36" s="223">
        <f t="shared" si="180"/>
        <v>0</v>
      </c>
      <c r="BI36" s="181"/>
      <c r="BJ36" s="176"/>
      <c r="BK36" s="176"/>
      <c r="BL36" s="176"/>
      <c r="BM36" s="176"/>
      <c r="BN36" s="176"/>
      <c r="BO36" s="176"/>
      <c r="BP36" s="223">
        <f t="shared" si="181"/>
        <v>0</v>
      </c>
      <c r="BQ36" s="181"/>
      <c r="BR36" s="176"/>
      <c r="BS36" s="176"/>
      <c r="BT36" s="176"/>
      <c r="BU36" s="176"/>
      <c r="BV36" s="176"/>
      <c r="BW36" s="176"/>
      <c r="BX36" s="223">
        <f t="shared" si="182"/>
        <v>0</v>
      </c>
      <c r="BY36" s="181"/>
      <c r="BZ36" s="176"/>
      <c r="CA36" s="176"/>
      <c r="CB36" s="176"/>
      <c r="CC36" s="176"/>
      <c r="CD36" s="176"/>
      <c r="CE36" s="176"/>
      <c r="CF36" s="223">
        <f t="shared" si="183"/>
        <v>0</v>
      </c>
      <c r="CG36" s="181"/>
      <c r="CH36" s="176"/>
      <c r="CI36" s="176"/>
      <c r="CJ36" s="176"/>
      <c r="CK36" s="176"/>
      <c r="CL36" s="176"/>
      <c r="CM36" s="176"/>
      <c r="CN36" s="223">
        <f t="shared" si="184"/>
        <v>0</v>
      </c>
      <c r="CO36" s="181"/>
      <c r="CP36" s="176"/>
      <c r="CQ36" s="176"/>
      <c r="CR36" s="176"/>
      <c r="CS36" s="176"/>
      <c r="CT36" s="176"/>
      <c r="CU36" s="176"/>
      <c r="CV36" s="223">
        <f t="shared" si="185"/>
        <v>0</v>
      </c>
      <c r="CW36" s="181"/>
      <c r="CX36" s="176"/>
      <c r="CY36" s="176"/>
      <c r="CZ36" s="176"/>
      <c r="DA36" s="176"/>
      <c r="DB36" s="176"/>
      <c r="DC36" s="176"/>
      <c r="DD36" s="223">
        <f t="shared" si="186"/>
        <v>0</v>
      </c>
      <c r="DE36" s="181"/>
      <c r="DF36" s="176"/>
      <c r="DG36" s="176"/>
      <c r="DH36" s="176"/>
      <c r="DI36" s="176"/>
      <c r="DJ36" s="176"/>
      <c r="DK36" s="176"/>
      <c r="DL36" s="223">
        <f t="shared" si="187"/>
        <v>0</v>
      </c>
      <c r="DM36" s="181"/>
      <c r="DN36" s="176"/>
      <c r="DO36" s="176"/>
      <c r="DP36" s="176"/>
      <c r="DQ36" s="176"/>
      <c r="DR36" s="176"/>
      <c r="DS36" s="176"/>
      <c r="DT36" s="223">
        <f t="shared" si="188"/>
        <v>0</v>
      </c>
      <c r="DU36" s="181"/>
      <c r="DV36" s="176"/>
      <c r="DW36" s="176"/>
      <c r="DX36" s="176"/>
      <c r="DY36" s="176"/>
      <c r="DZ36" s="176"/>
      <c r="EA36" s="176"/>
      <c r="EB36" s="223">
        <f t="shared" si="189"/>
        <v>0</v>
      </c>
      <c r="EC36" s="181"/>
      <c r="ED36" s="176"/>
      <c r="EE36" s="176"/>
      <c r="EF36" s="176"/>
      <c r="EG36" s="176"/>
      <c r="EH36" s="176"/>
      <c r="EI36" s="176"/>
      <c r="EJ36" s="223">
        <f t="shared" si="190"/>
        <v>0</v>
      </c>
      <c r="EK36" s="181"/>
      <c r="EL36" s="176"/>
      <c r="EM36" s="176"/>
      <c r="EN36" s="176"/>
      <c r="EO36" s="176"/>
      <c r="EP36" s="176"/>
      <c r="EQ36" s="176"/>
      <c r="ER36" s="223">
        <f t="shared" si="191"/>
        <v>0</v>
      </c>
      <c r="ES36" s="181"/>
      <c r="ET36" s="176"/>
      <c r="EU36" s="176"/>
      <c r="EV36" s="176"/>
      <c r="EW36" s="176"/>
      <c r="EX36" s="176"/>
      <c r="EY36" s="176"/>
      <c r="EZ36" s="223">
        <f t="shared" si="192"/>
        <v>0</v>
      </c>
      <c r="FA36" s="181"/>
      <c r="FB36" s="176"/>
      <c r="FC36" s="176"/>
      <c r="FD36" s="176"/>
      <c r="FE36" s="176"/>
      <c r="FF36" s="176"/>
      <c r="FG36" s="176"/>
      <c r="FH36" s="223">
        <f t="shared" si="193"/>
        <v>0</v>
      </c>
      <c r="FI36" s="291">
        <f t="shared" si="194"/>
        <v>88</v>
      </c>
      <c r="FJ36" s="250">
        <v>84</v>
      </c>
      <c r="FK36" s="250"/>
      <c r="FL36" s="291">
        <f t="shared" si="195"/>
        <v>87</v>
      </c>
      <c r="FM36" s="312" t="str">
        <f>IFERROR(IF(FL36="","",IF(FL36&gt;=KONVERSI!$A$5,KONVERSI!$D$5,IF(FL36&gt;=KONVERSI!$A$6,KONVERSI!$D$6,IF(FL36&gt;=KONVERSI!$A$7,KONVERSI!$D$7,KONVERSI!$D$8)))),"")</f>
        <v>B</v>
      </c>
      <c r="FN36" s="232" t="str">
        <f t="shared" si="196"/>
        <v>Tuntas</v>
      </c>
      <c r="FO36" s="313"/>
      <c r="FP36" s="314">
        <f t="shared" si="197"/>
        <v>89.5</v>
      </c>
      <c r="FQ36" s="194">
        <f t="shared" si="33"/>
        <v>86</v>
      </c>
      <c r="FR36" s="194">
        <f t="shared" si="34"/>
        <v>86</v>
      </c>
      <c r="FS36" s="194" t="str">
        <f t="shared" si="35"/>
        <v/>
      </c>
      <c r="FT36" s="194" t="str">
        <f t="shared" si="36"/>
        <v/>
      </c>
      <c r="FU36" s="194" t="str">
        <f t="shared" si="37"/>
        <v/>
      </c>
      <c r="FV36" s="194">
        <f t="shared" si="38"/>
        <v>84.4</v>
      </c>
      <c r="FW36" s="194">
        <f t="shared" si="39"/>
        <v>86</v>
      </c>
      <c r="FX36" s="194">
        <f t="shared" si="344"/>
        <v>100</v>
      </c>
      <c r="FY36" s="194" t="str">
        <f t="shared" si="40"/>
        <v/>
      </c>
      <c r="FZ36" s="194" t="str">
        <f t="shared" si="41"/>
        <v/>
      </c>
      <c r="GA36" s="194" t="str">
        <f t="shared" si="42"/>
        <v/>
      </c>
      <c r="GB36" s="194">
        <f t="shared" si="43"/>
        <v>91</v>
      </c>
      <c r="GC36" s="194" t="str">
        <f t="shared" si="44"/>
        <v/>
      </c>
      <c r="GD36" s="194" t="str">
        <f t="shared" si="45"/>
        <v/>
      </c>
      <c r="GE36" s="194" t="str">
        <f t="shared" si="46"/>
        <v/>
      </c>
      <c r="GF36" s="194" t="str">
        <f t="shared" si="47"/>
        <v/>
      </c>
      <c r="GG36" s="194" t="str">
        <f t="shared" si="48"/>
        <v/>
      </c>
      <c r="GH36" s="194" t="str">
        <f t="shared" si="49"/>
        <v/>
      </c>
      <c r="GI36" s="194" t="str">
        <f t="shared" si="50"/>
        <v/>
      </c>
      <c r="GJ36" s="194" t="str">
        <f t="shared" si="51"/>
        <v/>
      </c>
      <c r="GK36" s="194" t="str">
        <f t="shared" si="52"/>
        <v/>
      </c>
      <c r="GL36" s="194" t="str">
        <f t="shared" si="53"/>
        <v/>
      </c>
      <c r="GM36" s="194" t="str">
        <f t="shared" si="54"/>
        <v/>
      </c>
      <c r="GN36" s="194" t="str">
        <f t="shared" si="55"/>
        <v/>
      </c>
      <c r="GO36" s="194" t="str">
        <f t="shared" si="56"/>
        <v/>
      </c>
      <c r="GP36" s="194" t="str">
        <f t="shared" si="57"/>
        <v/>
      </c>
      <c r="GQ36" s="194" t="str">
        <f t="shared" si="58"/>
        <v/>
      </c>
      <c r="GR36" s="194" t="str">
        <f t="shared" si="59"/>
        <v/>
      </c>
      <c r="GS36" s="194" t="str">
        <f t="shared" si="60"/>
        <v/>
      </c>
      <c r="GT36" s="194" t="str">
        <f t="shared" si="61"/>
        <v/>
      </c>
      <c r="GU36" s="194" t="str">
        <f t="shared" si="62"/>
        <v/>
      </c>
      <c r="GV36" s="194" t="str">
        <f t="shared" si="63"/>
        <v/>
      </c>
      <c r="GW36" s="194" t="str">
        <f t="shared" si="64"/>
        <v/>
      </c>
      <c r="GX36" s="194" t="str">
        <f t="shared" si="65"/>
        <v/>
      </c>
      <c r="GY36" s="194" t="str">
        <f t="shared" si="66"/>
        <v/>
      </c>
      <c r="GZ36" s="194" t="str">
        <f t="shared" si="67"/>
        <v/>
      </c>
      <c r="HA36" s="194" t="str">
        <f t="shared" si="68"/>
        <v/>
      </c>
      <c r="HB36" s="194" t="str">
        <f t="shared" si="69"/>
        <v/>
      </c>
      <c r="HC36" s="194" t="str">
        <f t="shared" si="70"/>
        <v/>
      </c>
      <c r="HD36" s="194" t="str">
        <f t="shared" si="71"/>
        <v/>
      </c>
      <c r="HE36" s="194" t="str">
        <f t="shared" si="72"/>
        <v/>
      </c>
      <c r="HF36" s="194" t="str">
        <f t="shared" si="73"/>
        <v/>
      </c>
      <c r="HG36" s="194" t="str">
        <f t="shared" si="74"/>
        <v/>
      </c>
      <c r="HH36" s="194" t="str">
        <f t="shared" si="75"/>
        <v/>
      </c>
      <c r="HI36" s="194" t="str">
        <f t="shared" si="76"/>
        <v/>
      </c>
      <c r="HJ36" s="194" t="str">
        <f t="shared" si="77"/>
        <v/>
      </c>
      <c r="HK36" s="194" t="str">
        <f t="shared" si="78"/>
        <v/>
      </c>
      <c r="HL36" s="194" t="str">
        <f t="shared" si="79"/>
        <v/>
      </c>
      <c r="HM36" s="194" t="str">
        <f t="shared" si="80"/>
        <v/>
      </c>
      <c r="HN36" s="194" t="str">
        <f t="shared" si="81"/>
        <v/>
      </c>
      <c r="HO36" s="194" t="str">
        <f t="shared" si="82"/>
        <v/>
      </c>
      <c r="HP36" s="194" t="str">
        <f t="shared" si="83"/>
        <v/>
      </c>
      <c r="HQ36" s="194" t="str">
        <f t="shared" si="84"/>
        <v/>
      </c>
      <c r="HR36" s="194" t="str">
        <f t="shared" si="85"/>
        <v/>
      </c>
      <c r="HS36" s="194" t="str">
        <f t="shared" si="86"/>
        <v/>
      </c>
      <c r="HT36" s="194" t="str">
        <f t="shared" si="87"/>
        <v/>
      </c>
      <c r="HU36" s="194" t="str">
        <f t="shared" si="88"/>
        <v/>
      </c>
      <c r="HV36" s="194" t="str">
        <f t="shared" si="89"/>
        <v/>
      </c>
      <c r="HW36" s="194" t="str">
        <f t="shared" si="90"/>
        <v/>
      </c>
      <c r="HX36" s="194" t="str">
        <f t="shared" si="91"/>
        <v/>
      </c>
      <c r="HY36" s="194" t="str">
        <f t="shared" si="92"/>
        <v/>
      </c>
      <c r="HZ36" s="194" t="str">
        <f t="shared" si="93"/>
        <v/>
      </c>
      <c r="IA36" s="194" t="str">
        <f t="shared" si="94"/>
        <v/>
      </c>
      <c r="IB36" s="194" t="str">
        <f t="shared" si="95"/>
        <v/>
      </c>
      <c r="IC36" s="194" t="str">
        <f t="shared" si="96"/>
        <v/>
      </c>
      <c r="ID36" s="194" t="str">
        <f t="shared" si="97"/>
        <v/>
      </c>
      <c r="IE36" s="194" t="str">
        <f t="shared" si="98"/>
        <v/>
      </c>
      <c r="IF36" s="194" t="str">
        <f t="shared" si="99"/>
        <v/>
      </c>
      <c r="IG36" s="194" t="str">
        <f t="shared" si="100"/>
        <v/>
      </c>
      <c r="IH36" s="194" t="str">
        <f t="shared" si="101"/>
        <v/>
      </c>
      <c r="II36" s="194" t="str">
        <f t="shared" si="102"/>
        <v/>
      </c>
      <c r="IJ36" s="194" t="str">
        <f t="shared" si="103"/>
        <v/>
      </c>
      <c r="IK36" s="194" t="str">
        <f t="shared" si="104"/>
        <v/>
      </c>
      <c r="IL36" s="194" t="str">
        <f t="shared" si="105"/>
        <v/>
      </c>
      <c r="IM36" s="194" t="str">
        <f t="shared" si="106"/>
        <v/>
      </c>
      <c r="IN36" s="194" t="str">
        <f t="shared" si="107"/>
        <v/>
      </c>
      <c r="IO36" s="194" t="str">
        <f t="shared" si="108"/>
        <v/>
      </c>
      <c r="IP36" s="194" t="str">
        <f t="shared" si="109"/>
        <v/>
      </c>
      <c r="IQ36" s="194" t="str">
        <f t="shared" si="110"/>
        <v/>
      </c>
      <c r="IR36" s="194" t="str">
        <f t="shared" si="111"/>
        <v/>
      </c>
      <c r="IS36" s="194" t="str">
        <f t="shared" si="112"/>
        <v/>
      </c>
      <c r="IT36" s="194" t="str">
        <f t="shared" si="113"/>
        <v/>
      </c>
      <c r="IU36" s="194" t="str">
        <f t="shared" si="114"/>
        <v/>
      </c>
      <c r="IV36" s="194" t="str">
        <f t="shared" si="115"/>
        <v/>
      </c>
      <c r="IW36" s="194" t="str">
        <f t="shared" si="116"/>
        <v/>
      </c>
      <c r="IX36" s="194" t="str">
        <f t="shared" si="117"/>
        <v/>
      </c>
      <c r="IY36" s="194" t="str">
        <f t="shared" si="118"/>
        <v/>
      </c>
      <c r="IZ36" s="194" t="str">
        <f t="shared" si="119"/>
        <v/>
      </c>
      <c r="JA36" s="194" t="str">
        <f t="shared" si="120"/>
        <v/>
      </c>
      <c r="JB36" s="194" t="str">
        <f t="shared" si="121"/>
        <v/>
      </c>
      <c r="JC36" s="194" t="str">
        <f t="shared" si="122"/>
        <v/>
      </c>
      <c r="JD36" s="194" t="str">
        <f t="shared" si="123"/>
        <v/>
      </c>
      <c r="JE36" s="194" t="str">
        <f t="shared" si="124"/>
        <v/>
      </c>
      <c r="JF36" s="194" t="str">
        <f t="shared" si="125"/>
        <v/>
      </c>
      <c r="JG36" s="194" t="str">
        <f t="shared" si="126"/>
        <v/>
      </c>
      <c r="JH36" s="194" t="str">
        <f t="shared" si="127"/>
        <v/>
      </c>
      <c r="JI36" s="194" t="str">
        <f t="shared" si="128"/>
        <v/>
      </c>
      <c r="JJ36" s="194" t="str">
        <f t="shared" si="129"/>
        <v/>
      </c>
      <c r="JK36" s="194" t="str">
        <f t="shared" si="130"/>
        <v/>
      </c>
      <c r="JL36" s="194" t="str">
        <f t="shared" si="131"/>
        <v/>
      </c>
      <c r="JM36" s="194" t="str">
        <f t="shared" si="132"/>
        <v/>
      </c>
      <c r="JN36" s="194" t="str">
        <f t="shared" si="133"/>
        <v/>
      </c>
      <c r="JO36" s="194" t="str">
        <f t="shared" si="134"/>
        <v/>
      </c>
      <c r="JP36" s="194" t="str">
        <f t="shared" si="135"/>
        <v/>
      </c>
      <c r="JQ36" s="194" t="str">
        <f t="shared" si="136"/>
        <v/>
      </c>
      <c r="JR36" s="194" t="str">
        <f t="shared" si="137"/>
        <v/>
      </c>
      <c r="JS36" s="194" t="str">
        <f t="shared" si="138"/>
        <v/>
      </c>
      <c r="JT36" s="194" t="str">
        <f t="shared" si="139"/>
        <v/>
      </c>
      <c r="JU36" s="194" t="str">
        <f t="shared" si="140"/>
        <v/>
      </c>
      <c r="JV36" s="194" t="str">
        <f t="shared" si="141"/>
        <v/>
      </c>
      <c r="JW36" s="194" t="str">
        <f t="shared" si="142"/>
        <v/>
      </c>
      <c r="JX36" s="194" t="str">
        <f t="shared" si="143"/>
        <v/>
      </c>
      <c r="JY36" s="194" t="str">
        <f t="shared" si="144"/>
        <v/>
      </c>
      <c r="JZ36" s="194" t="str">
        <f t="shared" si="145"/>
        <v/>
      </c>
      <c r="KA36" s="194" t="str">
        <f t="shared" si="146"/>
        <v/>
      </c>
      <c r="KB36" s="194" t="str">
        <f t="shared" si="147"/>
        <v/>
      </c>
      <c r="KC36" s="194" t="str">
        <f t="shared" si="148"/>
        <v/>
      </c>
      <c r="KD36" s="194" t="str">
        <f t="shared" si="149"/>
        <v/>
      </c>
      <c r="KE36" s="194" t="str">
        <f t="shared" si="150"/>
        <v/>
      </c>
      <c r="KF36" s="194" t="str">
        <f t="shared" si="151"/>
        <v/>
      </c>
      <c r="KG36" s="194">
        <f>SUM(LE36:LX36)/COUNTA(RefKI3KI4!$B$5:$B$24)</f>
        <v>87.7</v>
      </c>
      <c r="KH36" s="232">
        <f t="shared" si="198"/>
        <v>0</v>
      </c>
      <c r="KI36" s="340" t="str">
        <f t="shared" si="199"/>
        <v>ok</v>
      </c>
      <c r="KJ36" s="340" t="str">
        <f t="shared" si="200"/>
        <v>ok</v>
      </c>
      <c r="KK36" s="340" t="str">
        <f t="shared" si="201"/>
        <v/>
      </c>
      <c r="KL36" s="340" t="str">
        <f t="shared" si="202"/>
        <v/>
      </c>
      <c r="KM36" s="340" t="str">
        <f t="shared" si="203"/>
        <v/>
      </c>
      <c r="KN36" s="340" t="str">
        <f t="shared" si="204"/>
        <v/>
      </c>
      <c r="KO36" s="340" t="str">
        <f t="shared" si="205"/>
        <v/>
      </c>
      <c r="KP36" s="340" t="str">
        <f t="shared" si="206"/>
        <v/>
      </c>
      <c r="KQ36" s="340" t="str">
        <f t="shared" si="207"/>
        <v/>
      </c>
      <c r="KR36" s="340" t="str">
        <f t="shared" si="208"/>
        <v/>
      </c>
      <c r="KS36" s="340" t="str">
        <f t="shared" si="209"/>
        <v/>
      </c>
      <c r="KT36" s="340" t="str">
        <f t="shared" si="210"/>
        <v/>
      </c>
      <c r="KU36" s="340" t="str">
        <f t="shared" si="211"/>
        <v/>
      </c>
      <c r="KV36" s="340" t="str">
        <f t="shared" si="212"/>
        <v/>
      </c>
      <c r="KW36" s="340" t="str">
        <f t="shared" si="213"/>
        <v/>
      </c>
      <c r="KX36" s="340" t="str">
        <f t="shared" si="214"/>
        <v/>
      </c>
      <c r="KY36" s="340" t="str">
        <f t="shared" si="215"/>
        <v/>
      </c>
      <c r="KZ36" s="340" t="str">
        <f t="shared" si="216"/>
        <v/>
      </c>
      <c r="LA36" s="340" t="str">
        <f t="shared" si="217"/>
        <v/>
      </c>
      <c r="LB36" s="340" t="str">
        <f t="shared" si="218"/>
        <v/>
      </c>
      <c r="LC36" s="340">
        <f t="shared" si="219"/>
        <v>0</v>
      </c>
      <c r="LD36" s="228">
        <v>28</v>
      </c>
      <c r="LE36" s="229">
        <f t="shared" si="220"/>
        <v>84.4</v>
      </c>
      <c r="LF36" s="229">
        <f t="shared" si="221"/>
        <v>91</v>
      </c>
      <c r="LG36" s="229" t="str">
        <f t="shared" si="222"/>
        <v/>
      </c>
      <c r="LH36" s="229" t="str">
        <f t="shared" si="223"/>
        <v/>
      </c>
      <c r="LI36" s="229" t="str">
        <f t="shared" si="224"/>
        <v/>
      </c>
      <c r="LJ36" s="229" t="str">
        <f t="shared" si="225"/>
        <v/>
      </c>
      <c r="LK36" s="229" t="str">
        <f t="shared" si="226"/>
        <v/>
      </c>
      <c r="LL36" s="229" t="str">
        <f t="shared" si="227"/>
        <v/>
      </c>
      <c r="LM36" s="229" t="str">
        <f t="shared" si="228"/>
        <v/>
      </c>
      <c r="LN36" s="229" t="str">
        <f t="shared" si="229"/>
        <v/>
      </c>
      <c r="LO36" s="229" t="str">
        <f t="shared" si="230"/>
        <v/>
      </c>
      <c r="LP36" s="229" t="str">
        <f t="shared" si="231"/>
        <v/>
      </c>
      <c r="LQ36" s="229" t="str">
        <f t="shared" si="232"/>
        <v/>
      </c>
      <c r="LR36" s="229" t="str">
        <f t="shared" si="233"/>
        <v/>
      </c>
      <c r="LS36" s="229" t="str">
        <f t="shared" si="234"/>
        <v/>
      </c>
      <c r="LT36" s="229" t="str">
        <f t="shared" si="235"/>
        <v/>
      </c>
      <c r="LU36" s="229" t="str">
        <f t="shared" si="236"/>
        <v/>
      </c>
      <c r="LV36" s="229" t="str">
        <f t="shared" si="237"/>
        <v/>
      </c>
      <c r="LW36" s="229" t="str">
        <f t="shared" si="238"/>
        <v/>
      </c>
      <c r="LX36" s="229" t="str">
        <f t="shared" si="239"/>
        <v/>
      </c>
      <c r="LY36" s="231">
        <f t="shared" si="240"/>
        <v>84.4</v>
      </c>
      <c r="LZ36" s="231">
        <f t="shared" si="241"/>
        <v>91</v>
      </c>
      <c r="MA36" s="231" t="str">
        <f t="shared" si="242"/>
        <v/>
      </c>
      <c r="MB36" s="231" t="str">
        <f t="shared" si="243"/>
        <v/>
      </c>
      <c r="MC36" s="231" t="str">
        <f t="shared" si="244"/>
        <v/>
      </c>
      <c r="MD36" s="231" t="str">
        <f t="shared" si="245"/>
        <v/>
      </c>
      <c r="ME36" s="231" t="str">
        <f t="shared" si="246"/>
        <v/>
      </c>
      <c r="MF36" s="231" t="str">
        <f t="shared" si="247"/>
        <v/>
      </c>
      <c r="MG36" s="231" t="str">
        <f t="shared" si="248"/>
        <v/>
      </c>
      <c r="MH36" s="231" t="str">
        <f t="shared" si="249"/>
        <v/>
      </c>
      <c r="MI36" s="231" t="str">
        <f t="shared" si="250"/>
        <v/>
      </c>
      <c r="MJ36" s="231" t="str">
        <f t="shared" si="251"/>
        <v/>
      </c>
      <c r="MK36" s="231" t="str">
        <f t="shared" si="252"/>
        <v/>
      </c>
      <c r="ML36" s="231" t="str">
        <f t="shared" si="253"/>
        <v/>
      </c>
      <c r="MM36" s="231" t="str">
        <f t="shared" si="254"/>
        <v/>
      </c>
      <c r="MN36" s="231" t="str">
        <f t="shared" si="255"/>
        <v/>
      </c>
      <c r="MO36" s="231" t="str">
        <f t="shared" si="256"/>
        <v/>
      </c>
      <c r="MP36" s="231" t="str">
        <f t="shared" si="257"/>
        <v/>
      </c>
      <c r="MQ36" s="231" t="str">
        <f t="shared" si="258"/>
        <v/>
      </c>
      <c r="MR36" s="231" t="str">
        <f t="shared" si="259"/>
        <v/>
      </c>
      <c r="MS36" s="231">
        <f t="shared" si="154"/>
        <v>91</v>
      </c>
      <c r="MT36" s="232" t="str">
        <f>IF(MS36="","",IF(MS36&gt;=KONVERSI!$A$5,KONVERSI!$E$5,IF(MS36&gt;=KONVERSI!$A$6,KONVERSI!$E$6,IF(MS36&gt;=KONVERSI!$A$7,KONVERSI!$E$7,KONVERSI!$E$8))))</f>
        <v>Baik</v>
      </c>
      <c r="MU36" s="233" t="str">
        <f t="shared" si="155"/>
        <v>Baik dalamprinsip perancangan, pembuatan dan penyajian produk kerajinan kerang, kaca, keramik dan botol plastik yang kreatif dan inovatif</v>
      </c>
      <c r="MV36" s="234">
        <f t="shared" si="260"/>
        <v>84.4</v>
      </c>
      <c r="MW36" s="232" t="str">
        <f>IF(MV36="","",IF(MV36&gt;=KONVERSI!$A$5,KONVERSI!$E$5,IF(MV36&gt;=KONVERSI!$A$6,KONVERSI!$E$6,IF(MV36&gt;=KONVERSI!$A$7,KONVERSI!$E$7,KONVERSI!$E$8))))</f>
        <v>Baik</v>
      </c>
      <c r="MX36" s="134" t="str">
        <f>IF(FI36&lt;$FN$4," "&amp;KONVERSI!$C$18&amp;INDEX($LY$8:$MR$8,MATCH(MV36,LY36:MR36,0))&amp;".",IF(KG36=0,"",IF(MV36&lt;&gt;0,MU36&amp;MW36&amp;".",MU36&amp;".")))</f>
        <v>Baik dalamprinsip perancangan, pembuatan dan penyajian produk kerajinan kerang, kaca, keramik dan botol plastik yang kreatif dan inovatifBaik.</v>
      </c>
      <c r="MY36" s="235" t="str">
        <f t="shared" si="261"/>
        <v>NO</v>
      </c>
      <c r="MZ36" s="235" t="str">
        <f t="shared" si="262"/>
        <v>OK</v>
      </c>
      <c r="NA36" s="235" t="str">
        <f t="shared" si="263"/>
        <v/>
      </c>
      <c r="NB36" s="235" t="str">
        <f t="shared" si="264"/>
        <v/>
      </c>
      <c r="NC36" s="235" t="str">
        <f t="shared" si="265"/>
        <v/>
      </c>
      <c r="ND36" s="235" t="str">
        <f t="shared" si="266"/>
        <v/>
      </c>
      <c r="NE36" s="235" t="str">
        <f t="shared" si="267"/>
        <v/>
      </c>
      <c r="NF36" s="235" t="str">
        <f t="shared" si="268"/>
        <v/>
      </c>
      <c r="NG36" s="235" t="str">
        <f t="shared" si="269"/>
        <v/>
      </c>
      <c r="NH36" s="235" t="str">
        <f t="shared" si="270"/>
        <v/>
      </c>
      <c r="NI36" s="235" t="str">
        <f t="shared" si="271"/>
        <v/>
      </c>
      <c r="NJ36" s="235" t="str">
        <f t="shared" si="272"/>
        <v/>
      </c>
      <c r="NK36" s="235" t="str">
        <f t="shared" si="273"/>
        <v/>
      </c>
      <c r="NL36" s="235" t="str">
        <f t="shared" si="274"/>
        <v/>
      </c>
      <c r="NM36" s="235" t="str">
        <f t="shared" si="275"/>
        <v/>
      </c>
      <c r="NN36" s="235" t="str">
        <f t="shared" si="276"/>
        <v/>
      </c>
      <c r="NO36" s="235" t="str">
        <f t="shared" si="277"/>
        <v/>
      </c>
      <c r="NP36" s="235" t="str">
        <f t="shared" si="278"/>
        <v/>
      </c>
      <c r="NQ36" s="235" t="str">
        <f t="shared" si="279"/>
        <v/>
      </c>
      <c r="NR36" s="235" t="str">
        <f t="shared" si="280"/>
        <v/>
      </c>
      <c r="NS36" s="134" t="str">
        <f t="shared" si="281"/>
        <v/>
      </c>
      <c r="NT36" s="134" t="str">
        <f t="shared" si="282"/>
        <v>prinsip perancangan, pembuatan dan penyajian produk kerajinan kerang, kaca, keramik dan botol plastik yang kreatif dan inovatif</v>
      </c>
      <c r="NU36" s="134" t="str">
        <f t="shared" si="283"/>
        <v/>
      </c>
      <c r="NV36" s="134" t="str">
        <f t="shared" si="284"/>
        <v/>
      </c>
      <c r="NW36" s="134" t="str">
        <f t="shared" si="285"/>
        <v/>
      </c>
      <c r="NX36" s="134" t="str">
        <f t="shared" si="286"/>
        <v/>
      </c>
      <c r="NY36" s="134" t="str">
        <f t="shared" si="287"/>
        <v/>
      </c>
      <c r="NZ36" s="134" t="str">
        <f t="shared" si="288"/>
        <v/>
      </c>
      <c r="OA36" s="134" t="str">
        <f t="shared" si="289"/>
        <v/>
      </c>
      <c r="OB36" s="134" t="str">
        <f t="shared" si="290"/>
        <v/>
      </c>
      <c r="OC36" s="134" t="str">
        <f t="shared" si="291"/>
        <v/>
      </c>
      <c r="OD36" s="134" t="str">
        <f t="shared" si="292"/>
        <v/>
      </c>
      <c r="OE36" s="134" t="str">
        <f t="shared" si="293"/>
        <v/>
      </c>
      <c r="OF36" s="134" t="str">
        <f t="shared" si="294"/>
        <v/>
      </c>
      <c r="OG36" s="134" t="str">
        <f t="shared" si="295"/>
        <v/>
      </c>
      <c r="OH36" s="134" t="str">
        <f t="shared" si="296"/>
        <v/>
      </c>
      <c r="OI36" s="134" t="str">
        <f t="shared" si="297"/>
        <v/>
      </c>
      <c r="OJ36" s="134" t="str">
        <f t="shared" si="298"/>
        <v/>
      </c>
      <c r="OK36" s="134" t="str">
        <f t="shared" si="299"/>
        <v/>
      </c>
      <c r="OL36" s="134" t="str">
        <f t="shared" si="300"/>
        <v/>
      </c>
      <c r="OM36" s="134" t="str">
        <f t="shared" si="301"/>
        <v>Baik dalam prinsip perancangan, pembuatan dan penyajian produk kerajinan kerang, kaca, keramik dan botol plastik yang kreatif dan inovatif</v>
      </c>
      <c r="ON36" s="134" t="str">
        <f t="shared" si="302"/>
        <v>Baik dalam prinsip perancangan, pembuatan dan penyajian produk kerajinan kerang, kaca, keramik dan botol plastik yang kreatif dan inovati.  </v>
      </c>
      <c r="OO36" s="236">
        <f t="shared" si="169"/>
        <v>1</v>
      </c>
      <c r="OP36" s="235" t="str">
        <f t="shared" si="303"/>
        <v>OK</v>
      </c>
      <c r="OQ36" s="235" t="str">
        <f t="shared" si="304"/>
        <v>NO</v>
      </c>
      <c r="OR36" s="235" t="str">
        <f t="shared" si="305"/>
        <v/>
      </c>
      <c r="OS36" s="235" t="str">
        <f t="shared" si="306"/>
        <v/>
      </c>
      <c r="OT36" s="235" t="str">
        <f t="shared" si="307"/>
        <v/>
      </c>
      <c r="OU36" s="235" t="str">
        <f t="shared" si="308"/>
        <v/>
      </c>
      <c r="OV36" s="235" t="str">
        <f t="shared" si="309"/>
        <v/>
      </c>
      <c r="OW36" s="235" t="str">
        <f t="shared" si="310"/>
        <v/>
      </c>
      <c r="OX36" s="235" t="str">
        <f t="shared" si="311"/>
        <v/>
      </c>
      <c r="OY36" s="235" t="str">
        <f t="shared" si="312"/>
        <v/>
      </c>
      <c r="OZ36" s="235" t="str">
        <f t="shared" si="313"/>
        <v/>
      </c>
      <c r="PA36" s="235" t="str">
        <f t="shared" si="314"/>
        <v/>
      </c>
      <c r="PB36" s="235" t="str">
        <f t="shared" si="315"/>
        <v/>
      </c>
      <c r="PC36" s="235" t="str">
        <f t="shared" si="316"/>
        <v/>
      </c>
      <c r="PD36" s="235" t="str">
        <f t="shared" si="317"/>
        <v/>
      </c>
      <c r="PE36" s="235" t="str">
        <f t="shared" si="318"/>
        <v/>
      </c>
      <c r="PF36" s="235" t="str">
        <f t="shared" si="319"/>
        <v/>
      </c>
      <c r="PG36" s="235" t="str">
        <f t="shared" si="320"/>
        <v/>
      </c>
      <c r="PH36" s="235" t="str">
        <f t="shared" si="321"/>
        <v/>
      </c>
      <c r="PI36" s="235" t="str">
        <f t="shared" si="322"/>
        <v/>
      </c>
      <c r="PJ36" s="134" t="str">
        <f t="shared" si="323"/>
        <v>jenis, sifat, karakter dan teknik pengolahan kerang, kaca, keramik dan botol plastik</v>
      </c>
      <c r="PK36" s="134" t="str">
        <f t="shared" si="324"/>
        <v/>
      </c>
      <c r="PL36" s="134" t="str">
        <f t="shared" si="325"/>
        <v/>
      </c>
      <c r="PM36" s="134" t="str">
        <f t="shared" si="326"/>
        <v/>
      </c>
      <c r="PN36" s="134" t="str">
        <f t="shared" si="327"/>
        <v/>
      </c>
      <c r="PO36" s="134" t="str">
        <f t="shared" si="328"/>
        <v/>
      </c>
      <c r="PP36" s="134" t="str">
        <f t="shared" si="329"/>
        <v/>
      </c>
      <c r="PQ36" s="134" t="str">
        <f t="shared" si="330"/>
        <v/>
      </c>
      <c r="PR36" s="134" t="str">
        <f t="shared" si="331"/>
        <v/>
      </c>
      <c r="PS36" s="134" t="str">
        <f t="shared" si="332"/>
        <v/>
      </c>
      <c r="PT36" s="134" t="str">
        <f t="shared" si="333"/>
        <v/>
      </c>
      <c r="PU36" s="134" t="str">
        <f t="shared" si="334"/>
        <v/>
      </c>
      <c r="PV36" s="134" t="str">
        <f t="shared" si="335"/>
        <v/>
      </c>
      <c r="PW36" s="134" t="str">
        <f t="shared" si="336"/>
        <v/>
      </c>
      <c r="PX36" s="134" t="str">
        <f t="shared" si="337"/>
        <v/>
      </c>
      <c r="PY36" s="134" t="str">
        <f t="shared" si="338"/>
        <v/>
      </c>
      <c r="PZ36" s="134" t="str">
        <f t="shared" si="339"/>
        <v/>
      </c>
      <c r="QA36" s="134" t="str">
        <f t="shared" si="340"/>
        <v/>
      </c>
      <c r="QB36" s="134" t="str">
        <f t="shared" si="341"/>
        <v/>
      </c>
      <c r="QC36" s="134" t="str">
        <f t="shared" si="342"/>
        <v/>
      </c>
      <c r="QD36" s="134" t="str">
        <f>IF(MT36=MW36,"",IF(MV36="","",IF(MV36&gt;=KONVERSI!$A$7,'KI3'!MW36&amp;" dalam"&amp;PJ36&amp;PK36&amp;PL36&amp;PM36&amp;PN36&amp;PO36&amp;PP36&amp;PQ36&amp;PR36&amp;PS36&amp;PT36&amp;PU36&amp;PV36&amp;PW36&amp;PX36&amp;PY36&amp;PZ36&amp;QA36&amp;QB36&amp;QC36,KONVERSI!$C$18&amp;" dalam"&amp;PJ36&amp;PK36&amp;PL36&amp;PM36&amp;PN36&amp;PO36&amp;PP36&amp;PQ36&amp;PR36&amp;PS36&amp;PT36&amp;PU36&amp;PV36&amp;PW36&amp;PX36&amp;PY36&amp;PZ36&amp;QA36&amp;QB36&amp;QC36)))</f>
        <v/>
      </c>
      <c r="QE36" s="134" t="str">
        <f t="shared" si="343"/>
        <v/>
      </c>
      <c r="QF36" s="236">
        <f t="shared" si="172"/>
        <v>1</v>
      </c>
      <c r="QG36" s="134" t="str">
        <f t="shared" si="173"/>
        <v>Baik dalam prinsip perancangan, pembuatan dan penyajian produk kerajinan kerang, kaca, keramik dan botol plastik yang kreatif dan inovati.  </v>
      </c>
    </row>
    <row r="37" ht="27.6" customHeight="1" spans="1:449">
      <c r="A37" s="136"/>
      <c r="B37" s="177">
        <v>29</v>
      </c>
      <c r="C37" s="178">
        <f>siswa!C33</f>
        <v>0</v>
      </c>
      <c r="D37" s="174">
        <f>siswa!D33</f>
        <v>0</v>
      </c>
      <c r="E37" s="250"/>
      <c r="F37" s="250"/>
      <c r="G37" s="248"/>
      <c r="H37" s="176"/>
      <c r="I37" s="176"/>
      <c r="J37" s="250"/>
      <c r="K37" s="176"/>
      <c r="L37" s="223" t="str">
        <f t="shared" si="174"/>
        <v/>
      </c>
      <c r="M37" s="250"/>
      <c r="N37" s="250"/>
      <c r="O37" s="248"/>
      <c r="P37" s="176"/>
      <c r="Q37" s="176"/>
      <c r="R37" s="250"/>
      <c r="S37" s="176"/>
      <c r="T37" s="223" t="str">
        <f t="shared" si="175"/>
        <v/>
      </c>
      <c r="U37" s="248"/>
      <c r="V37" s="248"/>
      <c r="W37" s="248"/>
      <c r="X37" s="176"/>
      <c r="Y37" s="176"/>
      <c r="Z37" s="250"/>
      <c r="AA37" s="176"/>
      <c r="AB37" s="223">
        <f t="shared" si="176"/>
        <v>0</v>
      </c>
      <c r="AC37" s="248"/>
      <c r="AD37" s="248"/>
      <c r="AE37" s="248"/>
      <c r="AF37" s="248"/>
      <c r="AG37" s="176"/>
      <c r="AH37" s="250"/>
      <c r="AI37" s="176"/>
      <c r="AJ37" s="223">
        <f t="shared" si="177"/>
        <v>0</v>
      </c>
      <c r="AK37" s="181"/>
      <c r="AL37" s="176"/>
      <c r="AM37" s="176"/>
      <c r="AN37" s="176"/>
      <c r="AO37" s="176"/>
      <c r="AP37" s="176"/>
      <c r="AQ37" s="176"/>
      <c r="AR37" s="223">
        <f t="shared" si="178"/>
        <v>0</v>
      </c>
      <c r="AS37" s="181"/>
      <c r="AT37" s="176"/>
      <c r="AU37" s="176"/>
      <c r="AV37" s="176"/>
      <c r="AW37" s="176"/>
      <c r="AX37" s="176"/>
      <c r="AY37" s="176"/>
      <c r="AZ37" s="223">
        <f t="shared" si="179"/>
        <v>0</v>
      </c>
      <c r="BA37" s="181"/>
      <c r="BB37" s="176"/>
      <c r="BC37" s="176"/>
      <c r="BD37" s="176"/>
      <c r="BE37" s="176"/>
      <c r="BF37" s="176"/>
      <c r="BG37" s="176"/>
      <c r="BH37" s="223">
        <f t="shared" si="180"/>
        <v>0</v>
      </c>
      <c r="BI37" s="181"/>
      <c r="BJ37" s="176"/>
      <c r="BK37" s="176"/>
      <c r="BL37" s="176"/>
      <c r="BM37" s="176"/>
      <c r="BN37" s="176"/>
      <c r="BO37" s="176"/>
      <c r="BP37" s="223">
        <f t="shared" si="181"/>
        <v>0</v>
      </c>
      <c r="BQ37" s="181"/>
      <c r="BR37" s="176"/>
      <c r="BS37" s="176"/>
      <c r="BT37" s="176"/>
      <c r="BU37" s="176"/>
      <c r="BV37" s="176"/>
      <c r="BW37" s="176"/>
      <c r="BX37" s="223">
        <f t="shared" si="182"/>
        <v>0</v>
      </c>
      <c r="BY37" s="181"/>
      <c r="BZ37" s="176"/>
      <c r="CA37" s="176"/>
      <c r="CB37" s="176"/>
      <c r="CC37" s="176"/>
      <c r="CD37" s="176"/>
      <c r="CE37" s="176"/>
      <c r="CF37" s="223">
        <f t="shared" si="183"/>
        <v>0</v>
      </c>
      <c r="CG37" s="181"/>
      <c r="CH37" s="176"/>
      <c r="CI37" s="176"/>
      <c r="CJ37" s="176"/>
      <c r="CK37" s="176"/>
      <c r="CL37" s="176"/>
      <c r="CM37" s="176"/>
      <c r="CN37" s="223">
        <f t="shared" si="184"/>
        <v>0</v>
      </c>
      <c r="CO37" s="181"/>
      <c r="CP37" s="176"/>
      <c r="CQ37" s="176"/>
      <c r="CR37" s="176"/>
      <c r="CS37" s="176"/>
      <c r="CT37" s="176"/>
      <c r="CU37" s="176"/>
      <c r="CV37" s="223">
        <f t="shared" si="185"/>
        <v>0</v>
      </c>
      <c r="CW37" s="181"/>
      <c r="CX37" s="176"/>
      <c r="CY37" s="176"/>
      <c r="CZ37" s="176"/>
      <c r="DA37" s="176"/>
      <c r="DB37" s="176"/>
      <c r="DC37" s="176"/>
      <c r="DD37" s="223">
        <f t="shared" si="186"/>
        <v>0</v>
      </c>
      <c r="DE37" s="181"/>
      <c r="DF37" s="176"/>
      <c r="DG37" s="176"/>
      <c r="DH37" s="176"/>
      <c r="DI37" s="176"/>
      <c r="DJ37" s="176"/>
      <c r="DK37" s="176"/>
      <c r="DL37" s="223">
        <f t="shared" si="187"/>
        <v>0</v>
      </c>
      <c r="DM37" s="181"/>
      <c r="DN37" s="176"/>
      <c r="DO37" s="176"/>
      <c r="DP37" s="176"/>
      <c r="DQ37" s="176"/>
      <c r="DR37" s="176"/>
      <c r="DS37" s="176"/>
      <c r="DT37" s="223">
        <f t="shared" si="188"/>
        <v>0</v>
      </c>
      <c r="DU37" s="181"/>
      <c r="DV37" s="176"/>
      <c r="DW37" s="176"/>
      <c r="DX37" s="176"/>
      <c r="DY37" s="176"/>
      <c r="DZ37" s="176"/>
      <c r="EA37" s="176"/>
      <c r="EB37" s="223">
        <f t="shared" si="189"/>
        <v>0</v>
      </c>
      <c r="EC37" s="181"/>
      <c r="ED37" s="176"/>
      <c r="EE37" s="176"/>
      <c r="EF37" s="176"/>
      <c r="EG37" s="176"/>
      <c r="EH37" s="176"/>
      <c r="EI37" s="176"/>
      <c r="EJ37" s="223">
        <f t="shared" si="190"/>
        <v>0</v>
      </c>
      <c r="EK37" s="181"/>
      <c r="EL37" s="176"/>
      <c r="EM37" s="176"/>
      <c r="EN37" s="176"/>
      <c r="EO37" s="176"/>
      <c r="EP37" s="176"/>
      <c r="EQ37" s="176"/>
      <c r="ER37" s="223">
        <f t="shared" si="191"/>
        <v>0</v>
      </c>
      <c r="ES37" s="181"/>
      <c r="ET37" s="176"/>
      <c r="EU37" s="176"/>
      <c r="EV37" s="176"/>
      <c r="EW37" s="176"/>
      <c r="EX37" s="176"/>
      <c r="EY37" s="176"/>
      <c r="EZ37" s="223">
        <f t="shared" si="192"/>
        <v>0</v>
      </c>
      <c r="FA37" s="181"/>
      <c r="FB37" s="176"/>
      <c r="FC37" s="176"/>
      <c r="FD37" s="176"/>
      <c r="FE37" s="176"/>
      <c r="FF37" s="176"/>
      <c r="FG37" s="176"/>
      <c r="FH37" s="223">
        <f t="shared" si="193"/>
        <v>0</v>
      </c>
      <c r="FI37" s="291" t="str">
        <f t="shared" si="194"/>
        <v/>
      </c>
      <c r="FJ37" s="250"/>
      <c r="FK37" s="250"/>
      <c r="FL37" s="291" t="str">
        <f t="shared" si="195"/>
        <v/>
      </c>
      <c r="FM37" s="312" t="str">
        <f>IFERROR(IF(FL37="","",IF(FL37&gt;=KONVERSI!$A$5,KONVERSI!$D$5,IF(FL37&gt;=KONVERSI!$A$6,KONVERSI!$D$6,IF(FL37&gt;=KONVERSI!$A$7,KONVERSI!$D$7,KONVERSI!$D$8)))),"")</f>
        <v/>
      </c>
      <c r="FN37" s="232" t="str">
        <f t="shared" si="196"/>
        <v/>
      </c>
      <c r="FO37" s="313"/>
      <c r="FP37" s="314">
        <f t="shared" si="197"/>
        <v>0</v>
      </c>
      <c r="FQ37" s="194" t="str">
        <f t="shared" si="33"/>
        <v/>
      </c>
      <c r="FR37" s="194" t="str">
        <f t="shared" si="34"/>
        <v/>
      </c>
      <c r="FS37" s="194" t="str">
        <f t="shared" si="35"/>
        <v/>
      </c>
      <c r="FT37" s="194" t="str">
        <f t="shared" si="36"/>
        <v/>
      </c>
      <c r="FU37" s="194" t="str">
        <f t="shared" si="37"/>
        <v/>
      </c>
      <c r="FV37" s="194" t="str">
        <f t="shared" si="38"/>
        <v/>
      </c>
      <c r="FW37" s="194" t="str">
        <f t="shared" si="39"/>
        <v/>
      </c>
      <c r="FX37" s="194" t="str">
        <f t="shared" si="344"/>
        <v/>
      </c>
      <c r="FY37" s="194" t="str">
        <f t="shared" si="40"/>
        <v/>
      </c>
      <c r="FZ37" s="194" t="str">
        <f t="shared" si="41"/>
        <v/>
      </c>
      <c r="GA37" s="194" t="str">
        <f t="shared" si="42"/>
        <v/>
      </c>
      <c r="GB37" s="194" t="str">
        <f t="shared" si="43"/>
        <v/>
      </c>
      <c r="GC37" s="194" t="str">
        <f t="shared" si="44"/>
        <v/>
      </c>
      <c r="GD37" s="194" t="str">
        <f t="shared" si="45"/>
        <v/>
      </c>
      <c r="GE37" s="194" t="str">
        <f t="shared" si="46"/>
        <v/>
      </c>
      <c r="GF37" s="194" t="str">
        <f t="shared" si="47"/>
        <v/>
      </c>
      <c r="GG37" s="194" t="str">
        <f t="shared" si="48"/>
        <v/>
      </c>
      <c r="GH37" s="194" t="str">
        <f t="shared" si="49"/>
        <v/>
      </c>
      <c r="GI37" s="194" t="str">
        <f t="shared" si="50"/>
        <v/>
      </c>
      <c r="GJ37" s="194" t="str">
        <f t="shared" si="51"/>
        <v/>
      </c>
      <c r="GK37" s="194" t="str">
        <f t="shared" si="52"/>
        <v/>
      </c>
      <c r="GL37" s="194" t="str">
        <f t="shared" si="53"/>
        <v/>
      </c>
      <c r="GM37" s="194" t="str">
        <f t="shared" si="54"/>
        <v/>
      </c>
      <c r="GN37" s="194" t="str">
        <f t="shared" si="55"/>
        <v/>
      </c>
      <c r="GO37" s="194" t="str">
        <f t="shared" si="56"/>
        <v/>
      </c>
      <c r="GP37" s="194" t="str">
        <f t="shared" si="57"/>
        <v/>
      </c>
      <c r="GQ37" s="194" t="str">
        <f t="shared" si="58"/>
        <v/>
      </c>
      <c r="GR37" s="194" t="str">
        <f t="shared" si="59"/>
        <v/>
      </c>
      <c r="GS37" s="194" t="str">
        <f t="shared" si="60"/>
        <v/>
      </c>
      <c r="GT37" s="194" t="str">
        <f t="shared" si="61"/>
        <v/>
      </c>
      <c r="GU37" s="194" t="str">
        <f t="shared" si="62"/>
        <v/>
      </c>
      <c r="GV37" s="194" t="str">
        <f t="shared" si="63"/>
        <v/>
      </c>
      <c r="GW37" s="194" t="str">
        <f t="shared" si="64"/>
        <v/>
      </c>
      <c r="GX37" s="194" t="str">
        <f t="shared" si="65"/>
        <v/>
      </c>
      <c r="GY37" s="194" t="str">
        <f t="shared" si="66"/>
        <v/>
      </c>
      <c r="GZ37" s="194" t="str">
        <f t="shared" si="67"/>
        <v/>
      </c>
      <c r="HA37" s="194" t="str">
        <f t="shared" si="68"/>
        <v/>
      </c>
      <c r="HB37" s="194" t="str">
        <f t="shared" si="69"/>
        <v/>
      </c>
      <c r="HC37" s="194" t="str">
        <f t="shared" si="70"/>
        <v/>
      </c>
      <c r="HD37" s="194" t="str">
        <f t="shared" si="71"/>
        <v/>
      </c>
      <c r="HE37" s="194" t="str">
        <f t="shared" si="72"/>
        <v/>
      </c>
      <c r="HF37" s="194" t="str">
        <f t="shared" si="73"/>
        <v/>
      </c>
      <c r="HG37" s="194" t="str">
        <f t="shared" si="74"/>
        <v/>
      </c>
      <c r="HH37" s="194" t="str">
        <f t="shared" si="75"/>
        <v/>
      </c>
      <c r="HI37" s="194" t="str">
        <f t="shared" si="76"/>
        <v/>
      </c>
      <c r="HJ37" s="194" t="str">
        <f t="shared" si="77"/>
        <v/>
      </c>
      <c r="HK37" s="194" t="str">
        <f t="shared" si="78"/>
        <v/>
      </c>
      <c r="HL37" s="194" t="str">
        <f t="shared" si="79"/>
        <v/>
      </c>
      <c r="HM37" s="194" t="str">
        <f t="shared" si="80"/>
        <v/>
      </c>
      <c r="HN37" s="194" t="str">
        <f t="shared" si="81"/>
        <v/>
      </c>
      <c r="HO37" s="194" t="str">
        <f t="shared" si="82"/>
        <v/>
      </c>
      <c r="HP37" s="194" t="str">
        <f t="shared" si="83"/>
        <v/>
      </c>
      <c r="HQ37" s="194" t="str">
        <f t="shared" si="84"/>
        <v/>
      </c>
      <c r="HR37" s="194" t="str">
        <f t="shared" si="85"/>
        <v/>
      </c>
      <c r="HS37" s="194" t="str">
        <f t="shared" si="86"/>
        <v/>
      </c>
      <c r="HT37" s="194" t="str">
        <f t="shared" si="87"/>
        <v/>
      </c>
      <c r="HU37" s="194" t="str">
        <f t="shared" si="88"/>
        <v/>
      </c>
      <c r="HV37" s="194" t="str">
        <f t="shared" si="89"/>
        <v/>
      </c>
      <c r="HW37" s="194" t="str">
        <f t="shared" si="90"/>
        <v/>
      </c>
      <c r="HX37" s="194" t="str">
        <f t="shared" si="91"/>
        <v/>
      </c>
      <c r="HY37" s="194" t="str">
        <f t="shared" si="92"/>
        <v/>
      </c>
      <c r="HZ37" s="194" t="str">
        <f t="shared" si="93"/>
        <v/>
      </c>
      <c r="IA37" s="194" t="str">
        <f t="shared" si="94"/>
        <v/>
      </c>
      <c r="IB37" s="194" t="str">
        <f t="shared" si="95"/>
        <v/>
      </c>
      <c r="IC37" s="194" t="str">
        <f t="shared" si="96"/>
        <v/>
      </c>
      <c r="ID37" s="194" t="str">
        <f t="shared" si="97"/>
        <v/>
      </c>
      <c r="IE37" s="194" t="str">
        <f t="shared" si="98"/>
        <v/>
      </c>
      <c r="IF37" s="194" t="str">
        <f t="shared" si="99"/>
        <v/>
      </c>
      <c r="IG37" s="194" t="str">
        <f t="shared" si="100"/>
        <v/>
      </c>
      <c r="IH37" s="194" t="str">
        <f t="shared" si="101"/>
        <v/>
      </c>
      <c r="II37" s="194" t="str">
        <f t="shared" si="102"/>
        <v/>
      </c>
      <c r="IJ37" s="194" t="str">
        <f t="shared" si="103"/>
        <v/>
      </c>
      <c r="IK37" s="194" t="str">
        <f t="shared" si="104"/>
        <v/>
      </c>
      <c r="IL37" s="194" t="str">
        <f t="shared" si="105"/>
        <v/>
      </c>
      <c r="IM37" s="194" t="str">
        <f t="shared" si="106"/>
        <v/>
      </c>
      <c r="IN37" s="194" t="str">
        <f t="shared" si="107"/>
        <v/>
      </c>
      <c r="IO37" s="194" t="str">
        <f t="shared" si="108"/>
        <v/>
      </c>
      <c r="IP37" s="194" t="str">
        <f t="shared" si="109"/>
        <v/>
      </c>
      <c r="IQ37" s="194" t="str">
        <f t="shared" si="110"/>
        <v/>
      </c>
      <c r="IR37" s="194" t="str">
        <f t="shared" si="111"/>
        <v/>
      </c>
      <c r="IS37" s="194" t="str">
        <f t="shared" si="112"/>
        <v/>
      </c>
      <c r="IT37" s="194" t="str">
        <f t="shared" si="113"/>
        <v/>
      </c>
      <c r="IU37" s="194" t="str">
        <f t="shared" si="114"/>
        <v/>
      </c>
      <c r="IV37" s="194" t="str">
        <f t="shared" si="115"/>
        <v/>
      </c>
      <c r="IW37" s="194" t="str">
        <f t="shared" si="116"/>
        <v/>
      </c>
      <c r="IX37" s="194" t="str">
        <f t="shared" si="117"/>
        <v/>
      </c>
      <c r="IY37" s="194" t="str">
        <f t="shared" si="118"/>
        <v/>
      </c>
      <c r="IZ37" s="194" t="str">
        <f t="shared" si="119"/>
        <v/>
      </c>
      <c r="JA37" s="194" t="str">
        <f t="shared" si="120"/>
        <v/>
      </c>
      <c r="JB37" s="194" t="str">
        <f t="shared" si="121"/>
        <v/>
      </c>
      <c r="JC37" s="194" t="str">
        <f t="shared" si="122"/>
        <v/>
      </c>
      <c r="JD37" s="194" t="str">
        <f t="shared" si="123"/>
        <v/>
      </c>
      <c r="JE37" s="194" t="str">
        <f t="shared" si="124"/>
        <v/>
      </c>
      <c r="JF37" s="194" t="str">
        <f t="shared" si="125"/>
        <v/>
      </c>
      <c r="JG37" s="194" t="str">
        <f t="shared" si="126"/>
        <v/>
      </c>
      <c r="JH37" s="194" t="str">
        <f t="shared" si="127"/>
        <v/>
      </c>
      <c r="JI37" s="194" t="str">
        <f t="shared" si="128"/>
        <v/>
      </c>
      <c r="JJ37" s="194" t="str">
        <f t="shared" si="129"/>
        <v/>
      </c>
      <c r="JK37" s="194" t="str">
        <f t="shared" si="130"/>
        <v/>
      </c>
      <c r="JL37" s="194" t="str">
        <f t="shared" si="131"/>
        <v/>
      </c>
      <c r="JM37" s="194" t="str">
        <f t="shared" si="132"/>
        <v/>
      </c>
      <c r="JN37" s="194" t="str">
        <f t="shared" si="133"/>
        <v/>
      </c>
      <c r="JO37" s="194" t="str">
        <f t="shared" si="134"/>
        <v/>
      </c>
      <c r="JP37" s="194" t="str">
        <f t="shared" si="135"/>
        <v/>
      </c>
      <c r="JQ37" s="194" t="str">
        <f t="shared" si="136"/>
        <v/>
      </c>
      <c r="JR37" s="194" t="str">
        <f t="shared" si="137"/>
        <v/>
      </c>
      <c r="JS37" s="194" t="str">
        <f t="shared" si="138"/>
        <v/>
      </c>
      <c r="JT37" s="194" t="str">
        <f t="shared" si="139"/>
        <v/>
      </c>
      <c r="JU37" s="194" t="str">
        <f t="shared" si="140"/>
        <v/>
      </c>
      <c r="JV37" s="194" t="str">
        <f t="shared" si="141"/>
        <v/>
      </c>
      <c r="JW37" s="194" t="str">
        <f t="shared" si="142"/>
        <v/>
      </c>
      <c r="JX37" s="194" t="str">
        <f t="shared" si="143"/>
        <v/>
      </c>
      <c r="JY37" s="194" t="str">
        <f t="shared" si="144"/>
        <v/>
      </c>
      <c r="JZ37" s="194" t="str">
        <f t="shared" si="145"/>
        <v/>
      </c>
      <c r="KA37" s="194" t="str">
        <f t="shared" si="146"/>
        <v/>
      </c>
      <c r="KB37" s="194" t="str">
        <f t="shared" si="147"/>
        <v/>
      </c>
      <c r="KC37" s="194" t="str">
        <f t="shared" si="148"/>
        <v/>
      </c>
      <c r="KD37" s="194" t="str">
        <f t="shared" si="149"/>
        <v/>
      </c>
      <c r="KE37" s="194" t="str">
        <f t="shared" si="150"/>
        <v/>
      </c>
      <c r="KF37" s="194" t="str">
        <f t="shared" si="151"/>
        <v/>
      </c>
      <c r="KG37" s="194">
        <f>SUM(LE37:LX37)/COUNTA(RefKI3KI4!$B$5:$B$24)</f>
        <v>0</v>
      </c>
      <c r="KH37" s="232">
        <f t="shared" si="198"/>
        <v>0</v>
      </c>
      <c r="KI37" s="340" t="str">
        <f t="shared" si="199"/>
        <v>ok</v>
      </c>
      <c r="KJ37" s="340" t="str">
        <f t="shared" si="200"/>
        <v>ok</v>
      </c>
      <c r="KK37" s="340" t="str">
        <f t="shared" si="201"/>
        <v/>
      </c>
      <c r="KL37" s="340" t="str">
        <f t="shared" si="202"/>
        <v/>
      </c>
      <c r="KM37" s="340" t="str">
        <f t="shared" si="203"/>
        <v/>
      </c>
      <c r="KN37" s="340" t="str">
        <f t="shared" si="204"/>
        <v/>
      </c>
      <c r="KO37" s="340" t="str">
        <f t="shared" si="205"/>
        <v/>
      </c>
      <c r="KP37" s="340" t="str">
        <f t="shared" si="206"/>
        <v/>
      </c>
      <c r="KQ37" s="340" t="str">
        <f t="shared" si="207"/>
        <v/>
      </c>
      <c r="KR37" s="340" t="str">
        <f t="shared" si="208"/>
        <v/>
      </c>
      <c r="KS37" s="340" t="str">
        <f t="shared" si="209"/>
        <v/>
      </c>
      <c r="KT37" s="340" t="str">
        <f t="shared" si="210"/>
        <v/>
      </c>
      <c r="KU37" s="340" t="str">
        <f t="shared" si="211"/>
        <v/>
      </c>
      <c r="KV37" s="340" t="str">
        <f t="shared" si="212"/>
        <v/>
      </c>
      <c r="KW37" s="340" t="str">
        <f t="shared" si="213"/>
        <v/>
      </c>
      <c r="KX37" s="340" t="str">
        <f t="shared" si="214"/>
        <v/>
      </c>
      <c r="KY37" s="340" t="str">
        <f t="shared" si="215"/>
        <v/>
      </c>
      <c r="KZ37" s="340" t="str">
        <f t="shared" si="216"/>
        <v/>
      </c>
      <c r="LA37" s="340" t="str">
        <f t="shared" si="217"/>
        <v/>
      </c>
      <c r="LB37" s="340" t="str">
        <f t="shared" si="218"/>
        <v/>
      </c>
      <c r="LC37" s="340">
        <f t="shared" si="219"/>
        <v>0</v>
      </c>
      <c r="LD37" s="228">
        <v>29</v>
      </c>
      <c r="LE37" s="229" t="str">
        <f t="shared" si="220"/>
        <v/>
      </c>
      <c r="LF37" s="229" t="str">
        <f t="shared" si="221"/>
        <v/>
      </c>
      <c r="LG37" s="229" t="str">
        <f t="shared" si="222"/>
        <v/>
      </c>
      <c r="LH37" s="229" t="str">
        <f t="shared" si="223"/>
        <v/>
      </c>
      <c r="LI37" s="229" t="str">
        <f t="shared" si="224"/>
        <v/>
      </c>
      <c r="LJ37" s="229" t="str">
        <f t="shared" si="225"/>
        <v/>
      </c>
      <c r="LK37" s="229" t="str">
        <f t="shared" si="226"/>
        <v/>
      </c>
      <c r="LL37" s="229" t="str">
        <f t="shared" si="227"/>
        <v/>
      </c>
      <c r="LM37" s="229" t="str">
        <f t="shared" si="228"/>
        <v/>
      </c>
      <c r="LN37" s="229" t="str">
        <f t="shared" si="229"/>
        <v/>
      </c>
      <c r="LO37" s="229" t="str">
        <f t="shared" si="230"/>
        <v/>
      </c>
      <c r="LP37" s="229" t="str">
        <f t="shared" si="231"/>
        <v/>
      </c>
      <c r="LQ37" s="229" t="str">
        <f t="shared" si="232"/>
        <v/>
      </c>
      <c r="LR37" s="229" t="str">
        <f t="shared" si="233"/>
        <v/>
      </c>
      <c r="LS37" s="229" t="str">
        <f t="shared" si="234"/>
        <v/>
      </c>
      <c r="LT37" s="229" t="str">
        <f t="shared" si="235"/>
        <v/>
      </c>
      <c r="LU37" s="229" t="str">
        <f t="shared" si="236"/>
        <v/>
      </c>
      <c r="LV37" s="229" t="str">
        <f t="shared" si="237"/>
        <v/>
      </c>
      <c r="LW37" s="229" t="str">
        <f t="shared" si="238"/>
        <v/>
      </c>
      <c r="LX37" s="229" t="str">
        <f t="shared" si="239"/>
        <v/>
      </c>
      <c r="LY37" s="231" t="str">
        <f t="shared" si="240"/>
        <v/>
      </c>
      <c r="LZ37" s="231" t="str">
        <f t="shared" si="241"/>
        <v/>
      </c>
      <c r="MA37" s="231" t="str">
        <f t="shared" si="242"/>
        <v/>
      </c>
      <c r="MB37" s="231" t="str">
        <f t="shared" si="243"/>
        <v/>
      </c>
      <c r="MC37" s="231" t="str">
        <f t="shared" si="244"/>
        <v/>
      </c>
      <c r="MD37" s="231" t="str">
        <f t="shared" si="245"/>
        <v/>
      </c>
      <c r="ME37" s="231" t="str">
        <f t="shared" si="246"/>
        <v/>
      </c>
      <c r="MF37" s="231" t="str">
        <f t="shared" si="247"/>
        <v/>
      </c>
      <c r="MG37" s="231" t="str">
        <f t="shared" si="248"/>
        <v/>
      </c>
      <c r="MH37" s="231" t="str">
        <f t="shared" si="249"/>
        <v/>
      </c>
      <c r="MI37" s="231" t="str">
        <f t="shared" si="250"/>
        <v/>
      </c>
      <c r="MJ37" s="231" t="str">
        <f t="shared" si="251"/>
        <v/>
      </c>
      <c r="MK37" s="231" t="str">
        <f t="shared" si="252"/>
        <v/>
      </c>
      <c r="ML37" s="231" t="str">
        <f t="shared" si="253"/>
        <v/>
      </c>
      <c r="MM37" s="231" t="str">
        <f t="shared" si="254"/>
        <v/>
      </c>
      <c r="MN37" s="231" t="str">
        <f t="shared" si="255"/>
        <v/>
      </c>
      <c r="MO37" s="231" t="str">
        <f t="shared" si="256"/>
        <v/>
      </c>
      <c r="MP37" s="231" t="str">
        <f t="shared" si="257"/>
        <v/>
      </c>
      <c r="MQ37" s="231" t="str">
        <f t="shared" si="258"/>
        <v/>
      </c>
      <c r="MR37" s="231" t="str">
        <f t="shared" si="259"/>
        <v/>
      </c>
      <c r="MS37" s="231" t="str">
        <f t="shared" si="154"/>
        <v/>
      </c>
      <c r="MT37" s="232" t="str">
        <f>IF(MS37="","",IF(MS37&gt;=KONVERSI!$A$5,KONVERSI!$E$5,IF(MS37&gt;=KONVERSI!$A$6,KONVERSI!$E$6,IF(MS37&gt;=KONVERSI!$A$7,KONVERSI!$E$7,KONVERSI!$E$8))))</f>
        <v/>
      </c>
      <c r="MU37" s="233" t="str">
        <f t="shared" si="155"/>
        <v/>
      </c>
      <c r="MV37" s="234" t="str">
        <f t="shared" si="260"/>
        <v/>
      </c>
      <c r="MW37" s="232" t="str">
        <f>IF(MV37="","",IF(MV37&gt;=KONVERSI!$A$5,KONVERSI!$E$5,IF(MV37&gt;=KONVERSI!$A$6,KONVERSI!$E$6,IF(MV37&gt;=KONVERSI!$A$7,KONVERSI!$E$7,KONVERSI!$E$8))))</f>
        <v/>
      </c>
      <c r="MX37" s="134" t="str">
        <f>IF(FI37&lt;$FN$4," "&amp;KONVERSI!$C$18&amp;INDEX($LY$8:$MR$8,MATCH(MV37,LY37:MR37,0))&amp;".",IF(KG37=0,"",IF(MV37&lt;&gt;0,MU37&amp;MW37&amp;".",MU37&amp;".")))</f>
        <v/>
      </c>
      <c r="MY37" s="235" t="str">
        <f t="shared" si="261"/>
        <v/>
      </c>
      <c r="MZ37" s="235" t="str">
        <f t="shared" si="262"/>
        <v/>
      </c>
      <c r="NA37" s="235" t="str">
        <f t="shared" si="263"/>
        <v/>
      </c>
      <c r="NB37" s="235" t="str">
        <f t="shared" si="264"/>
        <v/>
      </c>
      <c r="NC37" s="235" t="str">
        <f t="shared" si="265"/>
        <v/>
      </c>
      <c r="ND37" s="235" t="str">
        <f t="shared" si="266"/>
        <v/>
      </c>
      <c r="NE37" s="235" t="str">
        <f t="shared" si="267"/>
        <v/>
      </c>
      <c r="NF37" s="235" t="str">
        <f t="shared" si="268"/>
        <v/>
      </c>
      <c r="NG37" s="235" t="str">
        <f t="shared" si="269"/>
        <v/>
      </c>
      <c r="NH37" s="235" t="str">
        <f t="shared" si="270"/>
        <v/>
      </c>
      <c r="NI37" s="235" t="str">
        <f t="shared" si="271"/>
        <v/>
      </c>
      <c r="NJ37" s="235" t="str">
        <f t="shared" si="272"/>
        <v/>
      </c>
      <c r="NK37" s="235" t="str">
        <f t="shared" si="273"/>
        <v/>
      </c>
      <c r="NL37" s="235" t="str">
        <f t="shared" si="274"/>
        <v/>
      </c>
      <c r="NM37" s="235" t="str">
        <f t="shared" si="275"/>
        <v/>
      </c>
      <c r="NN37" s="235" t="str">
        <f t="shared" si="276"/>
        <v/>
      </c>
      <c r="NO37" s="235" t="str">
        <f t="shared" si="277"/>
        <v/>
      </c>
      <c r="NP37" s="235" t="str">
        <f t="shared" si="278"/>
        <v/>
      </c>
      <c r="NQ37" s="235" t="str">
        <f t="shared" si="279"/>
        <v/>
      </c>
      <c r="NR37" s="235" t="str">
        <f t="shared" si="280"/>
        <v/>
      </c>
      <c r="NS37" s="134" t="str">
        <f t="shared" si="281"/>
        <v/>
      </c>
      <c r="NT37" s="134" t="str">
        <f t="shared" si="282"/>
        <v/>
      </c>
      <c r="NU37" s="134" t="str">
        <f t="shared" si="283"/>
        <v/>
      </c>
      <c r="NV37" s="134" t="str">
        <f t="shared" si="284"/>
        <v/>
      </c>
      <c r="NW37" s="134" t="str">
        <f t="shared" si="285"/>
        <v/>
      </c>
      <c r="NX37" s="134" t="str">
        <f t="shared" si="286"/>
        <v/>
      </c>
      <c r="NY37" s="134" t="str">
        <f t="shared" si="287"/>
        <v/>
      </c>
      <c r="NZ37" s="134" t="str">
        <f t="shared" si="288"/>
        <v/>
      </c>
      <c r="OA37" s="134" t="str">
        <f t="shared" si="289"/>
        <v/>
      </c>
      <c r="OB37" s="134" t="str">
        <f t="shared" si="290"/>
        <v/>
      </c>
      <c r="OC37" s="134" t="str">
        <f t="shared" si="291"/>
        <v/>
      </c>
      <c r="OD37" s="134" t="str">
        <f t="shared" si="292"/>
        <v/>
      </c>
      <c r="OE37" s="134" t="str">
        <f t="shared" si="293"/>
        <v/>
      </c>
      <c r="OF37" s="134" t="str">
        <f t="shared" si="294"/>
        <v/>
      </c>
      <c r="OG37" s="134" t="str">
        <f t="shared" si="295"/>
        <v/>
      </c>
      <c r="OH37" s="134" t="str">
        <f t="shared" si="296"/>
        <v/>
      </c>
      <c r="OI37" s="134" t="str">
        <f t="shared" si="297"/>
        <v/>
      </c>
      <c r="OJ37" s="134" t="str">
        <f t="shared" si="298"/>
        <v/>
      </c>
      <c r="OK37" s="134" t="str">
        <f t="shared" si="299"/>
        <v/>
      </c>
      <c r="OL37" s="134" t="str">
        <f t="shared" si="300"/>
        <v/>
      </c>
      <c r="OM37" s="134" t="str">
        <f t="shared" si="301"/>
        <v/>
      </c>
      <c r="ON37" s="134" t="str">
        <f t="shared" si="302"/>
        <v>  </v>
      </c>
      <c r="OO37" s="236">
        <f t="shared" si="169"/>
        <v>0</v>
      </c>
      <c r="OP37" s="235" t="str">
        <f t="shared" si="303"/>
        <v/>
      </c>
      <c r="OQ37" s="235" t="str">
        <f t="shared" si="304"/>
        <v/>
      </c>
      <c r="OR37" s="235" t="str">
        <f t="shared" si="305"/>
        <v/>
      </c>
      <c r="OS37" s="235" t="str">
        <f t="shared" si="306"/>
        <v/>
      </c>
      <c r="OT37" s="235" t="str">
        <f t="shared" si="307"/>
        <v/>
      </c>
      <c r="OU37" s="235" t="str">
        <f t="shared" si="308"/>
        <v/>
      </c>
      <c r="OV37" s="235" t="str">
        <f t="shared" si="309"/>
        <v/>
      </c>
      <c r="OW37" s="235" t="str">
        <f t="shared" si="310"/>
        <v/>
      </c>
      <c r="OX37" s="235" t="str">
        <f t="shared" si="311"/>
        <v/>
      </c>
      <c r="OY37" s="235" t="str">
        <f t="shared" si="312"/>
        <v/>
      </c>
      <c r="OZ37" s="235" t="str">
        <f t="shared" si="313"/>
        <v/>
      </c>
      <c r="PA37" s="235" t="str">
        <f t="shared" si="314"/>
        <v/>
      </c>
      <c r="PB37" s="235" t="str">
        <f t="shared" si="315"/>
        <v/>
      </c>
      <c r="PC37" s="235" t="str">
        <f t="shared" si="316"/>
        <v/>
      </c>
      <c r="PD37" s="235" t="str">
        <f t="shared" si="317"/>
        <v/>
      </c>
      <c r="PE37" s="235" t="str">
        <f t="shared" si="318"/>
        <v/>
      </c>
      <c r="PF37" s="235" t="str">
        <f t="shared" si="319"/>
        <v/>
      </c>
      <c r="PG37" s="235" t="str">
        <f t="shared" si="320"/>
        <v/>
      </c>
      <c r="PH37" s="235" t="str">
        <f t="shared" si="321"/>
        <v/>
      </c>
      <c r="PI37" s="235" t="str">
        <f t="shared" si="322"/>
        <v/>
      </c>
      <c r="PJ37" s="134" t="str">
        <f t="shared" si="323"/>
        <v/>
      </c>
      <c r="PK37" s="134" t="str">
        <f t="shared" si="324"/>
        <v/>
      </c>
      <c r="PL37" s="134" t="str">
        <f t="shared" si="325"/>
        <v/>
      </c>
      <c r="PM37" s="134" t="str">
        <f t="shared" si="326"/>
        <v/>
      </c>
      <c r="PN37" s="134" t="str">
        <f t="shared" si="327"/>
        <v/>
      </c>
      <c r="PO37" s="134" t="str">
        <f t="shared" si="328"/>
        <v/>
      </c>
      <c r="PP37" s="134" t="str">
        <f t="shared" si="329"/>
        <v/>
      </c>
      <c r="PQ37" s="134" t="str">
        <f t="shared" si="330"/>
        <v/>
      </c>
      <c r="PR37" s="134" t="str">
        <f t="shared" si="331"/>
        <v/>
      </c>
      <c r="PS37" s="134" t="str">
        <f t="shared" si="332"/>
        <v/>
      </c>
      <c r="PT37" s="134" t="str">
        <f t="shared" si="333"/>
        <v/>
      </c>
      <c r="PU37" s="134" t="str">
        <f t="shared" si="334"/>
        <v/>
      </c>
      <c r="PV37" s="134" t="str">
        <f t="shared" si="335"/>
        <v/>
      </c>
      <c r="PW37" s="134" t="str">
        <f t="shared" si="336"/>
        <v/>
      </c>
      <c r="PX37" s="134" t="str">
        <f t="shared" si="337"/>
        <v/>
      </c>
      <c r="PY37" s="134" t="str">
        <f t="shared" si="338"/>
        <v/>
      </c>
      <c r="PZ37" s="134" t="str">
        <f t="shared" si="339"/>
        <v/>
      </c>
      <c r="QA37" s="134" t="str">
        <f t="shared" si="340"/>
        <v/>
      </c>
      <c r="QB37" s="134" t="str">
        <f t="shared" si="341"/>
        <v/>
      </c>
      <c r="QC37" s="134" t="str">
        <f t="shared" si="342"/>
        <v/>
      </c>
      <c r="QD37" s="134" t="str">
        <f>IF(MT37=MW37,"",IF(MV37="","",IF(MV37&gt;=KONVERSI!$A$7,'KI3'!MW37&amp;" dalam"&amp;PJ37&amp;PK37&amp;PL37&amp;PM37&amp;PN37&amp;PO37&amp;PP37&amp;PQ37&amp;PR37&amp;PS37&amp;PT37&amp;PU37&amp;PV37&amp;PW37&amp;PX37&amp;PY37&amp;PZ37&amp;QA37&amp;QB37&amp;QC37,KONVERSI!$C$18&amp;" dalam"&amp;PJ37&amp;PK37&amp;PL37&amp;PM37&amp;PN37&amp;PO37&amp;PP37&amp;PQ37&amp;PR37&amp;PS37&amp;PT37&amp;PU37&amp;PV37&amp;PW37&amp;PX37&amp;PY37&amp;PZ37&amp;QA37&amp;QB37&amp;QC37)))</f>
        <v/>
      </c>
      <c r="QE37" s="134" t="str">
        <f t="shared" si="343"/>
        <v/>
      </c>
      <c r="QF37" s="236">
        <f t="shared" si="172"/>
        <v>0</v>
      </c>
      <c r="QG37" s="134" t="str">
        <f t="shared" si="173"/>
        <v/>
      </c>
    </row>
    <row r="38" ht="27.6" customHeight="1" spans="1:449">
      <c r="A38" s="136"/>
      <c r="B38" s="177">
        <v>30</v>
      </c>
      <c r="C38" s="178">
        <f>siswa!C34</f>
        <v>0</v>
      </c>
      <c r="D38" s="174">
        <f>siswa!D34</f>
        <v>0</v>
      </c>
      <c r="E38" s="250"/>
      <c r="F38" s="250"/>
      <c r="G38" s="248"/>
      <c r="H38" s="176"/>
      <c r="I38" s="176"/>
      <c r="J38" s="250"/>
      <c r="K38" s="176"/>
      <c r="L38" s="223" t="str">
        <f t="shared" si="174"/>
        <v/>
      </c>
      <c r="M38" s="250"/>
      <c r="N38" s="250"/>
      <c r="O38" s="248"/>
      <c r="P38" s="176"/>
      <c r="Q38" s="176"/>
      <c r="R38" s="250"/>
      <c r="S38" s="176"/>
      <c r="T38" s="223" t="str">
        <f t="shared" si="175"/>
        <v/>
      </c>
      <c r="U38" s="248"/>
      <c r="V38" s="248"/>
      <c r="W38" s="248"/>
      <c r="X38" s="176"/>
      <c r="Y38" s="176"/>
      <c r="Z38" s="250"/>
      <c r="AA38" s="176"/>
      <c r="AB38" s="223">
        <f t="shared" si="176"/>
        <v>0</v>
      </c>
      <c r="AC38" s="248"/>
      <c r="AD38" s="248"/>
      <c r="AE38" s="248"/>
      <c r="AF38" s="248"/>
      <c r="AG38" s="176"/>
      <c r="AH38" s="250"/>
      <c r="AI38" s="176"/>
      <c r="AJ38" s="223">
        <f t="shared" si="177"/>
        <v>0</v>
      </c>
      <c r="AK38" s="181"/>
      <c r="AL38" s="176"/>
      <c r="AM38" s="176"/>
      <c r="AN38" s="176"/>
      <c r="AO38" s="176"/>
      <c r="AP38" s="176"/>
      <c r="AQ38" s="176"/>
      <c r="AR38" s="223">
        <f t="shared" si="178"/>
        <v>0</v>
      </c>
      <c r="AS38" s="181"/>
      <c r="AT38" s="176"/>
      <c r="AU38" s="176"/>
      <c r="AV38" s="176"/>
      <c r="AW38" s="176"/>
      <c r="AX38" s="176"/>
      <c r="AY38" s="176"/>
      <c r="AZ38" s="223">
        <f t="shared" si="179"/>
        <v>0</v>
      </c>
      <c r="BA38" s="181"/>
      <c r="BB38" s="176"/>
      <c r="BC38" s="176"/>
      <c r="BD38" s="176"/>
      <c r="BE38" s="176"/>
      <c r="BF38" s="176"/>
      <c r="BG38" s="176"/>
      <c r="BH38" s="223">
        <f t="shared" si="180"/>
        <v>0</v>
      </c>
      <c r="BI38" s="181"/>
      <c r="BJ38" s="176"/>
      <c r="BK38" s="176"/>
      <c r="BL38" s="176"/>
      <c r="BM38" s="176"/>
      <c r="BN38" s="176"/>
      <c r="BO38" s="176"/>
      <c r="BP38" s="223">
        <f t="shared" si="181"/>
        <v>0</v>
      </c>
      <c r="BQ38" s="181"/>
      <c r="BR38" s="176"/>
      <c r="BS38" s="176"/>
      <c r="BT38" s="176"/>
      <c r="BU38" s="176"/>
      <c r="BV38" s="176"/>
      <c r="BW38" s="176"/>
      <c r="BX38" s="223">
        <f t="shared" si="182"/>
        <v>0</v>
      </c>
      <c r="BY38" s="181"/>
      <c r="BZ38" s="176"/>
      <c r="CA38" s="176"/>
      <c r="CB38" s="176"/>
      <c r="CC38" s="176"/>
      <c r="CD38" s="176"/>
      <c r="CE38" s="176"/>
      <c r="CF38" s="223">
        <f t="shared" si="183"/>
        <v>0</v>
      </c>
      <c r="CG38" s="181"/>
      <c r="CH38" s="176"/>
      <c r="CI38" s="176"/>
      <c r="CJ38" s="176"/>
      <c r="CK38" s="176"/>
      <c r="CL38" s="176"/>
      <c r="CM38" s="176"/>
      <c r="CN38" s="223">
        <f t="shared" si="184"/>
        <v>0</v>
      </c>
      <c r="CO38" s="181"/>
      <c r="CP38" s="176"/>
      <c r="CQ38" s="176"/>
      <c r="CR38" s="176"/>
      <c r="CS38" s="176"/>
      <c r="CT38" s="176"/>
      <c r="CU38" s="176"/>
      <c r="CV38" s="223">
        <f t="shared" si="185"/>
        <v>0</v>
      </c>
      <c r="CW38" s="181"/>
      <c r="CX38" s="176"/>
      <c r="CY38" s="176"/>
      <c r="CZ38" s="176"/>
      <c r="DA38" s="176"/>
      <c r="DB38" s="176"/>
      <c r="DC38" s="176"/>
      <c r="DD38" s="223">
        <f t="shared" si="186"/>
        <v>0</v>
      </c>
      <c r="DE38" s="181"/>
      <c r="DF38" s="176"/>
      <c r="DG38" s="176"/>
      <c r="DH38" s="176"/>
      <c r="DI38" s="176"/>
      <c r="DJ38" s="176"/>
      <c r="DK38" s="176"/>
      <c r="DL38" s="223">
        <f t="shared" si="187"/>
        <v>0</v>
      </c>
      <c r="DM38" s="181"/>
      <c r="DN38" s="176"/>
      <c r="DO38" s="176"/>
      <c r="DP38" s="176"/>
      <c r="DQ38" s="176"/>
      <c r="DR38" s="176"/>
      <c r="DS38" s="176"/>
      <c r="DT38" s="223">
        <f t="shared" si="188"/>
        <v>0</v>
      </c>
      <c r="DU38" s="181"/>
      <c r="DV38" s="176"/>
      <c r="DW38" s="176"/>
      <c r="DX38" s="176"/>
      <c r="DY38" s="176"/>
      <c r="DZ38" s="176"/>
      <c r="EA38" s="176"/>
      <c r="EB38" s="223">
        <f t="shared" si="189"/>
        <v>0</v>
      </c>
      <c r="EC38" s="181"/>
      <c r="ED38" s="176"/>
      <c r="EE38" s="176"/>
      <c r="EF38" s="176"/>
      <c r="EG38" s="176"/>
      <c r="EH38" s="176"/>
      <c r="EI38" s="176"/>
      <c r="EJ38" s="223">
        <f t="shared" si="190"/>
        <v>0</v>
      </c>
      <c r="EK38" s="181"/>
      <c r="EL38" s="176"/>
      <c r="EM38" s="176"/>
      <c r="EN38" s="176"/>
      <c r="EO38" s="176"/>
      <c r="EP38" s="176"/>
      <c r="EQ38" s="176"/>
      <c r="ER38" s="223">
        <f t="shared" si="191"/>
        <v>0</v>
      </c>
      <c r="ES38" s="181"/>
      <c r="ET38" s="176"/>
      <c r="EU38" s="176"/>
      <c r="EV38" s="176"/>
      <c r="EW38" s="176"/>
      <c r="EX38" s="176"/>
      <c r="EY38" s="176"/>
      <c r="EZ38" s="223">
        <f t="shared" si="192"/>
        <v>0</v>
      </c>
      <c r="FA38" s="181"/>
      <c r="FB38" s="176"/>
      <c r="FC38" s="176"/>
      <c r="FD38" s="176"/>
      <c r="FE38" s="176"/>
      <c r="FF38" s="176"/>
      <c r="FG38" s="176"/>
      <c r="FH38" s="223">
        <f t="shared" si="193"/>
        <v>0</v>
      </c>
      <c r="FI38" s="291" t="str">
        <f t="shared" si="194"/>
        <v/>
      </c>
      <c r="FJ38" s="250"/>
      <c r="FK38" s="250"/>
      <c r="FL38" s="291" t="str">
        <f t="shared" si="195"/>
        <v/>
      </c>
      <c r="FM38" s="312" t="str">
        <f>IFERROR(IF(FL38="","",IF(FL38&gt;=KONVERSI!$A$5,KONVERSI!$D$5,IF(FL38&gt;=KONVERSI!$A$6,KONVERSI!$D$6,IF(FL38&gt;=KONVERSI!$A$7,KONVERSI!$D$7,KONVERSI!$D$8)))),"")</f>
        <v/>
      </c>
      <c r="FN38" s="232" t="str">
        <f t="shared" si="196"/>
        <v/>
      </c>
      <c r="FO38" s="313"/>
      <c r="FP38" s="314">
        <f t="shared" si="197"/>
        <v>0</v>
      </c>
      <c r="FQ38" s="194" t="str">
        <f t="shared" si="33"/>
        <v/>
      </c>
      <c r="FR38" s="194" t="str">
        <f t="shared" si="34"/>
        <v/>
      </c>
      <c r="FS38" s="194" t="str">
        <f t="shared" si="35"/>
        <v/>
      </c>
      <c r="FT38" s="194" t="str">
        <f t="shared" si="36"/>
        <v/>
      </c>
      <c r="FU38" s="194" t="str">
        <f t="shared" si="37"/>
        <v/>
      </c>
      <c r="FV38" s="194" t="str">
        <f t="shared" si="38"/>
        <v/>
      </c>
      <c r="FW38" s="194" t="str">
        <f t="shared" si="39"/>
        <v/>
      </c>
      <c r="FX38" s="194" t="str">
        <f t="shared" si="344"/>
        <v/>
      </c>
      <c r="FY38" s="194" t="str">
        <f t="shared" si="40"/>
        <v/>
      </c>
      <c r="FZ38" s="194" t="str">
        <f t="shared" si="41"/>
        <v/>
      </c>
      <c r="GA38" s="194" t="str">
        <f t="shared" si="42"/>
        <v/>
      </c>
      <c r="GB38" s="194" t="str">
        <f t="shared" si="43"/>
        <v/>
      </c>
      <c r="GC38" s="194" t="str">
        <f t="shared" si="44"/>
        <v/>
      </c>
      <c r="GD38" s="194" t="str">
        <f t="shared" si="45"/>
        <v/>
      </c>
      <c r="GE38" s="194" t="str">
        <f t="shared" si="46"/>
        <v/>
      </c>
      <c r="GF38" s="194" t="str">
        <f t="shared" si="47"/>
        <v/>
      </c>
      <c r="GG38" s="194" t="str">
        <f t="shared" si="48"/>
        <v/>
      </c>
      <c r="GH38" s="194" t="str">
        <f t="shared" si="49"/>
        <v/>
      </c>
      <c r="GI38" s="194" t="str">
        <f t="shared" si="50"/>
        <v/>
      </c>
      <c r="GJ38" s="194" t="str">
        <f t="shared" si="51"/>
        <v/>
      </c>
      <c r="GK38" s="194" t="str">
        <f t="shared" si="52"/>
        <v/>
      </c>
      <c r="GL38" s="194" t="str">
        <f t="shared" si="53"/>
        <v/>
      </c>
      <c r="GM38" s="194" t="str">
        <f t="shared" si="54"/>
        <v/>
      </c>
      <c r="GN38" s="194" t="str">
        <f t="shared" si="55"/>
        <v/>
      </c>
      <c r="GO38" s="194" t="str">
        <f t="shared" si="56"/>
        <v/>
      </c>
      <c r="GP38" s="194" t="str">
        <f t="shared" si="57"/>
        <v/>
      </c>
      <c r="GQ38" s="194" t="str">
        <f t="shared" si="58"/>
        <v/>
      </c>
      <c r="GR38" s="194" t="str">
        <f t="shared" si="59"/>
        <v/>
      </c>
      <c r="GS38" s="194" t="str">
        <f t="shared" si="60"/>
        <v/>
      </c>
      <c r="GT38" s="194" t="str">
        <f t="shared" si="61"/>
        <v/>
      </c>
      <c r="GU38" s="194" t="str">
        <f t="shared" si="62"/>
        <v/>
      </c>
      <c r="GV38" s="194" t="str">
        <f t="shared" si="63"/>
        <v/>
      </c>
      <c r="GW38" s="194" t="str">
        <f t="shared" si="64"/>
        <v/>
      </c>
      <c r="GX38" s="194" t="str">
        <f t="shared" si="65"/>
        <v/>
      </c>
      <c r="GY38" s="194" t="str">
        <f t="shared" si="66"/>
        <v/>
      </c>
      <c r="GZ38" s="194" t="str">
        <f t="shared" si="67"/>
        <v/>
      </c>
      <c r="HA38" s="194" t="str">
        <f t="shared" si="68"/>
        <v/>
      </c>
      <c r="HB38" s="194" t="str">
        <f t="shared" si="69"/>
        <v/>
      </c>
      <c r="HC38" s="194" t="str">
        <f t="shared" si="70"/>
        <v/>
      </c>
      <c r="HD38" s="194" t="str">
        <f t="shared" si="71"/>
        <v/>
      </c>
      <c r="HE38" s="194" t="str">
        <f t="shared" si="72"/>
        <v/>
      </c>
      <c r="HF38" s="194" t="str">
        <f t="shared" si="73"/>
        <v/>
      </c>
      <c r="HG38" s="194" t="str">
        <f t="shared" si="74"/>
        <v/>
      </c>
      <c r="HH38" s="194" t="str">
        <f t="shared" si="75"/>
        <v/>
      </c>
      <c r="HI38" s="194" t="str">
        <f t="shared" si="76"/>
        <v/>
      </c>
      <c r="HJ38" s="194" t="str">
        <f t="shared" si="77"/>
        <v/>
      </c>
      <c r="HK38" s="194" t="str">
        <f t="shared" si="78"/>
        <v/>
      </c>
      <c r="HL38" s="194" t="str">
        <f t="shared" si="79"/>
        <v/>
      </c>
      <c r="HM38" s="194" t="str">
        <f t="shared" si="80"/>
        <v/>
      </c>
      <c r="HN38" s="194" t="str">
        <f t="shared" si="81"/>
        <v/>
      </c>
      <c r="HO38" s="194" t="str">
        <f t="shared" si="82"/>
        <v/>
      </c>
      <c r="HP38" s="194" t="str">
        <f t="shared" si="83"/>
        <v/>
      </c>
      <c r="HQ38" s="194" t="str">
        <f t="shared" si="84"/>
        <v/>
      </c>
      <c r="HR38" s="194" t="str">
        <f t="shared" si="85"/>
        <v/>
      </c>
      <c r="HS38" s="194" t="str">
        <f t="shared" si="86"/>
        <v/>
      </c>
      <c r="HT38" s="194" t="str">
        <f t="shared" si="87"/>
        <v/>
      </c>
      <c r="HU38" s="194" t="str">
        <f t="shared" si="88"/>
        <v/>
      </c>
      <c r="HV38" s="194" t="str">
        <f t="shared" si="89"/>
        <v/>
      </c>
      <c r="HW38" s="194" t="str">
        <f t="shared" si="90"/>
        <v/>
      </c>
      <c r="HX38" s="194" t="str">
        <f t="shared" si="91"/>
        <v/>
      </c>
      <c r="HY38" s="194" t="str">
        <f t="shared" si="92"/>
        <v/>
      </c>
      <c r="HZ38" s="194" t="str">
        <f t="shared" si="93"/>
        <v/>
      </c>
      <c r="IA38" s="194" t="str">
        <f t="shared" si="94"/>
        <v/>
      </c>
      <c r="IB38" s="194" t="str">
        <f t="shared" si="95"/>
        <v/>
      </c>
      <c r="IC38" s="194" t="str">
        <f t="shared" si="96"/>
        <v/>
      </c>
      <c r="ID38" s="194" t="str">
        <f t="shared" si="97"/>
        <v/>
      </c>
      <c r="IE38" s="194" t="str">
        <f t="shared" si="98"/>
        <v/>
      </c>
      <c r="IF38" s="194" t="str">
        <f t="shared" si="99"/>
        <v/>
      </c>
      <c r="IG38" s="194" t="str">
        <f t="shared" si="100"/>
        <v/>
      </c>
      <c r="IH38" s="194" t="str">
        <f t="shared" si="101"/>
        <v/>
      </c>
      <c r="II38" s="194" t="str">
        <f t="shared" si="102"/>
        <v/>
      </c>
      <c r="IJ38" s="194" t="str">
        <f t="shared" si="103"/>
        <v/>
      </c>
      <c r="IK38" s="194" t="str">
        <f t="shared" si="104"/>
        <v/>
      </c>
      <c r="IL38" s="194" t="str">
        <f t="shared" si="105"/>
        <v/>
      </c>
      <c r="IM38" s="194" t="str">
        <f t="shared" si="106"/>
        <v/>
      </c>
      <c r="IN38" s="194" t="str">
        <f t="shared" si="107"/>
        <v/>
      </c>
      <c r="IO38" s="194" t="str">
        <f t="shared" si="108"/>
        <v/>
      </c>
      <c r="IP38" s="194" t="str">
        <f t="shared" si="109"/>
        <v/>
      </c>
      <c r="IQ38" s="194" t="str">
        <f t="shared" si="110"/>
        <v/>
      </c>
      <c r="IR38" s="194" t="str">
        <f t="shared" si="111"/>
        <v/>
      </c>
      <c r="IS38" s="194" t="str">
        <f t="shared" si="112"/>
        <v/>
      </c>
      <c r="IT38" s="194" t="str">
        <f t="shared" si="113"/>
        <v/>
      </c>
      <c r="IU38" s="194" t="str">
        <f t="shared" si="114"/>
        <v/>
      </c>
      <c r="IV38" s="194" t="str">
        <f t="shared" si="115"/>
        <v/>
      </c>
      <c r="IW38" s="194" t="str">
        <f t="shared" si="116"/>
        <v/>
      </c>
      <c r="IX38" s="194" t="str">
        <f t="shared" si="117"/>
        <v/>
      </c>
      <c r="IY38" s="194" t="str">
        <f t="shared" si="118"/>
        <v/>
      </c>
      <c r="IZ38" s="194" t="str">
        <f t="shared" si="119"/>
        <v/>
      </c>
      <c r="JA38" s="194" t="str">
        <f t="shared" si="120"/>
        <v/>
      </c>
      <c r="JB38" s="194" t="str">
        <f t="shared" si="121"/>
        <v/>
      </c>
      <c r="JC38" s="194" t="str">
        <f t="shared" si="122"/>
        <v/>
      </c>
      <c r="JD38" s="194" t="str">
        <f t="shared" si="123"/>
        <v/>
      </c>
      <c r="JE38" s="194" t="str">
        <f t="shared" si="124"/>
        <v/>
      </c>
      <c r="JF38" s="194" t="str">
        <f t="shared" si="125"/>
        <v/>
      </c>
      <c r="JG38" s="194" t="str">
        <f t="shared" si="126"/>
        <v/>
      </c>
      <c r="JH38" s="194" t="str">
        <f t="shared" si="127"/>
        <v/>
      </c>
      <c r="JI38" s="194" t="str">
        <f t="shared" si="128"/>
        <v/>
      </c>
      <c r="JJ38" s="194" t="str">
        <f t="shared" si="129"/>
        <v/>
      </c>
      <c r="JK38" s="194" t="str">
        <f t="shared" si="130"/>
        <v/>
      </c>
      <c r="JL38" s="194" t="str">
        <f t="shared" si="131"/>
        <v/>
      </c>
      <c r="JM38" s="194" t="str">
        <f t="shared" si="132"/>
        <v/>
      </c>
      <c r="JN38" s="194" t="str">
        <f t="shared" si="133"/>
        <v/>
      </c>
      <c r="JO38" s="194" t="str">
        <f t="shared" si="134"/>
        <v/>
      </c>
      <c r="JP38" s="194" t="str">
        <f t="shared" si="135"/>
        <v/>
      </c>
      <c r="JQ38" s="194" t="str">
        <f t="shared" si="136"/>
        <v/>
      </c>
      <c r="JR38" s="194" t="str">
        <f t="shared" si="137"/>
        <v/>
      </c>
      <c r="JS38" s="194" t="str">
        <f t="shared" si="138"/>
        <v/>
      </c>
      <c r="JT38" s="194" t="str">
        <f t="shared" si="139"/>
        <v/>
      </c>
      <c r="JU38" s="194" t="str">
        <f t="shared" si="140"/>
        <v/>
      </c>
      <c r="JV38" s="194" t="str">
        <f t="shared" si="141"/>
        <v/>
      </c>
      <c r="JW38" s="194" t="str">
        <f t="shared" si="142"/>
        <v/>
      </c>
      <c r="JX38" s="194" t="str">
        <f t="shared" si="143"/>
        <v/>
      </c>
      <c r="JY38" s="194" t="str">
        <f t="shared" si="144"/>
        <v/>
      </c>
      <c r="JZ38" s="194" t="str">
        <f t="shared" si="145"/>
        <v/>
      </c>
      <c r="KA38" s="194" t="str">
        <f t="shared" si="146"/>
        <v/>
      </c>
      <c r="KB38" s="194" t="str">
        <f t="shared" si="147"/>
        <v/>
      </c>
      <c r="KC38" s="194" t="str">
        <f t="shared" si="148"/>
        <v/>
      </c>
      <c r="KD38" s="194" t="str">
        <f t="shared" si="149"/>
        <v/>
      </c>
      <c r="KE38" s="194" t="str">
        <f t="shared" si="150"/>
        <v/>
      </c>
      <c r="KF38" s="194" t="str">
        <f t="shared" si="151"/>
        <v/>
      </c>
      <c r="KG38" s="194">
        <f>SUM(LE38:LX38)/COUNTA(RefKI3KI4!$B$5:$B$24)</f>
        <v>0</v>
      </c>
      <c r="KH38" s="232">
        <f t="shared" si="198"/>
        <v>0</v>
      </c>
      <c r="KI38" s="340" t="str">
        <f t="shared" si="199"/>
        <v>ok</v>
      </c>
      <c r="KJ38" s="340" t="str">
        <f t="shared" si="200"/>
        <v>ok</v>
      </c>
      <c r="KK38" s="340" t="str">
        <f t="shared" si="201"/>
        <v/>
      </c>
      <c r="KL38" s="340" t="str">
        <f t="shared" si="202"/>
        <v/>
      </c>
      <c r="KM38" s="340" t="str">
        <f t="shared" si="203"/>
        <v/>
      </c>
      <c r="KN38" s="340" t="str">
        <f t="shared" si="204"/>
        <v/>
      </c>
      <c r="KO38" s="340" t="str">
        <f t="shared" si="205"/>
        <v/>
      </c>
      <c r="KP38" s="340" t="str">
        <f t="shared" si="206"/>
        <v/>
      </c>
      <c r="KQ38" s="340" t="str">
        <f t="shared" si="207"/>
        <v/>
      </c>
      <c r="KR38" s="340" t="str">
        <f t="shared" si="208"/>
        <v/>
      </c>
      <c r="KS38" s="340" t="str">
        <f t="shared" si="209"/>
        <v/>
      </c>
      <c r="KT38" s="340" t="str">
        <f t="shared" si="210"/>
        <v/>
      </c>
      <c r="KU38" s="340" t="str">
        <f t="shared" si="211"/>
        <v/>
      </c>
      <c r="KV38" s="340" t="str">
        <f t="shared" si="212"/>
        <v/>
      </c>
      <c r="KW38" s="340" t="str">
        <f t="shared" si="213"/>
        <v/>
      </c>
      <c r="KX38" s="340" t="str">
        <f t="shared" si="214"/>
        <v/>
      </c>
      <c r="KY38" s="340" t="str">
        <f t="shared" si="215"/>
        <v/>
      </c>
      <c r="KZ38" s="340" t="str">
        <f t="shared" si="216"/>
        <v/>
      </c>
      <c r="LA38" s="340" t="str">
        <f t="shared" si="217"/>
        <v/>
      </c>
      <c r="LB38" s="340" t="str">
        <f t="shared" si="218"/>
        <v/>
      </c>
      <c r="LC38" s="340">
        <f t="shared" si="219"/>
        <v>0</v>
      </c>
      <c r="LD38" s="228">
        <v>30</v>
      </c>
      <c r="LE38" s="229" t="str">
        <f t="shared" si="220"/>
        <v/>
      </c>
      <c r="LF38" s="229" t="str">
        <f t="shared" si="221"/>
        <v/>
      </c>
      <c r="LG38" s="229" t="str">
        <f t="shared" si="222"/>
        <v/>
      </c>
      <c r="LH38" s="229" t="str">
        <f t="shared" si="223"/>
        <v/>
      </c>
      <c r="LI38" s="229" t="str">
        <f t="shared" si="224"/>
        <v/>
      </c>
      <c r="LJ38" s="229" t="str">
        <f t="shared" si="225"/>
        <v/>
      </c>
      <c r="LK38" s="229" t="str">
        <f t="shared" si="226"/>
        <v/>
      </c>
      <c r="LL38" s="229" t="str">
        <f t="shared" si="227"/>
        <v/>
      </c>
      <c r="LM38" s="229" t="str">
        <f t="shared" si="228"/>
        <v/>
      </c>
      <c r="LN38" s="229" t="str">
        <f t="shared" si="229"/>
        <v/>
      </c>
      <c r="LO38" s="229" t="str">
        <f t="shared" si="230"/>
        <v/>
      </c>
      <c r="LP38" s="229" t="str">
        <f t="shared" si="231"/>
        <v/>
      </c>
      <c r="LQ38" s="229" t="str">
        <f t="shared" si="232"/>
        <v/>
      </c>
      <c r="LR38" s="229" t="str">
        <f t="shared" si="233"/>
        <v/>
      </c>
      <c r="LS38" s="229" t="str">
        <f t="shared" si="234"/>
        <v/>
      </c>
      <c r="LT38" s="229" t="str">
        <f t="shared" si="235"/>
        <v/>
      </c>
      <c r="LU38" s="229" t="str">
        <f t="shared" si="236"/>
        <v/>
      </c>
      <c r="LV38" s="229" t="str">
        <f t="shared" si="237"/>
        <v/>
      </c>
      <c r="LW38" s="229" t="str">
        <f t="shared" si="238"/>
        <v/>
      </c>
      <c r="LX38" s="229" t="str">
        <f t="shared" si="239"/>
        <v/>
      </c>
      <c r="LY38" s="231" t="str">
        <f t="shared" si="240"/>
        <v/>
      </c>
      <c r="LZ38" s="231" t="str">
        <f t="shared" si="241"/>
        <v/>
      </c>
      <c r="MA38" s="231" t="str">
        <f t="shared" si="242"/>
        <v/>
      </c>
      <c r="MB38" s="231" t="str">
        <f t="shared" si="243"/>
        <v/>
      </c>
      <c r="MC38" s="231" t="str">
        <f t="shared" si="244"/>
        <v/>
      </c>
      <c r="MD38" s="231" t="str">
        <f t="shared" si="245"/>
        <v/>
      </c>
      <c r="ME38" s="231" t="str">
        <f t="shared" si="246"/>
        <v/>
      </c>
      <c r="MF38" s="231" t="str">
        <f t="shared" si="247"/>
        <v/>
      </c>
      <c r="MG38" s="231" t="str">
        <f t="shared" si="248"/>
        <v/>
      </c>
      <c r="MH38" s="231" t="str">
        <f t="shared" si="249"/>
        <v/>
      </c>
      <c r="MI38" s="231" t="str">
        <f t="shared" si="250"/>
        <v/>
      </c>
      <c r="MJ38" s="231" t="str">
        <f t="shared" si="251"/>
        <v/>
      </c>
      <c r="MK38" s="231" t="str">
        <f t="shared" si="252"/>
        <v/>
      </c>
      <c r="ML38" s="231" t="str">
        <f t="shared" si="253"/>
        <v/>
      </c>
      <c r="MM38" s="231" t="str">
        <f t="shared" si="254"/>
        <v/>
      </c>
      <c r="MN38" s="231" t="str">
        <f t="shared" si="255"/>
        <v/>
      </c>
      <c r="MO38" s="231" t="str">
        <f t="shared" si="256"/>
        <v/>
      </c>
      <c r="MP38" s="231" t="str">
        <f t="shared" si="257"/>
        <v/>
      </c>
      <c r="MQ38" s="231" t="str">
        <f t="shared" si="258"/>
        <v/>
      </c>
      <c r="MR38" s="231" t="str">
        <f t="shared" si="259"/>
        <v/>
      </c>
      <c r="MS38" s="231" t="str">
        <f t="shared" si="154"/>
        <v/>
      </c>
      <c r="MT38" s="232" t="str">
        <f>IF(MS38="","",IF(MS38&gt;=KONVERSI!$A$5,KONVERSI!$E$5,IF(MS38&gt;=KONVERSI!$A$6,KONVERSI!$E$6,IF(MS38&gt;=KONVERSI!$A$7,KONVERSI!$E$7,KONVERSI!$E$8))))</f>
        <v/>
      </c>
      <c r="MU38" s="233" t="str">
        <f t="shared" si="155"/>
        <v/>
      </c>
      <c r="MV38" s="234" t="str">
        <f t="shared" si="260"/>
        <v/>
      </c>
      <c r="MW38" s="232" t="str">
        <f>IF(MV38="","",IF(MV38&gt;=KONVERSI!$A$5,KONVERSI!$E$5,IF(MV38&gt;=KONVERSI!$A$6,KONVERSI!$E$6,IF(MV38&gt;=KONVERSI!$A$7,KONVERSI!$E$7,KONVERSI!$E$8))))</f>
        <v/>
      </c>
      <c r="MX38" s="134" t="str">
        <f>IF(FI38&lt;$FN$4," "&amp;KONVERSI!$C$18&amp;INDEX($LY$8:$MR$8,MATCH(MV38,LY38:MR38,0))&amp;".",IF(KG38=0,"",IF(MV38&lt;&gt;0,MU38&amp;MW38&amp;".",MU38&amp;".")))</f>
        <v/>
      </c>
      <c r="MY38" s="235" t="str">
        <f t="shared" si="261"/>
        <v/>
      </c>
      <c r="MZ38" s="235" t="str">
        <f t="shared" si="262"/>
        <v/>
      </c>
      <c r="NA38" s="235" t="str">
        <f t="shared" si="263"/>
        <v/>
      </c>
      <c r="NB38" s="235" t="str">
        <f t="shared" si="264"/>
        <v/>
      </c>
      <c r="NC38" s="235" t="str">
        <f t="shared" si="265"/>
        <v/>
      </c>
      <c r="ND38" s="235" t="str">
        <f t="shared" si="266"/>
        <v/>
      </c>
      <c r="NE38" s="235" t="str">
        <f t="shared" si="267"/>
        <v/>
      </c>
      <c r="NF38" s="235" t="str">
        <f t="shared" si="268"/>
        <v/>
      </c>
      <c r="NG38" s="235" t="str">
        <f t="shared" si="269"/>
        <v/>
      </c>
      <c r="NH38" s="235" t="str">
        <f t="shared" si="270"/>
        <v/>
      </c>
      <c r="NI38" s="235" t="str">
        <f t="shared" si="271"/>
        <v/>
      </c>
      <c r="NJ38" s="235" t="str">
        <f t="shared" si="272"/>
        <v/>
      </c>
      <c r="NK38" s="235" t="str">
        <f t="shared" si="273"/>
        <v/>
      </c>
      <c r="NL38" s="235" t="str">
        <f t="shared" si="274"/>
        <v/>
      </c>
      <c r="NM38" s="235" t="str">
        <f t="shared" si="275"/>
        <v/>
      </c>
      <c r="NN38" s="235" t="str">
        <f t="shared" si="276"/>
        <v/>
      </c>
      <c r="NO38" s="235" t="str">
        <f t="shared" si="277"/>
        <v/>
      </c>
      <c r="NP38" s="235" t="str">
        <f t="shared" si="278"/>
        <v/>
      </c>
      <c r="NQ38" s="235" t="str">
        <f t="shared" si="279"/>
        <v/>
      </c>
      <c r="NR38" s="235" t="str">
        <f t="shared" si="280"/>
        <v/>
      </c>
      <c r="NS38" s="134" t="str">
        <f t="shared" si="281"/>
        <v/>
      </c>
      <c r="NT38" s="134" t="str">
        <f t="shared" si="282"/>
        <v/>
      </c>
      <c r="NU38" s="134" t="str">
        <f t="shared" si="283"/>
        <v/>
      </c>
      <c r="NV38" s="134" t="str">
        <f t="shared" si="284"/>
        <v/>
      </c>
      <c r="NW38" s="134" t="str">
        <f t="shared" si="285"/>
        <v/>
      </c>
      <c r="NX38" s="134" t="str">
        <f t="shared" si="286"/>
        <v/>
      </c>
      <c r="NY38" s="134" t="str">
        <f t="shared" si="287"/>
        <v/>
      </c>
      <c r="NZ38" s="134" t="str">
        <f t="shared" si="288"/>
        <v/>
      </c>
      <c r="OA38" s="134" t="str">
        <f t="shared" si="289"/>
        <v/>
      </c>
      <c r="OB38" s="134" t="str">
        <f t="shared" si="290"/>
        <v/>
      </c>
      <c r="OC38" s="134" t="str">
        <f t="shared" si="291"/>
        <v/>
      </c>
      <c r="OD38" s="134" t="str">
        <f t="shared" si="292"/>
        <v/>
      </c>
      <c r="OE38" s="134" t="str">
        <f t="shared" si="293"/>
        <v/>
      </c>
      <c r="OF38" s="134" t="str">
        <f t="shared" si="294"/>
        <v/>
      </c>
      <c r="OG38" s="134" t="str">
        <f t="shared" si="295"/>
        <v/>
      </c>
      <c r="OH38" s="134" t="str">
        <f t="shared" si="296"/>
        <v/>
      </c>
      <c r="OI38" s="134" t="str">
        <f t="shared" si="297"/>
        <v/>
      </c>
      <c r="OJ38" s="134" t="str">
        <f t="shared" si="298"/>
        <v/>
      </c>
      <c r="OK38" s="134" t="str">
        <f t="shared" si="299"/>
        <v/>
      </c>
      <c r="OL38" s="134" t="str">
        <f t="shared" si="300"/>
        <v/>
      </c>
      <c r="OM38" s="134" t="str">
        <f t="shared" si="301"/>
        <v/>
      </c>
      <c r="ON38" s="134" t="str">
        <f t="shared" si="302"/>
        <v>  </v>
      </c>
      <c r="OO38" s="236">
        <f t="shared" si="169"/>
        <v>0</v>
      </c>
      <c r="OP38" s="235" t="str">
        <f t="shared" si="303"/>
        <v/>
      </c>
      <c r="OQ38" s="235" t="str">
        <f t="shared" si="304"/>
        <v/>
      </c>
      <c r="OR38" s="235" t="str">
        <f t="shared" si="305"/>
        <v/>
      </c>
      <c r="OS38" s="235" t="str">
        <f t="shared" si="306"/>
        <v/>
      </c>
      <c r="OT38" s="235" t="str">
        <f t="shared" si="307"/>
        <v/>
      </c>
      <c r="OU38" s="235" t="str">
        <f t="shared" si="308"/>
        <v/>
      </c>
      <c r="OV38" s="235" t="str">
        <f t="shared" si="309"/>
        <v/>
      </c>
      <c r="OW38" s="235" t="str">
        <f t="shared" si="310"/>
        <v/>
      </c>
      <c r="OX38" s="235" t="str">
        <f t="shared" si="311"/>
        <v/>
      </c>
      <c r="OY38" s="235" t="str">
        <f t="shared" si="312"/>
        <v/>
      </c>
      <c r="OZ38" s="235" t="str">
        <f t="shared" si="313"/>
        <v/>
      </c>
      <c r="PA38" s="235" t="str">
        <f t="shared" si="314"/>
        <v/>
      </c>
      <c r="PB38" s="235" t="str">
        <f t="shared" si="315"/>
        <v/>
      </c>
      <c r="PC38" s="235" t="str">
        <f t="shared" si="316"/>
        <v/>
      </c>
      <c r="PD38" s="235" t="str">
        <f t="shared" si="317"/>
        <v/>
      </c>
      <c r="PE38" s="235" t="str">
        <f t="shared" si="318"/>
        <v/>
      </c>
      <c r="PF38" s="235" t="str">
        <f t="shared" si="319"/>
        <v/>
      </c>
      <c r="PG38" s="235" t="str">
        <f t="shared" si="320"/>
        <v/>
      </c>
      <c r="PH38" s="235" t="str">
        <f t="shared" si="321"/>
        <v/>
      </c>
      <c r="PI38" s="235" t="str">
        <f t="shared" si="322"/>
        <v/>
      </c>
      <c r="PJ38" s="134" t="str">
        <f t="shared" si="323"/>
        <v/>
      </c>
      <c r="PK38" s="134" t="str">
        <f t="shared" si="324"/>
        <v/>
      </c>
      <c r="PL38" s="134" t="str">
        <f t="shared" si="325"/>
        <v/>
      </c>
      <c r="PM38" s="134" t="str">
        <f t="shared" si="326"/>
        <v/>
      </c>
      <c r="PN38" s="134" t="str">
        <f t="shared" si="327"/>
        <v/>
      </c>
      <c r="PO38" s="134" t="str">
        <f t="shared" si="328"/>
        <v/>
      </c>
      <c r="PP38" s="134" t="str">
        <f t="shared" si="329"/>
        <v/>
      </c>
      <c r="PQ38" s="134" t="str">
        <f t="shared" si="330"/>
        <v/>
      </c>
      <c r="PR38" s="134" t="str">
        <f t="shared" si="331"/>
        <v/>
      </c>
      <c r="PS38" s="134" t="str">
        <f t="shared" si="332"/>
        <v/>
      </c>
      <c r="PT38" s="134" t="str">
        <f t="shared" si="333"/>
        <v/>
      </c>
      <c r="PU38" s="134" t="str">
        <f t="shared" si="334"/>
        <v/>
      </c>
      <c r="PV38" s="134" t="str">
        <f t="shared" si="335"/>
        <v/>
      </c>
      <c r="PW38" s="134" t="str">
        <f t="shared" si="336"/>
        <v/>
      </c>
      <c r="PX38" s="134" t="str">
        <f t="shared" si="337"/>
        <v/>
      </c>
      <c r="PY38" s="134" t="str">
        <f t="shared" si="338"/>
        <v/>
      </c>
      <c r="PZ38" s="134" t="str">
        <f t="shared" si="339"/>
        <v/>
      </c>
      <c r="QA38" s="134" t="str">
        <f t="shared" si="340"/>
        <v/>
      </c>
      <c r="QB38" s="134" t="str">
        <f t="shared" si="341"/>
        <v/>
      </c>
      <c r="QC38" s="134" t="str">
        <f t="shared" si="342"/>
        <v/>
      </c>
      <c r="QD38" s="134" t="str">
        <f>IF(MT38=MW38,"",IF(MV38="","",IF(MV38&gt;=KONVERSI!$A$7,'KI3'!MW38&amp;" dalam"&amp;PJ38&amp;PK38&amp;PL38&amp;PM38&amp;PN38&amp;PO38&amp;PP38&amp;PQ38&amp;PR38&amp;PS38&amp;PT38&amp;PU38&amp;PV38&amp;PW38&amp;PX38&amp;PY38&amp;PZ38&amp;QA38&amp;QB38&amp;QC38,KONVERSI!$C$18&amp;" dalam"&amp;PJ38&amp;PK38&amp;PL38&amp;PM38&amp;PN38&amp;PO38&amp;PP38&amp;PQ38&amp;PR38&amp;PS38&amp;PT38&amp;PU38&amp;PV38&amp;PW38&amp;PX38&amp;PY38&amp;PZ38&amp;QA38&amp;QB38&amp;QC38)))</f>
        <v/>
      </c>
      <c r="QE38" s="134" t="str">
        <f t="shared" si="343"/>
        <v/>
      </c>
      <c r="QF38" s="236">
        <f t="shared" si="172"/>
        <v>0</v>
      </c>
      <c r="QG38" s="134" t="str">
        <f t="shared" si="173"/>
        <v/>
      </c>
    </row>
    <row r="39" ht="27.6" customHeight="1" spans="1:449">
      <c r="A39" s="136"/>
      <c r="B39" s="177">
        <v>31</v>
      </c>
      <c r="C39" s="178">
        <f>siswa!C35</f>
        <v>0</v>
      </c>
      <c r="D39" s="174">
        <f>siswa!D35</f>
        <v>0</v>
      </c>
      <c r="E39" s="250"/>
      <c r="F39" s="250"/>
      <c r="G39" s="251"/>
      <c r="H39" s="176"/>
      <c r="I39" s="176"/>
      <c r="J39" s="250"/>
      <c r="K39" s="176"/>
      <c r="L39" s="223" t="str">
        <f t="shared" si="174"/>
        <v/>
      </c>
      <c r="M39" s="250"/>
      <c r="N39" s="250"/>
      <c r="O39" s="251"/>
      <c r="P39" s="176"/>
      <c r="Q39" s="176"/>
      <c r="R39" s="250"/>
      <c r="S39" s="176"/>
      <c r="T39" s="223" t="str">
        <f t="shared" si="175"/>
        <v/>
      </c>
      <c r="U39" s="248"/>
      <c r="V39" s="251"/>
      <c r="W39" s="251"/>
      <c r="X39" s="176"/>
      <c r="Y39" s="176"/>
      <c r="Z39" s="250"/>
      <c r="AA39" s="176"/>
      <c r="AB39" s="223">
        <f t="shared" si="176"/>
        <v>0</v>
      </c>
      <c r="AC39" s="248"/>
      <c r="AD39" s="251"/>
      <c r="AE39" s="251"/>
      <c r="AF39" s="248"/>
      <c r="AG39" s="176"/>
      <c r="AH39" s="250"/>
      <c r="AI39" s="176"/>
      <c r="AJ39" s="223">
        <f t="shared" si="177"/>
        <v>0</v>
      </c>
      <c r="AK39" s="181"/>
      <c r="AL39" s="176"/>
      <c r="AM39" s="176"/>
      <c r="AN39" s="176"/>
      <c r="AO39" s="176"/>
      <c r="AP39" s="176"/>
      <c r="AQ39" s="176"/>
      <c r="AR39" s="223">
        <f t="shared" si="178"/>
        <v>0</v>
      </c>
      <c r="AS39" s="181"/>
      <c r="AT39" s="176"/>
      <c r="AU39" s="176"/>
      <c r="AV39" s="176"/>
      <c r="AW39" s="176"/>
      <c r="AX39" s="176"/>
      <c r="AY39" s="176"/>
      <c r="AZ39" s="223">
        <f t="shared" si="179"/>
        <v>0</v>
      </c>
      <c r="BA39" s="181"/>
      <c r="BB39" s="176"/>
      <c r="BC39" s="176"/>
      <c r="BD39" s="176"/>
      <c r="BE39" s="176"/>
      <c r="BF39" s="176"/>
      <c r="BG39" s="176"/>
      <c r="BH39" s="223">
        <f t="shared" si="180"/>
        <v>0</v>
      </c>
      <c r="BI39" s="181"/>
      <c r="BJ39" s="176"/>
      <c r="BK39" s="176"/>
      <c r="BL39" s="176"/>
      <c r="BM39" s="176"/>
      <c r="BN39" s="176"/>
      <c r="BO39" s="176"/>
      <c r="BP39" s="223">
        <f t="shared" si="181"/>
        <v>0</v>
      </c>
      <c r="BQ39" s="181"/>
      <c r="BR39" s="176"/>
      <c r="BS39" s="176"/>
      <c r="BT39" s="176"/>
      <c r="BU39" s="176"/>
      <c r="BV39" s="176"/>
      <c r="BW39" s="176"/>
      <c r="BX39" s="223">
        <f t="shared" si="182"/>
        <v>0</v>
      </c>
      <c r="BY39" s="181"/>
      <c r="BZ39" s="176"/>
      <c r="CA39" s="176"/>
      <c r="CB39" s="176"/>
      <c r="CC39" s="176"/>
      <c r="CD39" s="176"/>
      <c r="CE39" s="176"/>
      <c r="CF39" s="223">
        <f t="shared" si="183"/>
        <v>0</v>
      </c>
      <c r="CG39" s="181"/>
      <c r="CH39" s="176"/>
      <c r="CI39" s="176"/>
      <c r="CJ39" s="176"/>
      <c r="CK39" s="176"/>
      <c r="CL39" s="176"/>
      <c r="CM39" s="176"/>
      <c r="CN39" s="223">
        <f t="shared" si="184"/>
        <v>0</v>
      </c>
      <c r="CO39" s="181"/>
      <c r="CP39" s="176"/>
      <c r="CQ39" s="176"/>
      <c r="CR39" s="176"/>
      <c r="CS39" s="176"/>
      <c r="CT39" s="176"/>
      <c r="CU39" s="176"/>
      <c r="CV39" s="223">
        <f t="shared" si="185"/>
        <v>0</v>
      </c>
      <c r="CW39" s="181"/>
      <c r="CX39" s="176"/>
      <c r="CY39" s="176"/>
      <c r="CZ39" s="176"/>
      <c r="DA39" s="176"/>
      <c r="DB39" s="176"/>
      <c r="DC39" s="176"/>
      <c r="DD39" s="223">
        <f t="shared" si="186"/>
        <v>0</v>
      </c>
      <c r="DE39" s="181"/>
      <c r="DF39" s="176"/>
      <c r="DG39" s="176"/>
      <c r="DH39" s="176"/>
      <c r="DI39" s="176"/>
      <c r="DJ39" s="176"/>
      <c r="DK39" s="176"/>
      <c r="DL39" s="223">
        <f t="shared" si="187"/>
        <v>0</v>
      </c>
      <c r="DM39" s="181"/>
      <c r="DN39" s="176"/>
      <c r="DO39" s="176"/>
      <c r="DP39" s="176"/>
      <c r="DQ39" s="176"/>
      <c r="DR39" s="176"/>
      <c r="DS39" s="176"/>
      <c r="DT39" s="223">
        <f t="shared" si="188"/>
        <v>0</v>
      </c>
      <c r="DU39" s="181"/>
      <c r="DV39" s="176"/>
      <c r="DW39" s="176"/>
      <c r="DX39" s="176"/>
      <c r="DY39" s="176"/>
      <c r="DZ39" s="176"/>
      <c r="EA39" s="176"/>
      <c r="EB39" s="223">
        <f t="shared" si="189"/>
        <v>0</v>
      </c>
      <c r="EC39" s="181"/>
      <c r="ED39" s="176"/>
      <c r="EE39" s="176"/>
      <c r="EF39" s="176"/>
      <c r="EG39" s="176"/>
      <c r="EH39" s="176"/>
      <c r="EI39" s="176"/>
      <c r="EJ39" s="223">
        <f t="shared" si="190"/>
        <v>0</v>
      </c>
      <c r="EK39" s="181"/>
      <c r="EL39" s="176"/>
      <c r="EM39" s="176"/>
      <c r="EN39" s="176"/>
      <c r="EO39" s="176"/>
      <c r="EP39" s="176"/>
      <c r="EQ39" s="176"/>
      <c r="ER39" s="223">
        <f t="shared" si="191"/>
        <v>0</v>
      </c>
      <c r="ES39" s="181"/>
      <c r="ET39" s="176"/>
      <c r="EU39" s="176"/>
      <c r="EV39" s="176"/>
      <c r="EW39" s="176"/>
      <c r="EX39" s="176"/>
      <c r="EY39" s="176"/>
      <c r="EZ39" s="223">
        <f t="shared" si="192"/>
        <v>0</v>
      </c>
      <c r="FA39" s="181"/>
      <c r="FB39" s="176"/>
      <c r="FC39" s="176"/>
      <c r="FD39" s="176"/>
      <c r="FE39" s="176"/>
      <c r="FF39" s="176"/>
      <c r="FG39" s="176"/>
      <c r="FH39" s="223">
        <f t="shared" si="193"/>
        <v>0</v>
      </c>
      <c r="FI39" s="291" t="str">
        <f t="shared" si="194"/>
        <v/>
      </c>
      <c r="FJ39" s="250"/>
      <c r="FK39" s="250"/>
      <c r="FL39" s="291" t="str">
        <f t="shared" si="195"/>
        <v/>
      </c>
      <c r="FM39" s="312" t="str">
        <f>IFERROR(IF(FL39="","",IF(FL39&gt;=KONVERSI!$A$5,KONVERSI!$D$5,IF(FL39&gt;=KONVERSI!$A$6,KONVERSI!$D$6,IF(FL39&gt;=KONVERSI!$A$7,KONVERSI!$D$7,KONVERSI!$D$8)))),"")</f>
        <v/>
      </c>
      <c r="FN39" s="232" t="str">
        <f t="shared" si="196"/>
        <v/>
      </c>
      <c r="FO39" s="313"/>
      <c r="FP39" s="314">
        <f t="shared" si="197"/>
        <v>0</v>
      </c>
      <c r="FQ39" s="194" t="str">
        <f t="shared" si="33"/>
        <v/>
      </c>
      <c r="FR39" s="194" t="str">
        <f t="shared" si="34"/>
        <v/>
      </c>
      <c r="FS39" s="194" t="str">
        <f t="shared" si="35"/>
        <v/>
      </c>
      <c r="FT39" s="194" t="str">
        <f t="shared" si="36"/>
        <v/>
      </c>
      <c r="FU39" s="194" t="str">
        <f t="shared" si="37"/>
        <v/>
      </c>
      <c r="FV39" s="194" t="str">
        <f t="shared" si="38"/>
        <v/>
      </c>
      <c r="FW39" s="194" t="str">
        <f t="shared" si="39"/>
        <v/>
      </c>
      <c r="FX39" s="194" t="str">
        <f t="shared" si="344"/>
        <v/>
      </c>
      <c r="FY39" s="194" t="str">
        <f t="shared" si="40"/>
        <v/>
      </c>
      <c r="FZ39" s="194" t="str">
        <f t="shared" si="41"/>
        <v/>
      </c>
      <c r="GA39" s="194" t="str">
        <f t="shared" si="42"/>
        <v/>
      </c>
      <c r="GB39" s="194" t="str">
        <f t="shared" si="43"/>
        <v/>
      </c>
      <c r="GC39" s="194" t="str">
        <f t="shared" si="44"/>
        <v/>
      </c>
      <c r="GD39" s="194" t="str">
        <f t="shared" si="45"/>
        <v/>
      </c>
      <c r="GE39" s="194" t="str">
        <f t="shared" si="46"/>
        <v/>
      </c>
      <c r="GF39" s="194" t="str">
        <f t="shared" si="47"/>
        <v/>
      </c>
      <c r="GG39" s="194" t="str">
        <f t="shared" si="48"/>
        <v/>
      </c>
      <c r="GH39" s="194" t="str">
        <f t="shared" si="49"/>
        <v/>
      </c>
      <c r="GI39" s="194" t="str">
        <f t="shared" si="50"/>
        <v/>
      </c>
      <c r="GJ39" s="194" t="str">
        <f t="shared" si="51"/>
        <v/>
      </c>
      <c r="GK39" s="194" t="str">
        <f t="shared" si="52"/>
        <v/>
      </c>
      <c r="GL39" s="194" t="str">
        <f t="shared" si="53"/>
        <v/>
      </c>
      <c r="GM39" s="194" t="str">
        <f t="shared" si="54"/>
        <v/>
      </c>
      <c r="GN39" s="194" t="str">
        <f t="shared" si="55"/>
        <v/>
      </c>
      <c r="GO39" s="194" t="str">
        <f t="shared" si="56"/>
        <v/>
      </c>
      <c r="GP39" s="194" t="str">
        <f t="shared" si="57"/>
        <v/>
      </c>
      <c r="GQ39" s="194" t="str">
        <f t="shared" si="58"/>
        <v/>
      </c>
      <c r="GR39" s="194" t="str">
        <f t="shared" si="59"/>
        <v/>
      </c>
      <c r="GS39" s="194" t="str">
        <f t="shared" si="60"/>
        <v/>
      </c>
      <c r="GT39" s="194" t="str">
        <f t="shared" si="61"/>
        <v/>
      </c>
      <c r="GU39" s="194" t="str">
        <f t="shared" si="62"/>
        <v/>
      </c>
      <c r="GV39" s="194" t="str">
        <f t="shared" si="63"/>
        <v/>
      </c>
      <c r="GW39" s="194" t="str">
        <f t="shared" si="64"/>
        <v/>
      </c>
      <c r="GX39" s="194" t="str">
        <f t="shared" si="65"/>
        <v/>
      </c>
      <c r="GY39" s="194" t="str">
        <f t="shared" si="66"/>
        <v/>
      </c>
      <c r="GZ39" s="194" t="str">
        <f t="shared" si="67"/>
        <v/>
      </c>
      <c r="HA39" s="194" t="str">
        <f t="shared" si="68"/>
        <v/>
      </c>
      <c r="HB39" s="194" t="str">
        <f t="shared" si="69"/>
        <v/>
      </c>
      <c r="HC39" s="194" t="str">
        <f t="shared" si="70"/>
        <v/>
      </c>
      <c r="HD39" s="194" t="str">
        <f t="shared" si="71"/>
        <v/>
      </c>
      <c r="HE39" s="194" t="str">
        <f t="shared" si="72"/>
        <v/>
      </c>
      <c r="HF39" s="194" t="str">
        <f t="shared" si="73"/>
        <v/>
      </c>
      <c r="HG39" s="194" t="str">
        <f t="shared" si="74"/>
        <v/>
      </c>
      <c r="HH39" s="194" t="str">
        <f t="shared" si="75"/>
        <v/>
      </c>
      <c r="HI39" s="194" t="str">
        <f t="shared" si="76"/>
        <v/>
      </c>
      <c r="HJ39" s="194" t="str">
        <f t="shared" si="77"/>
        <v/>
      </c>
      <c r="HK39" s="194" t="str">
        <f t="shared" si="78"/>
        <v/>
      </c>
      <c r="HL39" s="194" t="str">
        <f t="shared" si="79"/>
        <v/>
      </c>
      <c r="HM39" s="194" t="str">
        <f t="shared" si="80"/>
        <v/>
      </c>
      <c r="HN39" s="194" t="str">
        <f t="shared" si="81"/>
        <v/>
      </c>
      <c r="HO39" s="194" t="str">
        <f t="shared" si="82"/>
        <v/>
      </c>
      <c r="HP39" s="194" t="str">
        <f t="shared" si="83"/>
        <v/>
      </c>
      <c r="HQ39" s="194" t="str">
        <f t="shared" si="84"/>
        <v/>
      </c>
      <c r="HR39" s="194" t="str">
        <f t="shared" si="85"/>
        <v/>
      </c>
      <c r="HS39" s="194" t="str">
        <f t="shared" si="86"/>
        <v/>
      </c>
      <c r="HT39" s="194" t="str">
        <f t="shared" si="87"/>
        <v/>
      </c>
      <c r="HU39" s="194" t="str">
        <f t="shared" si="88"/>
        <v/>
      </c>
      <c r="HV39" s="194" t="str">
        <f t="shared" si="89"/>
        <v/>
      </c>
      <c r="HW39" s="194" t="str">
        <f t="shared" si="90"/>
        <v/>
      </c>
      <c r="HX39" s="194" t="str">
        <f t="shared" si="91"/>
        <v/>
      </c>
      <c r="HY39" s="194" t="str">
        <f t="shared" si="92"/>
        <v/>
      </c>
      <c r="HZ39" s="194" t="str">
        <f t="shared" si="93"/>
        <v/>
      </c>
      <c r="IA39" s="194" t="str">
        <f t="shared" si="94"/>
        <v/>
      </c>
      <c r="IB39" s="194" t="str">
        <f t="shared" si="95"/>
        <v/>
      </c>
      <c r="IC39" s="194" t="str">
        <f t="shared" si="96"/>
        <v/>
      </c>
      <c r="ID39" s="194" t="str">
        <f t="shared" si="97"/>
        <v/>
      </c>
      <c r="IE39" s="194" t="str">
        <f t="shared" si="98"/>
        <v/>
      </c>
      <c r="IF39" s="194" t="str">
        <f t="shared" si="99"/>
        <v/>
      </c>
      <c r="IG39" s="194" t="str">
        <f t="shared" si="100"/>
        <v/>
      </c>
      <c r="IH39" s="194" t="str">
        <f t="shared" si="101"/>
        <v/>
      </c>
      <c r="II39" s="194" t="str">
        <f t="shared" si="102"/>
        <v/>
      </c>
      <c r="IJ39" s="194" t="str">
        <f t="shared" si="103"/>
        <v/>
      </c>
      <c r="IK39" s="194" t="str">
        <f t="shared" si="104"/>
        <v/>
      </c>
      <c r="IL39" s="194" t="str">
        <f t="shared" si="105"/>
        <v/>
      </c>
      <c r="IM39" s="194" t="str">
        <f t="shared" si="106"/>
        <v/>
      </c>
      <c r="IN39" s="194" t="str">
        <f t="shared" si="107"/>
        <v/>
      </c>
      <c r="IO39" s="194" t="str">
        <f t="shared" si="108"/>
        <v/>
      </c>
      <c r="IP39" s="194" t="str">
        <f t="shared" si="109"/>
        <v/>
      </c>
      <c r="IQ39" s="194" t="str">
        <f t="shared" si="110"/>
        <v/>
      </c>
      <c r="IR39" s="194" t="str">
        <f t="shared" si="111"/>
        <v/>
      </c>
      <c r="IS39" s="194" t="str">
        <f t="shared" si="112"/>
        <v/>
      </c>
      <c r="IT39" s="194" t="str">
        <f t="shared" si="113"/>
        <v/>
      </c>
      <c r="IU39" s="194" t="str">
        <f t="shared" si="114"/>
        <v/>
      </c>
      <c r="IV39" s="194" t="str">
        <f t="shared" si="115"/>
        <v/>
      </c>
      <c r="IW39" s="194" t="str">
        <f t="shared" si="116"/>
        <v/>
      </c>
      <c r="IX39" s="194" t="str">
        <f t="shared" si="117"/>
        <v/>
      </c>
      <c r="IY39" s="194" t="str">
        <f t="shared" si="118"/>
        <v/>
      </c>
      <c r="IZ39" s="194" t="str">
        <f t="shared" si="119"/>
        <v/>
      </c>
      <c r="JA39" s="194" t="str">
        <f t="shared" si="120"/>
        <v/>
      </c>
      <c r="JB39" s="194" t="str">
        <f t="shared" si="121"/>
        <v/>
      </c>
      <c r="JC39" s="194" t="str">
        <f t="shared" si="122"/>
        <v/>
      </c>
      <c r="JD39" s="194" t="str">
        <f t="shared" si="123"/>
        <v/>
      </c>
      <c r="JE39" s="194" t="str">
        <f t="shared" si="124"/>
        <v/>
      </c>
      <c r="JF39" s="194" t="str">
        <f t="shared" si="125"/>
        <v/>
      </c>
      <c r="JG39" s="194" t="str">
        <f t="shared" si="126"/>
        <v/>
      </c>
      <c r="JH39" s="194" t="str">
        <f t="shared" si="127"/>
        <v/>
      </c>
      <c r="JI39" s="194" t="str">
        <f t="shared" si="128"/>
        <v/>
      </c>
      <c r="JJ39" s="194" t="str">
        <f t="shared" si="129"/>
        <v/>
      </c>
      <c r="JK39" s="194" t="str">
        <f t="shared" si="130"/>
        <v/>
      </c>
      <c r="JL39" s="194" t="str">
        <f t="shared" si="131"/>
        <v/>
      </c>
      <c r="JM39" s="194" t="str">
        <f t="shared" si="132"/>
        <v/>
      </c>
      <c r="JN39" s="194" t="str">
        <f t="shared" si="133"/>
        <v/>
      </c>
      <c r="JO39" s="194" t="str">
        <f t="shared" si="134"/>
        <v/>
      </c>
      <c r="JP39" s="194" t="str">
        <f t="shared" si="135"/>
        <v/>
      </c>
      <c r="JQ39" s="194" t="str">
        <f t="shared" si="136"/>
        <v/>
      </c>
      <c r="JR39" s="194" t="str">
        <f t="shared" si="137"/>
        <v/>
      </c>
      <c r="JS39" s="194" t="str">
        <f t="shared" si="138"/>
        <v/>
      </c>
      <c r="JT39" s="194" t="str">
        <f t="shared" si="139"/>
        <v/>
      </c>
      <c r="JU39" s="194" t="str">
        <f t="shared" si="140"/>
        <v/>
      </c>
      <c r="JV39" s="194" t="str">
        <f t="shared" si="141"/>
        <v/>
      </c>
      <c r="JW39" s="194" t="str">
        <f t="shared" si="142"/>
        <v/>
      </c>
      <c r="JX39" s="194" t="str">
        <f t="shared" si="143"/>
        <v/>
      </c>
      <c r="JY39" s="194" t="str">
        <f t="shared" si="144"/>
        <v/>
      </c>
      <c r="JZ39" s="194" t="str">
        <f t="shared" si="145"/>
        <v/>
      </c>
      <c r="KA39" s="194" t="str">
        <f t="shared" si="146"/>
        <v/>
      </c>
      <c r="KB39" s="194" t="str">
        <f t="shared" si="147"/>
        <v/>
      </c>
      <c r="KC39" s="194" t="str">
        <f t="shared" si="148"/>
        <v/>
      </c>
      <c r="KD39" s="194" t="str">
        <f t="shared" si="149"/>
        <v/>
      </c>
      <c r="KE39" s="194" t="str">
        <f t="shared" si="150"/>
        <v/>
      </c>
      <c r="KF39" s="194" t="str">
        <f t="shared" si="151"/>
        <v/>
      </c>
      <c r="KG39" s="194">
        <f>SUM(LE39:LX39)/COUNTA(RefKI3KI4!$B$5:$B$24)</f>
        <v>0</v>
      </c>
      <c r="KH39" s="232">
        <f t="shared" si="198"/>
        <v>0</v>
      </c>
      <c r="KI39" s="340" t="str">
        <f t="shared" si="199"/>
        <v>ok</v>
      </c>
      <c r="KJ39" s="340" t="str">
        <f t="shared" si="200"/>
        <v>ok</v>
      </c>
      <c r="KK39" s="340" t="str">
        <f t="shared" si="201"/>
        <v/>
      </c>
      <c r="KL39" s="340" t="str">
        <f t="shared" si="202"/>
        <v/>
      </c>
      <c r="KM39" s="340" t="str">
        <f t="shared" si="203"/>
        <v/>
      </c>
      <c r="KN39" s="340" t="str">
        <f t="shared" si="204"/>
        <v/>
      </c>
      <c r="KO39" s="340" t="str">
        <f t="shared" si="205"/>
        <v/>
      </c>
      <c r="KP39" s="340" t="str">
        <f t="shared" si="206"/>
        <v/>
      </c>
      <c r="KQ39" s="340" t="str">
        <f t="shared" si="207"/>
        <v/>
      </c>
      <c r="KR39" s="340" t="str">
        <f t="shared" si="208"/>
        <v/>
      </c>
      <c r="KS39" s="340" t="str">
        <f t="shared" si="209"/>
        <v/>
      </c>
      <c r="KT39" s="340" t="str">
        <f t="shared" si="210"/>
        <v/>
      </c>
      <c r="KU39" s="340" t="str">
        <f t="shared" si="211"/>
        <v/>
      </c>
      <c r="KV39" s="340" t="str">
        <f t="shared" si="212"/>
        <v/>
      </c>
      <c r="KW39" s="340" t="str">
        <f t="shared" si="213"/>
        <v/>
      </c>
      <c r="KX39" s="340" t="str">
        <f t="shared" si="214"/>
        <v/>
      </c>
      <c r="KY39" s="340" t="str">
        <f t="shared" si="215"/>
        <v/>
      </c>
      <c r="KZ39" s="340" t="str">
        <f t="shared" si="216"/>
        <v/>
      </c>
      <c r="LA39" s="340" t="str">
        <f t="shared" si="217"/>
        <v/>
      </c>
      <c r="LB39" s="340" t="str">
        <f t="shared" si="218"/>
        <v/>
      </c>
      <c r="LC39" s="340">
        <f t="shared" si="219"/>
        <v>0</v>
      </c>
      <c r="LD39" s="228">
        <v>31</v>
      </c>
      <c r="LE39" s="229" t="str">
        <f t="shared" si="220"/>
        <v/>
      </c>
      <c r="LF39" s="229" t="str">
        <f t="shared" si="221"/>
        <v/>
      </c>
      <c r="LG39" s="229" t="str">
        <f t="shared" si="222"/>
        <v/>
      </c>
      <c r="LH39" s="229" t="str">
        <f t="shared" si="223"/>
        <v/>
      </c>
      <c r="LI39" s="229" t="str">
        <f t="shared" si="224"/>
        <v/>
      </c>
      <c r="LJ39" s="229" t="str">
        <f t="shared" si="225"/>
        <v/>
      </c>
      <c r="LK39" s="229" t="str">
        <f t="shared" si="226"/>
        <v/>
      </c>
      <c r="LL39" s="229" t="str">
        <f t="shared" si="227"/>
        <v/>
      </c>
      <c r="LM39" s="229" t="str">
        <f t="shared" si="228"/>
        <v/>
      </c>
      <c r="LN39" s="229" t="str">
        <f t="shared" si="229"/>
        <v/>
      </c>
      <c r="LO39" s="229" t="str">
        <f t="shared" si="230"/>
        <v/>
      </c>
      <c r="LP39" s="229" t="str">
        <f t="shared" si="231"/>
        <v/>
      </c>
      <c r="LQ39" s="229" t="str">
        <f t="shared" si="232"/>
        <v/>
      </c>
      <c r="LR39" s="229" t="str">
        <f t="shared" si="233"/>
        <v/>
      </c>
      <c r="LS39" s="229" t="str">
        <f t="shared" si="234"/>
        <v/>
      </c>
      <c r="LT39" s="229" t="str">
        <f t="shared" si="235"/>
        <v/>
      </c>
      <c r="LU39" s="229" t="str">
        <f t="shared" si="236"/>
        <v/>
      </c>
      <c r="LV39" s="229" t="str">
        <f t="shared" si="237"/>
        <v/>
      </c>
      <c r="LW39" s="229" t="str">
        <f t="shared" si="238"/>
        <v/>
      </c>
      <c r="LX39" s="229" t="str">
        <f t="shared" si="239"/>
        <v/>
      </c>
      <c r="LY39" s="231" t="str">
        <f t="shared" si="240"/>
        <v/>
      </c>
      <c r="LZ39" s="231" t="str">
        <f t="shared" si="241"/>
        <v/>
      </c>
      <c r="MA39" s="231" t="str">
        <f t="shared" si="242"/>
        <v/>
      </c>
      <c r="MB39" s="231" t="str">
        <f t="shared" si="243"/>
        <v/>
      </c>
      <c r="MC39" s="231" t="str">
        <f t="shared" si="244"/>
        <v/>
      </c>
      <c r="MD39" s="231" t="str">
        <f t="shared" si="245"/>
        <v/>
      </c>
      <c r="ME39" s="231" t="str">
        <f t="shared" si="246"/>
        <v/>
      </c>
      <c r="MF39" s="231" t="str">
        <f t="shared" si="247"/>
        <v/>
      </c>
      <c r="MG39" s="231" t="str">
        <f t="shared" si="248"/>
        <v/>
      </c>
      <c r="MH39" s="231" t="str">
        <f t="shared" si="249"/>
        <v/>
      </c>
      <c r="MI39" s="231" t="str">
        <f t="shared" si="250"/>
        <v/>
      </c>
      <c r="MJ39" s="231" t="str">
        <f t="shared" si="251"/>
        <v/>
      </c>
      <c r="MK39" s="231" t="str">
        <f t="shared" si="252"/>
        <v/>
      </c>
      <c r="ML39" s="231" t="str">
        <f t="shared" si="253"/>
        <v/>
      </c>
      <c r="MM39" s="231" t="str">
        <f t="shared" si="254"/>
        <v/>
      </c>
      <c r="MN39" s="231" t="str">
        <f t="shared" si="255"/>
        <v/>
      </c>
      <c r="MO39" s="231" t="str">
        <f t="shared" si="256"/>
        <v/>
      </c>
      <c r="MP39" s="231" t="str">
        <f t="shared" si="257"/>
        <v/>
      </c>
      <c r="MQ39" s="231" t="str">
        <f t="shared" si="258"/>
        <v/>
      </c>
      <c r="MR39" s="231" t="str">
        <f t="shared" si="259"/>
        <v/>
      </c>
      <c r="MS39" s="231" t="str">
        <f t="shared" si="154"/>
        <v/>
      </c>
      <c r="MT39" s="232" t="str">
        <f>IF(MS39="","",IF(MS39&gt;=KONVERSI!$A$5,KONVERSI!$E$5,IF(MS39&gt;=KONVERSI!$A$6,KONVERSI!$E$6,IF(MS39&gt;=KONVERSI!$A$7,KONVERSI!$E$7,KONVERSI!$E$8))))</f>
        <v/>
      </c>
      <c r="MU39" s="233" t="str">
        <f t="shared" si="155"/>
        <v/>
      </c>
      <c r="MV39" s="234" t="str">
        <f t="shared" si="260"/>
        <v/>
      </c>
      <c r="MW39" s="232" t="str">
        <f>IF(MV39="","",IF(MV39&gt;=KONVERSI!$A$5,KONVERSI!$E$5,IF(MV39&gt;=KONVERSI!$A$6,KONVERSI!$E$6,IF(MV39&gt;=KONVERSI!$A$7,KONVERSI!$E$7,KONVERSI!$E$8))))</f>
        <v/>
      </c>
      <c r="MX39" s="134" t="str">
        <f>IF(FI39&lt;$FN$4," "&amp;KONVERSI!$C$18&amp;INDEX($LY$8:$MR$8,MATCH(MV39,LY39:MR39,0))&amp;".",IF(KG39=0,"",IF(MV39&lt;&gt;0,MU39&amp;MW39&amp;".",MU39&amp;".")))</f>
        <v/>
      </c>
      <c r="MY39" s="235" t="str">
        <f t="shared" si="261"/>
        <v/>
      </c>
      <c r="MZ39" s="235" t="str">
        <f t="shared" si="262"/>
        <v/>
      </c>
      <c r="NA39" s="235" t="str">
        <f t="shared" si="263"/>
        <v/>
      </c>
      <c r="NB39" s="235" t="str">
        <f t="shared" si="264"/>
        <v/>
      </c>
      <c r="NC39" s="235" t="str">
        <f t="shared" si="265"/>
        <v/>
      </c>
      <c r="ND39" s="235" t="str">
        <f t="shared" si="266"/>
        <v/>
      </c>
      <c r="NE39" s="235" t="str">
        <f t="shared" si="267"/>
        <v/>
      </c>
      <c r="NF39" s="235" t="str">
        <f t="shared" si="268"/>
        <v/>
      </c>
      <c r="NG39" s="235" t="str">
        <f t="shared" si="269"/>
        <v/>
      </c>
      <c r="NH39" s="235" t="str">
        <f t="shared" si="270"/>
        <v/>
      </c>
      <c r="NI39" s="235" t="str">
        <f t="shared" si="271"/>
        <v/>
      </c>
      <c r="NJ39" s="235" t="str">
        <f t="shared" si="272"/>
        <v/>
      </c>
      <c r="NK39" s="235" t="str">
        <f t="shared" si="273"/>
        <v/>
      </c>
      <c r="NL39" s="235" t="str">
        <f t="shared" si="274"/>
        <v/>
      </c>
      <c r="NM39" s="235" t="str">
        <f t="shared" si="275"/>
        <v/>
      </c>
      <c r="NN39" s="235" t="str">
        <f t="shared" si="276"/>
        <v/>
      </c>
      <c r="NO39" s="235" t="str">
        <f t="shared" si="277"/>
        <v/>
      </c>
      <c r="NP39" s="235" t="str">
        <f t="shared" si="278"/>
        <v/>
      </c>
      <c r="NQ39" s="235" t="str">
        <f t="shared" si="279"/>
        <v/>
      </c>
      <c r="NR39" s="235" t="str">
        <f t="shared" si="280"/>
        <v/>
      </c>
      <c r="NS39" s="134" t="str">
        <f t="shared" si="281"/>
        <v/>
      </c>
      <c r="NT39" s="134" t="str">
        <f t="shared" si="282"/>
        <v/>
      </c>
      <c r="NU39" s="134" t="str">
        <f t="shared" si="283"/>
        <v/>
      </c>
      <c r="NV39" s="134" t="str">
        <f t="shared" si="284"/>
        <v/>
      </c>
      <c r="NW39" s="134" t="str">
        <f t="shared" si="285"/>
        <v/>
      </c>
      <c r="NX39" s="134" t="str">
        <f t="shared" si="286"/>
        <v/>
      </c>
      <c r="NY39" s="134" t="str">
        <f t="shared" si="287"/>
        <v/>
      </c>
      <c r="NZ39" s="134" t="str">
        <f t="shared" si="288"/>
        <v/>
      </c>
      <c r="OA39" s="134" t="str">
        <f t="shared" si="289"/>
        <v/>
      </c>
      <c r="OB39" s="134" t="str">
        <f t="shared" si="290"/>
        <v/>
      </c>
      <c r="OC39" s="134" t="str">
        <f t="shared" si="291"/>
        <v/>
      </c>
      <c r="OD39" s="134" t="str">
        <f t="shared" si="292"/>
        <v/>
      </c>
      <c r="OE39" s="134" t="str">
        <f t="shared" si="293"/>
        <v/>
      </c>
      <c r="OF39" s="134" t="str">
        <f t="shared" si="294"/>
        <v/>
      </c>
      <c r="OG39" s="134" t="str">
        <f t="shared" si="295"/>
        <v/>
      </c>
      <c r="OH39" s="134" t="str">
        <f t="shared" si="296"/>
        <v/>
      </c>
      <c r="OI39" s="134" t="str">
        <f t="shared" si="297"/>
        <v/>
      </c>
      <c r="OJ39" s="134" t="str">
        <f t="shared" si="298"/>
        <v/>
      </c>
      <c r="OK39" s="134" t="str">
        <f t="shared" si="299"/>
        <v/>
      </c>
      <c r="OL39" s="134" t="str">
        <f t="shared" si="300"/>
        <v/>
      </c>
      <c r="OM39" s="134" t="str">
        <f t="shared" si="301"/>
        <v/>
      </c>
      <c r="ON39" s="134" t="str">
        <f t="shared" si="302"/>
        <v>  </v>
      </c>
      <c r="OO39" s="236">
        <f t="shared" si="169"/>
        <v>0</v>
      </c>
      <c r="OP39" s="235" t="str">
        <f t="shared" si="303"/>
        <v/>
      </c>
      <c r="OQ39" s="235" t="str">
        <f t="shared" si="304"/>
        <v/>
      </c>
      <c r="OR39" s="235" t="str">
        <f t="shared" si="305"/>
        <v/>
      </c>
      <c r="OS39" s="235" t="str">
        <f t="shared" si="306"/>
        <v/>
      </c>
      <c r="OT39" s="235" t="str">
        <f t="shared" si="307"/>
        <v/>
      </c>
      <c r="OU39" s="235" t="str">
        <f t="shared" si="308"/>
        <v/>
      </c>
      <c r="OV39" s="235" t="str">
        <f t="shared" si="309"/>
        <v/>
      </c>
      <c r="OW39" s="235" t="str">
        <f t="shared" si="310"/>
        <v/>
      </c>
      <c r="OX39" s="235" t="str">
        <f t="shared" si="311"/>
        <v/>
      </c>
      <c r="OY39" s="235" t="str">
        <f t="shared" si="312"/>
        <v/>
      </c>
      <c r="OZ39" s="235" t="str">
        <f t="shared" si="313"/>
        <v/>
      </c>
      <c r="PA39" s="235" t="str">
        <f t="shared" si="314"/>
        <v/>
      </c>
      <c r="PB39" s="235" t="str">
        <f t="shared" si="315"/>
        <v/>
      </c>
      <c r="PC39" s="235" t="str">
        <f t="shared" si="316"/>
        <v/>
      </c>
      <c r="PD39" s="235" t="str">
        <f t="shared" si="317"/>
        <v/>
      </c>
      <c r="PE39" s="235" t="str">
        <f t="shared" si="318"/>
        <v/>
      </c>
      <c r="PF39" s="235" t="str">
        <f t="shared" si="319"/>
        <v/>
      </c>
      <c r="PG39" s="235" t="str">
        <f t="shared" si="320"/>
        <v/>
      </c>
      <c r="PH39" s="235" t="str">
        <f t="shared" si="321"/>
        <v/>
      </c>
      <c r="PI39" s="235" t="str">
        <f t="shared" si="322"/>
        <v/>
      </c>
      <c r="PJ39" s="134" t="str">
        <f t="shared" si="323"/>
        <v/>
      </c>
      <c r="PK39" s="134" t="str">
        <f t="shared" si="324"/>
        <v/>
      </c>
      <c r="PL39" s="134" t="str">
        <f t="shared" si="325"/>
        <v/>
      </c>
      <c r="PM39" s="134" t="str">
        <f t="shared" si="326"/>
        <v/>
      </c>
      <c r="PN39" s="134" t="str">
        <f t="shared" si="327"/>
        <v/>
      </c>
      <c r="PO39" s="134" t="str">
        <f t="shared" si="328"/>
        <v/>
      </c>
      <c r="PP39" s="134" t="str">
        <f t="shared" si="329"/>
        <v/>
      </c>
      <c r="PQ39" s="134" t="str">
        <f t="shared" si="330"/>
        <v/>
      </c>
      <c r="PR39" s="134" t="str">
        <f t="shared" si="331"/>
        <v/>
      </c>
      <c r="PS39" s="134" t="str">
        <f t="shared" si="332"/>
        <v/>
      </c>
      <c r="PT39" s="134" t="str">
        <f t="shared" si="333"/>
        <v/>
      </c>
      <c r="PU39" s="134" t="str">
        <f t="shared" si="334"/>
        <v/>
      </c>
      <c r="PV39" s="134" t="str">
        <f t="shared" si="335"/>
        <v/>
      </c>
      <c r="PW39" s="134" t="str">
        <f t="shared" si="336"/>
        <v/>
      </c>
      <c r="PX39" s="134" t="str">
        <f t="shared" si="337"/>
        <v/>
      </c>
      <c r="PY39" s="134" t="str">
        <f t="shared" si="338"/>
        <v/>
      </c>
      <c r="PZ39" s="134" t="str">
        <f t="shared" si="339"/>
        <v/>
      </c>
      <c r="QA39" s="134" t="str">
        <f t="shared" si="340"/>
        <v/>
      </c>
      <c r="QB39" s="134" t="str">
        <f t="shared" si="341"/>
        <v/>
      </c>
      <c r="QC39" s="134" t="str">
        <f t="shared" si="342"/>
        <v/>
      </c>
      <c r="QD39" s="134" t="str">
        <f>IF(MT39=MW39,"",IF(MV39="","",IF(MV39&gt;=KONVERSI!$A$7,'KI3'!MW39&amp;" dalam"&amp;PJ39&amp;PK39&amp;PL39&amp;PM39&amp;PN39&amp;PO39&amp;PP39&amp;PQ39&amp;PR39&amp;PS39&amp;PT39&amp;PU39&amp;PV39&amp;PW39&amp;PX39&amp;PY39&amp;PZ39&amp;QA39&amp;QB39&amp;QC39,KONVERSI!$C$18&amp;" dalam"&amp;PJ39&amp;PK39&amp;PL39&amp;PM39&amp;PN39&amp;PO39&amp;PP39&amp;PQ39&amp;PR39&amp;PS39&amp;PT39&amp;PU39&amp;PV39&amp;PW39&amp;PX39&amp;PY39&amp;PZ39&amp;QA39&amp;QB39&amp;QC39)))</f>
        <v/>
      </c>
      <c r="QE39" s="134" t="str">
        <f t="shared" si="343"/>
        <v/>
      </c>
      <c r="QF39" s="236">
        <f t="shared" si="172"/>
        <v>0</v>
      </c>
      <c r="QG39" s="134" t="str">
        <f t="shared" si="173"/>
        <v/>
      </c>
    </row>
    <row r="40" ht="27.6" customHeight="1" spans="1:449">
      <c r="A40" s="136"/>
      <c r="B40" s="177">
        <v>32</v>
      </c>
      <c r="C40" s="178">
        <f>siswa!C36</f>
        <v>0</v>
      </c>
      <c r="D40" s="174">
        <f>siswa!D36</f>
        <v>0</v>
      </c>
      <c r="E40" s="181"/>
      <c r="F40" s="176"/>
      <c r="G40" s="176"/>
      <c r="H40" s="176"/>
      <c r="I40" s="176"/>
      <c r="J40" s="176"/>
      <c r="K40" s="176"/>
      <c r="L40" s="223" t="str">
        <f t="shared" si="174"/>
        <v/>
      </c>
      <c r="M40" s="181"/>
      <c r="N40" s="176"/>
      <c r="O40" s="176"/>
      <c r="P40" s="176"/>
      <c r="Q40" s="176"/>
      <c r="R40" s="176"/>
      <c r="S40" s="176"/>
      <c r="T40" s="223" t="str">
        <f t="shared" si="175"/>
        <v/>
      </c>
      <c r="U40" s="181"/>
      <c r="V40" s="176"/>
      <c r="W40" s="176"/>
      <c r="X40" s="176"/>
      <c r="Y40" s="176"/>
      <c r="Z40" s="176"/>
      <c r="AA40" s="176"/>
      <c r="AB40" s="223">
        <f t="shared" si="176"/>
        <v>0</v>
      </c>
      <c r="AC40" s="181"/>
      <c r="AD40" s="176"/>
      <c r="AE40" s="176"/>
      <c r="AF40" s="248"/>
      <c r="AG40" s="176"/>
      <c r="AH40" s="176"/>
      <c r="AI40" s="176"/>
      <c r="AJ40" s="223">
        <f t="shared" si="177"/>
        <v>0</v>
      </c>
      <c r="AK40" s="181"/>
      <c r="AL40" s="176"/>
      <c r="AM40" s="176"/>
      <c r="AN40" s="176"/>
      <c r="AO40" s="176"/>
      <c r="AP40" s="176"/>
      <c r="AQ40" s="176"/>
      <c r="AR40" s="223">
        <f t="shared" si="178"/>
        <v>0</v>
      </c>
      <c r="AS40" s="181"/>
      <c r="AT40" s="176"/>
      <c r="AU40" s="176"/>
      <c r="AV40" s="176"/>
      <c r="AW40" s="176"/>
      <c r="AX40" s="176"/>
      <c r="AY40" s="176"/>
      <c r="AZ40" s="223">
        <f t="shared" si="179"/>
        <v>0</v>
      </c>
      <c r="BA40" s="181"/>
      <c r="BB40" s="176"/>
      <c r="BC40" s="176"/>
      <c r="BD40" s="176"/>
      <c r="BE40" s="176"/>
      <c r="BF40" s="176"/>
      <c r="BG40" s="176"/>
      <c r="BH40" s="223">
        <f t="shared" si="180"/>
        <v>0</v>
      </c>
      <c r="BI40" s="181"/>
      <c r="BJ40" s="176"/>
      <c r="BK40" s="176"/>
      <c r="BL40" s="176"/>
      <c r="BM40" s="176"/>
      <c r="BN40" s="176"/>
      <c r="BO40" s="176"/>
      <c r="BP40" s="223">
        <f t="shared" si="181"/>
        <v>0</v>
      </c>
      <c r="BQ40" s="181"/>
      <c r="BR40" s="176"/>
      <c r="BS40" s="176"/>
      <c r="BT40" s="176"/>
      <c r="BU40" s="176"/>
      <c r="BV40" s="176"/>
      <c r="BW40" s="176"/>
      <c r="BX40" s="223">
        <f t="shared" si="182"/>
        <v>0</v>
      </c>
      <c r="BY40" s="181"/>
      <c r="BZ40" s="176"/>
      <c r="CA40" s="176"/>
      <c r="CB40" s="176"/>
      <c r="CC40" s="176"/>
      <c r="CD40" s="176"/>
      <c r="CE40" s="176"/>
      <c r="CF40" s="223">
        <f t="shared" si="183"/>
        <v>0</v>
      </c>
      <c r="CG40" s="181"/>
      <c r="CH40" s="176"/>
      <c r="CI40" s="176"/>
      <c r="CJ40" s="176"/>
      <c r="CK40" s="176"/>
      <c r="CL40" s="176"/>
      <c r="CM40" s="176"/>
      <c r="CN40" s="223">
        <f t="shared" si="184"/>
        <v>0</v>
      </c>
      <c r="CO40" s="181"/>
      <c r="CP40" s="176"/>
      <c r="CQ40" s="176"/>
      <c r="CR40" s="176"/>
      <c r="CS40" s="176"/>
      <c r="CT40" s="176"/>
      <c r="CU40" s="176"/>
      <c r="CV40" s="223">
        <f t="shared" si="185"/>
        <v>0</v>
      </c>
      <c r="CW40" s="181"/>
      <c r="CX40" s="176"/>
      <c r="CY40" s="176"/>
      <c r="CZ40" s="176"/>
      <c r="DA40" s="176"/>
      <c r="DB40" s="176"/>
      <c r="DC40" s="176"/>
      <c r="DD40" s="223">
        <f t="shared" si="186"/>
        <v>0</v>
      </c>
      <c r="DE40" s="181"/>
      <c r="DF40" s="176"/>
      <c r="DG40" s="176"/>
      <c r="DH40" s="176"/>
      <c r="DI40" s="176"/>
      <c r="DJ40" s="176"/>
      <c r="DK40" s="176"/>
      <c r="DL40" s="223">
        <f t="shared" si="187"/>
        <v>0</v>
      </c>
      <c r="DM40" s="181"/>
      <c r="DN40" s="176"/>
      <c r="DO40" s="176"/>
      <c r="DP40" s="176"/>
      <c r="DQ40" s="176"/>
      <c r="DR40" s="176"/>
      <c r="DS40" s="176"/>
      <c r="DT40" s="223">
        <f t="shared" si="188"/>
        <v>0</v>
      </c>
      <c r="DU40" s="181"/>
      <c r="DV40" s="176"/>
      <c r="DW40" s="176"/>
      <c r="DX40" s="176"/>
      <c r="DY40" s="176"/>
      <c r="DZ40" s="176"/>
      <c r="EA40" s="176"/>
      <c r="EB40" s="223">
        <f t="shared" si="189"/>
        <v>0</v>
      </c>
      <c r="EC40" s="181"/>
      <c r="ED40" s="176"/>
      <c r="EE40" s="176"/>
      <c r="EF40" s="176"/>
      <c r="EG40" s="176"/>
      <c r="EH40" s="176"/>
      <c r="EI40" s="176"/>
      <c r="EJ40" s="223">
        <f t="shared" si="190"/>
        <v>0</v>
      </c>
      <c r="EK40" s="181"/>
      <c r="EL40" s="176"/>
      <c r="EM40" s="176"/>
      <c r="EN40" s="176"/>
      <c r="EO40" s="176"/>
      <c r="EP40" s="176"/>
      <c r="EQ40" s="176"/>
      <c r="ER40" s="223">
        <f t="shared" si="191"/>
        <v>0</v>
      </c>
      <c r="ES40" s="181"/>
      <c r="ET40" s="176"/>
      <c r="EU40" s="176"/>
      <c r="EV40" s="176"/>
      <c r="EW40" s="176"/>
      <c r="EX40" s="176"/>
      <c r="EY40" s="176"/>
      <c r="EZ40" s="223">
        <f t="shared" si="192"/>
        <v>0</v>
      </c>
      <c r="FA40" s="181"/>
      <c r="FB40" s="176"/>
      <c r="FC40" s="176"/>
      <c r="FD40" s="176"/>
      <c r="FE40" s="176"/>
      <c r="FF40" s="176"/>
      <c r="FG40" s="176"/>
      <c r="FH40" s="223">
        <f t="shared" si="193"/>
        <v>0</v>
      </c>
      <c r="FI40" s="291" t="str">
        <f t="shared" si="194"/>
        <v/>
      </c>
      <c r="FJ40" s="250"/>
      <c r="FK40" s="250"/>
      <c r="FL40" s="291" t="str">
        <f t="shared" si="195"/>
        <v/>
      </c>
      <c r="FM40" s="312" t="str">
        <f>IFERROR(IF(FL40="","",IF(FL40&gt;=KONVERSI!$A$5,KONVERSI!$D$5,IF(FL40&gt;=KONVERSI!$A$6,KONVERSI!$D$6,IF(FL40&gt;=KONVERSI!$A$7,KONVERSI!$D$7,KONVERSI!$D$8)))),"")</f>
        <v/>
      </c>
      <c r="FN40" s="232" t="str">
        <f t="shared" si="196"/>
        <v/>
      </c>
      <c r="FO40" s="313"/>
      <c r="FP40" s="314">
        <f t="shared" si="197"/>
        <v>0</v>
      </c>
      <c r="FQ40" s="194" t="str">
        <f t="shared" si="33"/>
        <v/>
      </c>
      <c r="FR40" s="194" t="str">
        <f t="shared" si="34"/>
        <v/>
      </c>
      <c r="FS40" s="194" t="str">
        <f t="shared" si="35"/>
        <v/>
      </c>
      <c r="FT40" s="194" t="str">
        <f t="shared" si="36"/>
        <v/>
      </c>
      <c r="FU40" s="194" t="str">
        <f t="shared" si="37"/>
        <v/>
      </c>
      <c r="FV40" s="194" t="str">
        <f t="shared" si="38"/>
        <v/>
      </c>
      <c r="FW40" s="194" t="str">
        <f t="shared" si="39"/>
        <v/>
      </c>
      <c r="FX40" s="194" t="str">
        <f t="shared" si="344"/>
        <v/>
      </c>
      <c r="FY40" s="194" t="str">
        <f t="shared" si="40"/>
        <v/>
      </c>
      <c r="FZ40" s="194" t="str">
        <f t="shared" si="41"/>
        <v/>
      </c>
      <c r="GA40" s="194" t="str">
        <f t="shared" si="42"/>
        <v/>
      </c>
      <c r="GB40" s="194" t="str">
        <f t="shared" si="43"/>
        <v/>
      </c>
      <c r="GC40" s="194" t="str">
        <f t="shared" si="44"/>
        <v/>
      </c>
      <c r="GD40" s="194" t="str">
        <f t="shared" si="45"/>
        <v/>
      </c>
      <c r="GE40" s="194" t="str">
        <f t="shared" si="46"/>
        <v/>
      </c>
      <c r="GF40" s="194" t="str">
        <f t="shared" si="47"/>
        <v/>
      </c>
      <c r="GG40" s="194" t="str">
        <f t="shared" si="48"/>
        <v/>
      </c>
      <c r="GH40" s="194" t="str">
        <f t="shared" si="49"/>
        <v/>
      </c>
      <c r="GI40" s="194" t="str">
        <f t="shared" si="50"/>
        <v/>
      </c>
      <c r="GJ40" s="194" t="str">
        <f t="shared" si="51"/>
        <v/>
      </c>
      <c r="GK40" s="194" t="str">
        <f t="shared" si="52"/>
        <v/>
      </c>
      <c r="GL40" s="194" t="str">
        <f t="shared" si="53"/>
        <v/>
      </c>
      <c r="GM40" s="194" t="str">
        <f t="shared" si="54"/>
        <v/>
      </c>
      <c r="GN40" s="194" t="str">
        <f t="shared" si="55"/>
        <v/>
      </c>
      <c r="GO40" s="194" t="str">
        <f t="shared" si="56"/>
        <v/>
      </c>
      <c r="GP40" s="194" t="str">
        <f t="shared" si="57"/>
        <v/>
      </c>
      <c r="GQ40" s="194" t="str">
        <f t="shared" si="58"/>
        <v/>
      </c>
      <c r="GR40" s="194" t="str">
        <f t="shared" si="59"/>
        <v/>
      </c>
      <c r="GS40" s="194" t="str">
        <f t="shared" si="60"/>
        <v/>
      </c>
      <c r="GT40" s="194" t="str">
        <f t="shared" si="61"/>
        <v/>
      </c>
      <c r="GU40" s="194" t="str">
        <f t="shared" si="62"/>
        <v/>
      </c>
      <c r="GV40" s="194" t="str">
        <f t="shared" si="63"/>
        <v/>
      </c>
      <c r="GW40" s="194" t="str">
        <f t="shared" si="64"/>
        <v/>
      </c>
      <c r="GX40" s="194" t="str">
        <f t="shared" si="65"/>
        <v/>
      </c>
      <c r="GY40" s="194" t="str">
        <f t="shared" si="66"/>
        <v/>
      </c>
      <c r="GZ40" s="194" t="str">
        <f t="shared" si="67"/>
        <v/>
      </c>
      <c r="HA40" s="194" t="str">
        <f t="shared" si="68"/>
        <v/>
      </c>
      <c r="HB40" s="194" t="str">
        <f t="shared" si="69"/>
        <v/>
      </c>
      <c r="HC40" s="194" t="str">
        <f t="shared" si="70"/>
        <v/>
      </c>
      <c r="HD40" s="194" t="str">
        <f t="shared" si="71"/>
        <v/>
      </c>
      <c r="HE40" s="194" t="str">
        <f t="shared" si="72"/>
        <v/>
      </c>
      <c r="HF40" s="194" t="str">
        <f t="shared" si="73"/>
        <v/>
      </c>
      <c r="HG40" s="194" t="str">
        <f t="shared" si="74"/>
        <v/>
      </c>
      <c r="HH40" s="194" t="str">
        <f t="shared" si="75"/>
        <v/>
      </c>
      <c r="HI40" s="194" t="str">
        <f t="shared" si="76"/>
        <v/>
      </c>
      <c r="HJ40" s="194" t="str">
        <f t="shared" si="77"/>
        <v/>
      </c>
      <c r="HK40" s="194" t="str">
        <f t="shared" si="78"/>
        <v/>
      </c>
      <c r="HL40" s="194" t="str">
        <f t="shared" si="79"/>
        <v/>
      </c>
      <c r="HM40" s="194" t="str">
        <f t="shared" si="80"/>
        <v/>
      </c>
      <c r="HN40" s="194" t="str">
        <f t="shared" si="81"/>
        <v/>
      </c>
      <c r="HO40" s="194" t="str">
        <f t="shared" si="82"/>
        <v/>
      </c>
      <c r="HP40" s="194" t="str">
        <f t="shared" si="83"/>
        <v/>
      </c>
      <c r="HQ40" s="194" t="str">
        <f t="shared" si="84"/>
        <v/>
      </c>
      <c r="HR40" s="194" t="str">
        <f t="shared" si="85"/>
        <v/>
      </c>
      <c r="HS40" s="194" t="str">
        <f t="shared" si="86"/>
        <v/>
      </c>
      <c r="HT40" s="194" t="str">
        <f t="shared" si="87"/>
        <v/>
      </c>
      <c r="HU40" s="194" t="str">
        <f t="shared" si="88"/>
        <v/>
      </c>
      <c r="HV40" s="194" t="str">
        <f t="shared" si="89"/>
        <v/>
      </c>
      <c r="HW40" s="194" t="str">
        <f t="shared" si="90"/>
        <v/>
      </c>
      <c r="HX40" s="194" t="str">
        <f t="shared" si="91"/>
        <v/>
      </c>
      <c r="HY40" s="194" t="str">
        <f t="shared" si="92"/>
        <v/>
      </c>
      <c r="HZ40" s="194" t="str">
        <f t="shared" si="93"/>
        <v/>
      </c>
      <c r="IA40" s="194" t="str">
        <f t="shared" si="94"/>
        <v/>
      </c>
      <c r="IB40" s="194" t="str">
        <f t="shared" si="95"/>
        <v/>
      </c>
      <c r="IC40" s="194" t="str">
        <f t="shared" si="96"/>
        <v/>
      </c>
      <c r="ID40" s="194" t="str">
        <f t="shared" si="97"/>
        <v/>
      </c>
      <c r="IE40" s="194" t="str">
        <f t="shared" si="98"/>
        <v/>
      </c>
      <c r="IF40" s="194" t="str">
        <f t="shared" si="99"/>
        <v/>
      </c>
      <c r="IG40" s="194" t="str">
        <f t="shared" si="100"/>
        <v/>
      </c>
      <c r="IH40" s="194" t="str">
        <f t="shared" si="101"/>
        <v/>
      </c>
      <c r="II40" s="194" t="str">
        <f t="shared" si="102"/>
        <v/>
      </c>
      <c r="IJ40" s="194" t="str">
        <f t="shared" si="103"/>
        <v/>
      </c>
      <c r="IK40" s="194" t="str">
        <f t="shared" si="104"/>
        <v/>
      </c>
      <c r="IL40" s="194" t="str">
        <f t="shared" si="105"/>
        <v/>
      </c>
      <c r="IM40" s="194" t="str">
        <f t="shared" si="106"/>
        <v/>
      </c>
      <c r="IN40" s="194" t="str">
        <f t="shared" si="107"/>
        <v/>
      </c>
      <c r="IO40" s="194" t="str">
        <f t="shared" si="108"/>
        <v/>
      </c>
      <c r="IP40" s="194" t="str">
        <f t="shared" si="109"/>
        <v/>
      </c>
      <c r="IQ40" s="194" t="str">
        <f t="shared" si="110"/>
        <v/>
      </c>
      <c r="IR40" s="194" t="str">
        <f t="shared" si="111"/>
        <v/>
      </c>
      <c r="IS40" s="194" t="str">
        <f t="shared" si="112"/>
        <v/>
      </c>
      <c r="IT40" s="194" t="str">
        <f t="shared" si="113"/>
        <v/>
      </c>
      <c r="IU40" s="194" t="str">
        <f t="shared" si="114"/>
        <v/>
      </c>
      <c r="IV40" s="194" t="str">
        <f t="shared" si="115"/>
        <v/>
      </c>
      <c r="IW40" s="194" t="str">
        <f t="shared" si="116"/>
        <v/>
      </c>
      <c r="IX40" s="194" t="str">
        <f t="shared" si="117"/>
        <v/>
      </c>
      <c r="IY40" s="194" t="str">
        <f t="shared" si="118"/>
        <v/>
      </c>
      <c r="IZ40" s="194" t="str">
        <f t="shared" si="119"/>
        <v/>
      </c>
      <c r="JA40" s="194" t="str">
        <f t="shared" si="120"/>
        <v/>
      </c>
      <c r="JB40" s="194" t="str">
        <f t="shared" si="121"/>
        <v/>
      </c>
      <c r="JC40" s="194" t="str">
        <f t="shared" si="122"/>
        <v/>
      </c>
      <c r="JD40" s="194" t="str">
        <f t="shared" si="123"/>
        <v/>
      </c>
      <c r="JE40" s="194" t="str">
        <f t="shared" si="124"/>
        <v/>
      </c>
      <c r="JF40" s="194" t="str">
        <f t="shared" si="125"/>
        <v/>
      </c>
      <c r="JG40" s="194" t="str">
        <f t="shared" si="126"/>
        <v/>
      </c>
      <c r="JH40" s="194" t="str">
        <f t="shared" si="127"/>
        <v/>
      </c>
      <c r="JI40" s="194" t="str">
        <f t="shared" si="128"/>
        <v/>
      </c>
      <c r="JJ40" s="194" t="str">
        <f t="shared" si="129"/>
        <v/>
      </c>
      <c r="JK40" s="194" t="str">
        <f t="shared" si="130"/>
        <v/>
      </c>
      <c r="JL40" s="194" t="str">
        <f t="shared" si="131"/>
        <v/>
      </c>
      <c r="JM40" s="194" t="str">
        <f t="shared" si="132"/>
        <v/>
      </c>
      <c r="JN40" s="194" t="str">
        <f t="shared" si="133"/>
        <v/>
      </c>
      <c r="JO40" s="194" t="str">
        <f t="shared" si="134"/>
        <v/>
      </c>
      <c r="JP40" s="194" t="str">
        <f t="shared" si="135"/>
        <v/>
      </c>
      <c r="JQ40" s="194" t="str">
        <f t="shared" si="136"/>
        <v/>
      </c>
      <c r="JR40" s="194" t="str">
        <f t="shared" si="137"/>
        <v/>
      </c>
      <c r="JS40" s="194" t="str">
        <f t="shared" si="138"/>
        <v/>
      </c>
      <c r="JT40" s="194" t="str">
        <f t="shared" si="139"/>
        <v/>
      </c>
      <c r="JU40" s="194" t="str">
        <f t="shared" si="140"/>
        <v/>
      </c>
      <c r="JV40" s="194" t="str">
        <f t="shared" si="141"/>
        <v/>
      </c>
      <c r="JW40" s="194" t="str">
        <f t="shared" si="142"/>
        <v/>
      </c>
      <c r="JX40" s="194" t="str">
        <f t="shared" si="143"/>
        <v/>
      </c>
      <c r="JY40" s="194" t="str">
        <f t="shared" si="144"/>
        <v/>
      </c>
      <c r="JZ40" s="194" t="str">
        <f t="shared" si="145"/>
        <v/>
      </c>
      <c r="KA40" s="194" t="str">
        <f t="shared" si="146"/>
        <v/>
      </c>
      <c r="KB40" s="194" t="str">
        <f t="shared" si="147"/>
        <v/>
      </c>
      <c r="KC40" s="194" t="str">
        <f t="shared" si="148"/>
        <v/>
      </c>
      <c r="KD40" s="194" t="str">
        <f t="shared" si="149"/>
        <v/>
      </c>
      <c r="KE40" s="194" t="str">
        <f t="shared" si="150"/>
        <v/>
      </c>
      <c r="KF40" s="194" t="str">
        <f t="shared" si="151"/>
        <v/>
      </c>
      <c r="KG40" s="194">
        <f>SUM(LE40:LX40)/COUNTA(RefKI3KI4!$B$5:$B$24)</f>
        <v>0</v>
      </c>
      <c r="KH40" s="232">
        <f t="shared" si="198"/>
        <v>0</v>
      </c>
      <c r="KI40" s="340" t="str">
        <f t="shared" si="199"/>
        <v>ok</v>
      </c>
      <c r="KJ40" s="340" t="str">
        <f t="shared" si="200"/>
        <v>ok</v>
      </c>
      <c r="KK40" s="340" t="str">
        <f t="shared" si="201"/>
        <v/>
      </c>
      <c r="KL40" s="340" t="str">
        <f t="shared" si="202"/>
        <v/>
      </c>
      <c r="KM40" s="340" t="str">
        <f t="shared" si="203"/>
        <v/>
      </c>
      <c r="KN40" s="340" t="str">
        <f t="shared" si="204"/>
        <v/>
      </c>
      <c r="KO40" s="340" t="str">
        <f t="shared" si="205"/>
        <v/>
      </c>
      <c r="KP40" s="340" t="str">
        <f t="shared" si="206"/>
        <v/>
      </c>
      <c r="KQ40" s="340" t="str">
        <f t="shared" si="207"/>
        <v/>
      </c>
      <c r="KR40" s="340" t="str">
        <f t="shared" si="208"/>
        <v/>
      </c>
      <c r="KS40" s="340" t="str">
        <f t="shared" si="209"/>
        <v/>
      </c>
      <c r="KT40" s="340" t="str">
        <f t="shared" si="210"/>
        <v/>
      </c>
      <c r="KU40" s="340" t="str">
        <f t="shared" si="211"/>
        <v/>
      </c>
      <c r="KV40" s="340" t="str">
        <f t="shared" si="212"/>
        <v/>
      </c>
      <c r="KW40" s="340" t="str">
        <f t="shared" si="213"/>
        <v/>
      </c>
      <c r="KX40" s="340" t="str">
        <f t="shared" si="214"/>
        <v/>
      </c>
      <c r="KY40" s="340" t="str">
        <f t="shared" si="215"/>
        <v/>
      </c>
      <c r="KZ40" s="340" t="str">
        <f t="shared" si="216"/>
        <v/>
      </c>
      <c r="LA40" s="340" t="str">
        <f t="shared" si="217"/>
        <v/>
      </c>
      <c r="LB40" s="340" t="str">
        <f t="shared" si="218"/>
        <v/>
      </c>
      <c r="LC40" s="340">
        <f t="shared" si="219"/>
        <v>0</v>
      </c>
      <c r="LD40" s="228">
        <v>32</v>
      </c>
      <c r="LE40" s="229" t="str">
        <f t="shared" si="220"/>
        <v/>
      </c>
      <c r="LF40" s="229" t="str">
        <f t="shared" si="221"/>
        <v/>
      </c>
      <c r="LG40" s="229" t="str">
        <f t="shared" si="222"/>
        <v/>
      </c>
      <c r="LH40" s="229" t="str">
        <f t="shared" si="223"/>
        <v/>
      </c>
      <c r="LI40" s="229" t="str">
        <f t="shared" si="224"/>
        <v/>
      </c>
      <c r="LJ40" s="229" t="str">
        <f t="shared" si="225"/>
        <v/>
      </c>
      <c r="LK40" s="229" t="str">
        <f t="shared" si="226"/>
        <v/>
      </c>
      <c r="LL40" s="229" t="str">
        <f t="shared" si="227"/>
        <v/>
      </c>
      <c r="LM40" s="229" t="str">
        <f t="shared" si="228"/>
        <v/>
      </c>
      <c r="LN40" s="229" t="str">
        <f t="shared" si="229"/>
        <v/>
      </c>
      <c r="LO40" s="229" t="str">
        <f t="shared" si="230"/>
        <v/>
      </c>
      <c r="LP40" s="229" t="str">
        <f t="shared" si="231"/>
        <v/>
      </c>
      <c r="LQ40" s="229" t="str">
        <f t="shared" si="232"/>
        <v/>
      </c>
      <c r="LR40" s="229" t="str">
        <f t="shared" si="233"/>
        <v/>
      </c>
      <c r="LS40" s="229" t="str">
        <f t="shared" si="234"/>
        <v/>
      </c>
      <c r="LT40" s="229" t="str">
        <f t="shared" si="235"/>
        <v/>
      </c>
      <c r="LU40" s="229" t="str">
        <f t="shared" si="236"/>
        <v/>
      </c>
      <c r="LV40" s="229" t="str">
        <f t="shared" si="237"/>
        <v/>
      </c>
      <c r="LW40" s="229" t="str">
        <f t="shared" si="238"/>
        <v/>
      </c>
      <c r="LX40" s="229" t="str">
        <f t="shared" si="239"/>
        <v/>
      </c>
      <c r="LY40" s="231" t="str">
        <f t="shared" si="240"/>
        <v/>
      </c>
      <c r="LZ40" s="231" t="str">
        <f t="shared" si="241"/>
        <v/>
      </c>
      <c r="MA40" s="231" t="str">
        <f t="shared" si="242"/>
        <v/>
      </c>
      <c r="MB40" s="231" t="str">
        <f t="shared" si="243"/>
        <v/>
      </c>
      <c r="MC40" s="231" t="str">
        <f t="shared" si="244"/>
        <v/>
      </c>
      <c r="MD40" s="231" t="str">
        <f t="shared" si="245"/>
        <v/>
      </c>
      <c r="ME40" s="231" t="str">
        <f t="shared" si="246"/>
        <v/>
      </c>
      <c r="MF40" s="231" t="str">
        <f t="shared" si="247"/>
        <v/>
      </c>
      <c r="MG40" s="231" t="str">
        <f t="shared" si="248"/>
        <v/>
      </c>
      <c r="MH40" s="231" t="str">
        <f t="shared" si="249"/>
        <v/>
      </c>
      <c r="MI40" s="231" t="str">
        <f t="shared" si="250"/>
        <v/>
      </c>
      <c r="MJ40" s="231" t="str">
        <f t="shared" si="251"/>
        <v/>
      </c>
      <c r="MK40" s="231" t="str">
        <f t="shared" si="252"/>
        <v/>
      </c>
      <c r="ML40" s="231" t="str">
        <f t="shared" si="253"/>
        <v/>
      </c>
      <c r="MM40" s="231" t="str">
        <f t="shared" si="254"/>
        <v/>
      </c>
      <c r="MN40" s="231" t="str">
        <f t="shared" si="255"/>
        <v/>
      </c>
      <c r="MO40" s="231" t="str">
        <f t="shared" si="256"/>
        <v/>
      </c>
      <c r="MP40" s="231" t="str">
        <f t="shared" si="257"/>
        <v/>
      </c>
      <c r="MQ40" s="231" t="str">
        <f t="shared" si="258"/>
        <v/>
      </c>
      <c r="MR40" s="231" t="str">
        <f t="shared" si="259"/>
        <v/>
      </c>
      <c r="MS40" s="231" t="str">
        <f t="shared" si="154"/>
        <v/>
      </c>
      <c r="MT40" s="232" t="str">
        <f>IF(MS40="","",IF(MS40&gt;=KONVERSI!$A$5,KONVERSI!$E$5,IF(MS40&gt;=KONVERSI!$A$6,KONVERSI!$E$6,IF(MS40&gt;=KONVERSI!$A$7,KONVERSI!$E$7,KONVERSI!$E$8))))</f>
        <v/>
      </c>
      <c r="MU40" s="233" t="str">
        <f t="shared" si="155"/>
        <v/>
      </c>
      <c r="MV40" s="234" t="str">
        <f t="shared" si="260"/>
        <v/>
      </c>
      <c r="MW40" s="232" t="str">
        <f>IF(MV40="","",IF(MV40&gt;=KONVERSI!$A$5,KONVERSI!$E$5,IF(MV40&gt;=KONVERSI!$A$6,KONVERSI!$E$6,IF(MV40&gt;=KONVERSI!$A$7,KONVERSI!$E$7,KONVERSI!$E$8))))</f>
        <v/>
      </c>
      <c r="MX40" s="134" t="str">
        <f>IF(FI40&lt;$FN$4," "&amp;KONVERSI!$C$18&amp;INDEX($LY$8:$MR$8,MATCH(MV40,LY40:MR40,0))&amp;".",IF(KG40=0,"",IF(MV40&lt;&gt;0,MU40&amp;MW40&amp;".",MU40&amp;".")))</f>
        <v/>
      </c>
      <c r="MY40" s="235" t="str">
        <f t="shared" si="261"/>
        <v/>
      </c>
      <c r="MZ40" s="235" t="str">
        <f t="shared" si="262"/>
        <v/>
      </c>
      <c r="NA40" s="235" t="str">
        <f t="shared" si="263"/>
        <v/>
      </c>
      <c r="NB40" s="235" t="str">
        <f t="shared" si="264"/>
        <v/>
      </c>
      <c r="NC40" s="235" t="str">
        <f t="shared" si="265"/>
        <v/>
      </c>
      <c r="ND40" s="235" t="str">
        <f t="shared" si="266"/>
        <v/>
      </c>
      <c r="NE40" s="235" t="str">
        <f t="shared" si="267"/>
        <v/>
      </c>
      <c r="NF40" s="235" t="str">
        <f t="shared" si="268"/>
        <v/>
      </c>
      <c r="NG40" s="235" t="str">
        <f t="shared" si="269"/>
        <v/>
      </c>
      <c r="NH40" s="235" t="str">
        <f t="shared" si="270"/>
        <v/>
      </c>
      <c r="NI40" s="235" t="str">
        <f t="shared" si="271"/>
        <v/>
      </c>
      <c r="NJ40" s="235" t="str">
        <f t="shared" si="272"/>
        <v/>
      </c>
      <c r="NK40" s="235" t="str">
        <f t="shared" si="273"/>
        <v/>
      </c>
      <c r="NL40" s="235" t="str">
        <f t="shared" si="274"/>
        <v/>
      </c>
      <c r="NM40" s="235" t="str">
        <f t="shared" si="275"/>
        <v/>
      </c>
      <c r="NN40" s="235" t="str">
        <f t="shared" si="276"/>
        <v/>
      </c>
      <c r="NO40" s="235" t="str">
        <f t="shared" si="277"/>
        <v/>
      </c>
      <c r="NP40" s="235" t="str">
        <f t="shared" si="278"/>
        <v/>
      </c>
      <c r="NQ40" s="235" t="str">
        <f t="shared" si="279"/>
        <v/>
      </c>
      <c r="NR40" s="235" t="str">
        <f t="shared" si="280"/>
        <v/>
      </c>
      <c r="NS40" s="134" t="str">
        <f t="shared" si="281"/>
        <v/>
      </c>
      <c r="NT40" s="134" t="str">
        <f t="shared" si="282"/>
        <v/>
      </c>
      <c r="NU40" s="134" t="str">
        <f t="shared" si="283"/>
        <v/>
      </c>
      <c r="NV40" s="134" t="str">
        <f t="shared" si="284"/>
        <v/>
      </c>
      <c r="NW40" s="134" t="str">
        <f t="shared" si="285"/>
        <v/>
      </c>
      <c r="NX40" s="134" t="str">
        <f t="shared" si="286"/>
        <v/>
      </c>
      <c r="NY40" s="134" t="str">
        <f t="shared" si="287"/>
        <v/>
      </c>
      <c r="NZ40" s="134" t="str">
        <f t="shared" si="288"/>
        <v/>
      </c>
      <c r="OA40" s="134" t="str">
        <f t="shared" si="289"/>
        <v/>
      </c>
      <c r="OB40" s="134" t="str">
        <f t="shared" si="290"/>
        <v/>
      </c>
      <c r="OC40" s="134" t="str">
        <f t="shared" si="291"/>
        <v/>
      </c>
      <c r="OD40" s="134" t="str">
        <f t="shared" si="292"/>
        <v/>
      </c>
      <c r="OE40" s="134" t="str">
        <f t="shared" si="293"/>
        <v/>
      </c>
      <c r="OF40" s="134" t="str">
        <f t="shared" si="294"/>
        <v/>
      </c>
      <c r="OG40" s="134" t="str">
        <f t="shared" si="295"/>
        <v/>
      </c>
      <c r="OH40" s="134" t="str">
        <f t="shared" si="296"/>
        <v/>
      </c>
      <c r="OI40" s="134" t="str">
        <f t="shared" si="297"/>
        <v/>
      </c>
      <c r="OJ40" s="134" t="str">
        <f t="shared" si="298"/>
        <v/>
      </c>
      <c r="OK40" s="134" t="str">
        <f t="shared" si="299"/>
        <v/>
      </c>
      <c r="OL40" s="134" t="str">
        <f t="shared" si="300"/>
        <v/>
      </c>
      <c r="OM40" s="134" t="str">
        <f t="shared" si="301"/>
        <v/>
      </c>
      <c r="ON40" s="134" t="str">
        <f t="shared" si="302"/>
        <v>  </v>
      </c>
      <c r="OO40" s="236">
        <f t="shared" si="169"/>
        <v>0</v>
      </c>
      <c r="OP40" s="235" t="str">
        <f t="shared" si="303"/>
        <v/>
      </c>
      <c r="OQ40" s="235" t="str">
        <f t="shared" si="304"/>
        <v/>
      </c>
      <c r="OR40" s="235" t="str">
        <f t="shared" si="305"/>
        <v/>
      </c>
      <c r="OS40" s="235" t="str">
        <f t="shared" si="306"/>
        <v/>
      </c>
      <c r="OT40" s="235" t="str">
        <f t="shared" si="307"/>
        <v/>
      </c>
      <c r="OU40" s="235" t="str">
        <f t="shared" si="308"/>
        <v/>
      </c>
      <c r="OV40" s="235" t="str">
        <f t="shared" si="309"/>
        <v/>
      </c>
      <c r="OW40" s="235" t="str">
        <f t="shared" si="310"/>
        <v/>
      </c>
      <c r="OX40" s="235" t="str">
        <f t="shared" si="311"/>
        <v/>
      </c>
      <c r="OY40" s="235" t="str">
        <f t="shared" si="312"/>
        <v/>
      </c>
      <c r="OZ40" s="235" t="str">
        <f t="shared" si="313"/>
        <v/>
      </c>
      <c r="PA40" s="235" t="str">
        <f t="shared" si="314"/>
        <v/>
      </c>
      <c r="PB40" s="235" t="str">
        <f t="shared" si="315"/>
        <v/>
      </c>
      <c r="PC40" s="235" t="str">
        <f t="shared" si="316"/>
        <v/>
      </c>
      <c r="PD40" s="235" t="str">
        <f t="shared" si="317"/>
        <v/>
      </c>
      <c r="PE40" s="235" t="str">
        <f t="shared" si="318"/>
        <v/>
      </c>
      <c r="PF40" s="235" t="str">
        <f t="shared" si="319"/>
        <v/>
      </c>
      <c r="PG40" s="235" t="str">
        <f t="shared" si="320"/>
        <v/>
      </c>
      <c r="PH40" s="235" t="str">
        <f t="shared" si="321"/>
        <v/>
      </c>
      <c r="PI40" s="235" t="str">
        <f t="shared" si="322"/>
        <v/>
      </c>
      <c r="PJ40" s="134" t="str">
        <f t="shared" si="323"/>
        <v/>
      </c>
      <c r="PK40" s="134" t="str">
        <f t="shared" si="324"/>
        <v/>
      </c>
      <c r="PL40" s="134" t="str">
        <f t="shared" si="325"/>
        <v/>
      </c>
      <c r="PM40" s="134" t="str">
        <f t="shared" si="326"/>
        <v/>
      </c>
      <c r="PN40" s="134" t="str">
        <f t="shared" si="327"/>
        <v/>
      </c>
      <c r="PO40" s="134" t="str">
        <f t="shared" si="328"/>
        <v/>
      </c>
      <c r="PP40" s="134" t="str">
        <f t="shared" si="329"/>
        <v/>
      </c>
      <c r="PQ40" s="134" t="str">
        <f t="shared" si="330"/>
        <v/>
      </c>
      <c r="PR40" s="134" t="str">
        <f t="shared" si="331"/>
        <v/>
      </c>
      <c r="PS40" s="134" t="str">
        <f t="shared" si="332"/>
        <v/>
      </c>
      <c r="PT40" s="134" t="str">
        <f t="shared" si="333"/>
        <v/>
      </c>
      <c r="PU40" s="134" t="str">
        <f t="shared" si="334"/>
        <v/>
      </c>
      <c r="PV40" s="134" t="str">
        <f t="shared" si="335"/>
        <v/>
      </c>
      <c r="PW40" s="134" t="str">
        <f t="shared" si="336"/>
        <v/>
      </c>
      <c r="PX40" s="134" t="str">
        <f t="shared" si="337"/>
        <v/>
      </c>
      <c r="PY40" s="134" t="str">
        <f t="shared" si="338"/>
        <v/>
      </c>
      <c r="PZ40" s="134" t="str">
        <f t="shared" si="339"/>
        <v/>
      </c>
      <c r="QA40" s="134" t="str">
        <f t="shared" si="340"/>
        <v/>
      </c>
      <c r="QB40" s="134" t="str">
        <f t="shared" si="341"/>
        <v/>
      </c>
      <c r="QC40" s="134" t="str">
        <f t="shared" si="342"/>
        <v/>
      </c>
      <c r="QD40" s="134" t="str">
        <f>IF(MT40=MW40,"",IF(MV40="","",IF(MV40&gt;=KONVERSI!$A$7,'KI3'!MW40&amp;" dalam"&amp;PJ40&amp;PK40&amp;PL40&amp;PM40&amp;PN40&amp;PO40&amp;PP40&amp;PQ40&amp;PR40&amp;PS40&amp;PT40&amp;PU40&amp;PV40&amp;PW40&amp;PX40&amp;PY40&amp;PZ40&amp;QA40&amp;QB40&amp;QC40,KONVERSI!$C$18&amp;" dalam"&amp;PJ40&amp;PK40&amp;PL40&amp;PM40&amp;PN40&amp;PO40&amp;PP40&amp;PQ40&amp;PR40&amp;PS40&amp;PT40&amp;PU40&amp;PV40&amp;PW40&amp;PX40&amp;PY40&amp;PZ40&amp;QA40&amp;QB40&amp;QC40)))</f>
        <v/>
      </c>
      <c r="QE40" s="134" t="str">
        <f t="shared" si="343"/>
        <v/>
      </c>
      <c r="QF40" s="236">
        <f t="shared" si="172"/>
        <v>0</v>
      </c>
      <c r="QG40" s="134" t="str">
        <f t="shared" si="173"/>
        <v/>
      </c>
    </row>
    <row r="41" ht="27.6" customHeight="1" spans="1:449">
      <c r="A41" s="136"/>
      <c r="B41" s="177">
        <v>33</v>
      </c>
      <c r="C41" s="178">
        <f>siswa!C37</f>
        <v>0</v>
      </c>
      <c r="D41" s="174">
        <f>siswa!D37</f>
        <v>0</v>
      </c>
      <c r="E41" s="181"/>
      <c r="F41" s="176"/>
      <c r="G41" s="176"/>
      <c r="H41" s="176"/>
      <c r="I41" s="176"/>
      <c r="J41" s="176"/>
      <c r="K41" s="176"/>
      <c r="L41" s="223" t="str">
        <f t="shared" si="174"/>
        <v/>
      </c>
      <c r="M41" s="181"/>
      <c r="N41" s="176"/>
      <c r="O41" s="176"/>
      <c r="P41" s="176"/>
      <c r="Q41" s="176"/>
      <c r="R41" s="176"/>
      <c r="S41" s="176"/>
      <c r="T41" s="223" t="str">
        <f t="shared" si="175"/>
        <v/>
      </c>
      <c r="U41" s="181"/>
      <c r="V41" s="176"/>
      <c r="W41" s="176"/>
      <c r="X41" s="176"/>
      <c r="Y41" s="176"/>
      <c r="Z41" s="176"/>
      <c r="AA41" s="176"/>
      <c r="AB41" s="223">
        <f t="shared" si="176"/>
        <v>0</v>
      </c>
      <c r="AC41" s="181"/>
      <c r="AD41" s="176"/>
      <c r="AE41" s="176"/>
      <c r="AF41" s="248"/>
      <c r="AG41" s="176"/>
      <c r="AH41" s="176"/>
      <c r="AI41" s="176"/>
      <c r="AJ41" s="223">
        <f t="shared" si="177"/>
        <v>0</v>
      </c>
      <c r="AK41" s="181"/>
      <c r="AL41" s="176"/>
      <c r="AM41" s="176"/>
      <c r="AN41" s="176"/>
      <c r="AO41" s="176"/>
      <c r="AP41" s="176"/>
      <c r="AQ41" s="176"/>
      <c r="AR41" s="223">
        <f t="shared" si="178"/>
        <v>0</v>
      </c>
      <c r="AS41" s="181"/>
      <c r="AT41" s="176"/>
      <c r="AU41" s="176"/>
      <c r="AV41" s="176"/>
      <c r="AW41" s="176"/>
      <c r="AX41" s="176"/>
      <c r="AY41" s="176"/>
      <c r="AZ41" s="223">
        <f t="shared" si="179"/>
        <v>0</v>
      </c>
      <c r="BA41" s="181"/>
      <c r="BB41" s="176"/>
      <c r="BC41" s="176"/>
      <c r="BD41" s="176"/>
      <c r="BE41" s="176"/>
      <c r="BF41" s="176"/>
      <c r="BG41" s="176"/>
      <c r="BH41" s="223">
        <f t="shared" si="180"/>
        <v>0</v>
      </c>
      <c r="BI41" s="181"/>
      <c r="BJ41" s="176"/>
      <c r="BK41" s="176"/>
      <c r="BL41" s="176"/>
      <c r="BM41" s="176"/>
      <c r="BN41" s="176"/>
      <c r="BO41" s="176"/>
      <c r="BP41" s="223">
        <f t="shared" si="181"/>
        <v>0</v>
      </c>
      <c r="BQ41" s="181"/>
      <c r="BR41" s="176"/>
      <c r="BS41" s="176"/>
      <c r="BT41" s="176"/>
      <c r="BU41" s="176"/>
      <c r="BV41" s="176"/>
      <c r="BW41" s="176"/>
      <c r="BX41" s="223">
        <f t="shared" si="182"/>
        <v>0</v>
      </c>
      <c r="BY41" s="181"/>
      <c r="BZ41" s="176"/>
      <c r="CA41" s="176"/>
      <c r="CB41" s="176"/>
      <c r="CC41" s="176"/>
      <c r="CD41" s="176"/>
      <c r="CE41" s="176"/>
      <c r="CF41" s="223">
        <f t="shared" si="183"/>
        <v>0</v>
      </c>
      <c r="CG41" s="181"/>
      <c r="CH41" s="176"/>
      <c r="CI41" s="176"/>
      <c r="CJ41" s="176"/>
      <c r="CK41" s="176"/>
      <c r="CL41" s="176"/>
      <c r="CM41" s="176"/>
      <c r="CN41" s="223">
        <f t="shared" si="184"/>
        <v>0</v>
      </c>
      <c r="CO41" s="181"/>
      <c r="CP41" s="176"/>
      <c r="CQ41" s="176"/>
      <c r="CR41" s="176"/>
      <c r="CS41" s="176"/>
      <c r="CT41" s="176"/>
      <c r="CU41" s="176"/>
      <c r="CV41" s="223">
        <f t="shared" si="185"/>
        <v>0</v>
      </c>
      <c r="CW41" s="181"/>
      <c r="CX41" s="176"/>
      <c r="CY41" s="176"/>
      <c r="CZ41" s="176"/>
      <c r="DA41" s="176"/>
      <c r="DB41" s="176"/>
      <c r="DC41" s="176"/>
      <c r="DD41" s="223">
        <f t="shared" si="186"/>
        <v>0</v>
      </c>
      <c r="DE41" s="181"/>
      <c r="DF41" s="176"/>
      <c r="DG41" s="176"/>
      <c r="DH41" s="176"/>
      <c r="DI41" s="176"/>
      <c r="DJ41" s="176"/>
      <c r="DK41" s="176"/>
      <c r="DL41" s="223">
        <f t="shared" si="187"/>
        <v>0</v>
      </c>
      <c r="DM41" s="181"/>
      <c r="DN41" s="176"/>
      <c r="DO41" s="176"/>
      <c r="DP41" s="176"/>
      <c r="DQ41" s="176"/>
      <c r="DR41" s="176"/>
      <c r="DS41" s="176"/>
      <c r="DT41" s="223">
        <f t="shared" si="188"/>
        <v>0</v>
      </c>
      <c r="DU41" s="181"/>
      <c r="DV41" s="176"/>
      <c r="DW41" s="176"/>
      <c r="DX41" s="176"/>
      <c r="DY41" s="176"/>
      <c r="DZ41" s="176"/>
      <c r="EA41" s="176"/>
      <c r="EB41" s="223">
        <f t="shared" si="189"/>
        <v>0</v>
      </c>
      <c r="EC41" s="181"/>
      <c r="ED41" s="176"/>
      <c r="EE41" s="176"/>
      <c r="EF41" s="176"/>
      <c r="EG41" s="176"/>
      <c r="EH41" s="176"/>
      <c r="EI41" s="176"/>
      <c r="EJ41" s="223">
        <f t="shared" si="190"/>
        <v>0</v>
      </c>
      <c r="EK41" s="181"/>
      <c r="EL41" s="176"/>
      <c r="EM41" s="176"/>
      <c r="EN41" s="176"/>
      <c r="EO41" s="176"/>
      <c r="EP41" s="176"/>
      <c r="EQ41" s="176"/>
      <c r="ER41" s="223">
        <f t="shared" si="191"/>
        <v>0</v>
      </c>
      <c r="ES41" s="181"/>
      <c r="ET41" s="176"/>
      <c r="EU41" s="176"/>
      <c r="EV41" s="176"/>
      <c r="EW41" s="176"/>
      <c r="EX41" s="176"/>
      <c r="EY41" s="176"/>
      <c r="EZ41" s="223">
        <f t="shared" si="192"/>
        <v>0</v>
      </c>
      <c r="FA41" s="181"/>
      <c r="FB41" s="176"/>
      <c r="FC41" s="176"/>
      <c r="FD41" s="176"/>
      <c r="FE41" s="176"/>
      <c r="FF41" s="176"/>
      <c r="FG41" s="176"/>
      <c r="FH41" s="223">
        <f t="shared" si="193"/>
        <v>0</v>
      </c>
      <c r="FI41" s="291" t="str">
        <f t="shared" si="194"/>
        <v/>
      </c>
      <c r="FJ41" s="250"/>
      <c r="FK41" s="250"/>
      <c r="FL41" s="291" t="str">
        <f t="shared" si="195"/>
        <v/>
      </c>
      <c r="FM41" s="312" t="str">
        <f>IFERROR(IF(FL41="","",IF(FL41&gt;=KONVERSI!$A$5,KONVERSI!$D$5,IF(FL41&gt;=KONVERSI!$A$6,KONVERSI!$D$6,IF(FL41&gt;=KONVERSI!$A$7,KONVERSI!$D$7,KONVERSI!$D$8)))),"")</f>
        <v/>
      </c>
      <c r="FN41" s="232" t="str">
        <f t="shared" si="196"/>
        <v/>
      </c>
      <c r="FO41" s="313"/>
      <c r="FP41" s="314">
        <f t="shared" si="197"/>
        <v>0</v>
      </c>
      <c r="FQ41" s="194" t="str">
        <f t="shared" si="33"/>
        <v/>
      </c>
      <c r="FR41" s="194" t="str">
        <f t="shared" si="34"/>
        <v/>
      </c>
      <c r="FS41" s="194" t="str">
        <f t="shared" si="35"/>
        <v/>
      </c>
      <c r="FT41" s="194" t="str">
        <f t="shared" si="36"/>
        <v/>
      </c>
      <c r="FU41" s="194" t="str">
        <f t="shared" si="37"/>
        <v/>
      </c>
      <c r="FV41" s="194" t="str">
        <f t="shared" ref="FV41:FV58" si="345">IF($FQ$6="","",IF(L41="","",L41))</f>
        <v/>
      </c>
      <c r="FW41" s="194" t="str">
        <f t="shared" si="39"/>
        <v/>
      </c>
      <c r="FX41" s="194" t="str">
        <f t="shared" si="344"/>
        <v/>
      </c>
      <c r="FY41" s="194" t="str">
        <f t="shared" si="40"/>
        <v/>
      </c>
      <c r="FZ41" s="194" t="str">
        <f t="shared" si="41"/>
        <v/>
      </c>
      <c r="GA41" s="194" t="str">
        <f t="shared" si="42"/>
        <v/>
      </c>
      <c r="GB41" s="194" t="str">
        <f t="shared" ref="GB41:GB58" si="346">IF($FW$6="","",IF(T41="","",T41))</f>
        <v/>
      </c>
      <c r="GC41" s="194" t="str">
        <f t="shared" si="44"/>
        <v/>
      </c>
      <c r="GD41" s="194" t="str">
        <f t="shared" si="45"/>
        <v/>
      </c>
      <c r="GE41" s="194" t="str">
        <f t="shared" si="46"/>
        <v/>
      </c>
      <c r="GF41" s="194" t="str">
        <f t="shared" si="47"/>
        <v/>
      </c>
      <c r="GG41" s="194" t="str">
        <f t="shared" si="48"/>
        <v/>
      </c>
      <c r="GH41" s="194" t="str">
        <f t="shared" ref="GH41:GH58" si="347">IF($GC$6="","",IF(AB41="","",AB41))</f>
        <v/>
      </c>
      <c r="GI41" s="194" t="str">
        <f t="shared" si="50"/>
        <v/>
      </c>
      <c r="GJ41" s="194" t="str">
        <f t="shared" si="51"/>
        <v/>
      </c>
      <c r="GK41" s="194" t="str">
        <f t="shared" si="52"/>
        <v/>
      </c>
      <c r="GL41" s="194" t="str">
        <f t="shared" si="53"/>
        <v/>
      </c>
      <c r="GM41" s="194" t="str">
        <f t="shared" si="54"/>
        <v/>
      </c>
      <c r="GN41" s="194" t="str">
        <f t="shared" ref="GN41:GN58" si="348">IF($GI$6="","",IF(AJ41="","",AJ41))</f>
        <v/>
      </c>
      <c r="GO41" s="194" t="str">
        <f t="shared" si="56"/>
        <v/>
      </c>
      <c r="GP41" s="194" t="str">
        <f t="shared" si="57"/>
        <v/>
      </c>
      <c r="GQ41" s="194" t="str">
        <f t="shared" si="58"/>
        <v/>
      </c>
      <c r="GR41" s="194" t="str">
        <f t="shared" si="59"/>
        <v/>
      </c>
      <c r="GS41" s="194" t="str">
        <f t="shared" si="60"/>
        <v/>
      </c>
      <c r="GT41" s="194" t="str">
        <f t="shared" ref="GT41:GT58" si="349">IF($GO$6="","",IF(AR41="","",AR41))</f>
        <v/>
      </c>
      <c r="GU41" s="194" t="str">
        <f t="shared" si="62"/>
        <v/>
      </c>
      <c r="GV41" s="194" t="str">
        <f t="shared" si="63"/>
        <v/>
      </c>
      <c r="GW41" s="194" t="str">
        <f t="shared" si="64"/>
        <v/>
      </c>
      <c r="GX41" s="194" t="str">
        <f t="shared" si="65"/>
        <v/>
      </c>
      <c r="GY41" s="194" t="str">
        <f t="shared" si="66"/>
        <v/>
      </c>
      <c r="GZ41" s="194" t="str">
        <f t="shared" ref="GZ41:GZ58" si="350">IF($GU$6="","",IF(AZ41="","",AZ41))</f>
        <v/>
      </c>
      <c r="HA41" s="194" t="str">
        <f t="shared" si="68"/>
        <v/>
      </c>
      <c r="HB41" s="194" t="str">
        <f t="shared" si="69"/>
        <v/>
      </c>
      <c r="HC41" s="194" t="str">
        <f t="shared" si="70"/>
        <v/>
      </c>
      <c r="HD41" s="194" t="str">
        <f t="shared" si="71"/>
        <v/>
      </c>
      <c r="HE41" s="194" t="str">
        <f t="shared" si="72"/>
        <v/>
      </c>
      <c r="HF41" s="194" t="str">
        <f t="shared" ref="HF41:HF58" si="351">IF($HA$6="","",IF(BH41="","",BH41))</f>
        <v/>
      </c>
      <c r="HG41" s="194" t="str">
        <f t="shared" si="74"/>
        <v/>
      </c>
      <c r="HH41" s="194" t="str">
        <f t="shared" si="75"/>
        <v/>
      </c>
      <c r="HI41" s="194" t="str">
        <f t="shared" si="76"/>
        <v/>
      </c>
      <c r="HJ41" s="194" t="str">
        <f t="shared" si="77"/>
        <v/>
      </c>
      <c r="HK41" s="194" t="str">
        <f t="shared" si="78"/>
        <v/>
      </c>
      <c r="HL41" s="194" t="str">
        <f t="shared" ref="HL41:HL58" si="352">IF($HG$6="","",IF(BP41="","",BP41))</f>
        <v/>
      </c>
      <c r="HM41" s="194" t="str">
        <f t="shared" si="80"/>
        <v/>
      </c>
      <c r="HN41" s="194" t="str">
        <f t="shared" si="81"/>
        <v/>
      </c>
      <c r="HO41" s="194" t="str">
        <f t="shared" si="82"/>
        <v/>
      </c>
      <c r="HP41" s="194" t="str">
        <f t="shared" si="83"/>
        <v/>
      </c>
      <c r="HQ41" s="194" t="str">
        <f t="shared" si="84"/>
        <v/>
      </c>
      <c r="HR41" s="194" t="str">
        <f t="shared" ref="HR41:HR58" si="353">IF($HM$6="","",IF(BX41="","",BX41))</f>
        <v/>
      </c>
      <c r="HS41" s="194" t="str">
        <f t="shared" si="86"/>
        <v/>
      </c>
      <c r="HT41" s="194" t="str">
        <f t="shared" si="87"/>
        <v/>
      </c>
      <c r="HU41" s="194" t="str">
        <f t="shared" si="88"/>
        <v/>
      </c>
      <c r="HV41" s="194" t="str">
        <f t="shared" si="89"/>
        <v/>
      </c>
      <c r="HW41" s="194" t="str">
        <f t="shared" si="90"/>
        <v/>
      </c>
      <c r="HX41" s="194" t="str">
        <f t="shared" ref="HX41:HX58" si="354">IF($HS$6="","",IF(CF41="","",CF41))</f>
        <v/>
      </c>
      <c r="HY41" s="194" t="str">
        <f t="shared" si="92"/>
        <v/>
      </c>
      <c r="HZ41" s="194" t="str">
        <f t="shared" si="93"/>
        <v/>
      </c>
      <c r="IA41" s="194" t="str">
        <f t="shared" si="94"/>
        <v/>
      </c>
      <c r="IB41" s="194" t="str">
        <f t="shared" si="95"/>
        <v/>
      </c>
      <c r="IC41" s="194" t="str">
        <f t="shared" si="96"/>
        <v/>
      </c>
      <c r="ID41" s="194" t="str">
        <f t="shared" ref="ID41:ID58" si="355">IF($HY$6="","",IF(CN41="","",CN41))</f>
        <v/>
      </c>
      <c r="IE41" s="194" t="str">
        <f t="shared" si="98"/>
        <v/>
      </c>
      <c r="IF41" s="194" t="str">
        <f t="shared" si="99"/>
        <v/>
      </c>
      <c r="IG41" s="194" t="str">
        <f t="shared" si="100"/>
        <v/>
      </c>
      <c r="IH41" s="194" t="str">
        <f t="shared" si="101"/>
        <v/>
      </c>
      <c r="II41" s="194" t="str">
        <f t="shared" si="102"/>
        <v/>
      </c>
      <c r="IJ41" s="194" t="str">
        <f t="shared" ref="IJ41:IJ58" si="356">IF($IE$6="","",IF(CV41="","",CV41))</f>
        <v/>
      </c>
      <c r="IK41" s="194" t="str">
        <f t="shared" si="104"/>
        <v/>
      </c>
      <c r="IL41" s="194" t="str">
        <f t="shared" si="105"/>
        <v/>
      </c>
      <c r="IM41" s="194" t="str">
        <f t="shared" si="106"/>
        <v/>
      </c>
      <c r="IN41" s="194" t="str">
        <f t="shared" si="107"/>
        <v/>
      </c>
      <c r="IO41" s="194" t="str">
        <f t="shared" si="108"/>
        <v/>
      </c>
      <c r="IP41" s="194" t="str">
        <f t="shared" ref="IP41:IP58" si="357">IF($IK$6="","",IF(DD41="","",DD41))</f>
        <v/>
      </c>
      <c r="IQ41" s="194" t="str">
        <f t="shared" si="110"/>
        <v/>
      </c>
      <c r="IR41" s="194" t="str">
        <f t="shared" si="111"/>
        <v/>
      </c>
      <c r="IS41" s="194" t="str">
        <f t="shared" si="112"/>
        <v/>
      </c>
      <c r="IT41" s="194" t="str">
        <f t="shared" si="113"/>
        <v/>
      </c>
      <c r="IU41" s="194" t="str">
        <f t="shared" si="114"/>
        <v/>
      </c>
      <c r="IV41" s="194" t="str">
        <f t="shared" ref="IV41:IV58" si="358">IF($IQ$6="","",IF(DL41="","",DL41))</f>
        <v/>
      </c>
      <c r="IW41" s="194" t="str">
        <f t="shared" si="116"/>
        <v/>
      </c>
      <c r="IX41" s="194" t="str">
        <f t="shared" si="117"/>
        <v/>
      </c>
      <c r="IY41" s="194" t="str">
        <f t="shared" si="118"/>
        <v/>
      </c>
      <c r="IZ41" s="194" t="str">
        <f t="shared" si="119"/>
        <v/>
      </c>
      <c r="JA41" s="194" t="str">
        <f t="shared" si="120"/>
        <v/>
      </c>
      <c r="JB41" s="194" t="str">
        <f t="shared" si="121"/>
        <v/>
      </c>
      <c r="JC41" s="194" t="str">
        <f t="shared" si="122"/>
        <v/>
      </c>
      <c r="JD41" s="194" t="str">
        <f t="shared" si="123"/>
        <v/>
      </c>
      <c r="JE41" s="194" t="str">
        <f t="shared" si="124"/>
        <v/>
      </c>
      <c r="JF41" s="194" t="str">
        <f t="shared" si="125"/>
        <v/>
      </c>
      <c r="JG41" s="194" t="str">
        <f t="shared" si="126"/>
        <v/>
      </c>
      <c r="JH41" s="194" t="str">
        <f t="shared" si="127"/>
        <v/>
      </c>
      <c r="JI41" s="194" t="str">
        <f t="shared" si="128"/>
        <v/>
      </c>
      <c r="JJ41" s="194" t="str">
        <f t="shared" si="129"/>
        <v/>
      </c>
      <c r="JK41" s="194" t="str">
        <f t="shared" si="130"/>
        <v/>
      </c>
      <c r="JL41" s="194" t="str">
        <f t="shared" si="131"/>
        <v/>
      </c>
      <c r="JM41" s="194" t="str">
        <f t="shared" si="132"/>
        <v/>
      </c>
      <c r="JN41" s="194" t="str">
        <f t="shared" si="133"/>
        <v/>
      </c>
      <c r="JO41" s="194" t="str">
        <f t="shared" si="134"/>
        <v/>
      </c>
      <c r="JP41" s="194" t="str">
        <f t="shared" si="135"/>
        <v/>
      </c>
      <c r="JQ41" s="194" t="str">
        <f t="shared" si="136"/>
        <v/>
      </c>
      <c r="JR41" s="194" t="str">
        <f t="shared" si="137"/>
        <v/>
      </c>
      <c r="JS41" s="194" t="str">
        <f t="shared" si="138"/>
        <v/>
      </c>
      <c r="JT41" s="194" t="str">
        <f t="shared" si="139"/>
        <v/>
      </c>
      <c r="JU41" s="194" t="str">
        <f t="shared" si="140"/>
        <v/>
      </c>
      <c r="JV41" s="194" t="str">
        <f t="shared" si="141"/>
        <v/>
      </c>
      <c r="JW41" s="194" t="str">
        <f t="shared" si="142"/>
        <v/>
      </c>
      <c r="JX41" s="194" t="str">
        <f t="shared" si="143"/>
        <v/>
      </c>
      <c r="JY41" s="194" t="str">
        <f t="shared" si="144"/>
        <v/>
      </c>
      <c r="JZ41" s="194" t="str">
        <f t="shared" si="145"/>
        <v/>
      </c>
      <c r="KA41" s="194" t="str">
        <f t="shared" si="146"/>
        <v/>
      </c>
      <c r="KB41" s="194" t="str">
        <f t="shared" si="147"/>
        <v/>
      </c>
      <c r="KC41" s="194" t="str">
        <f t="shared" si="148"/>
        <v/>
      </c>
      <c r="KD41" s="194" t="str">
        <f t="shared" si="149"/>
        <v/>
      </c>
      <c r="KE41" s="194" t="str">
        <f t="shared" si="150"/>
        <v/>
      </c>
      <c r="KF41" s="194" t="str">
        <f t="shared" si="151"/>
        <v/>
      </c>
      <c r="KG41" s="194">
        <f>SUM(LE41:LX41)/COUNTA(RefKI3KI4!$B$5:$B$24)</f>
        <v>0</v>
      </c>
      <c r="KH41" s="232">
        <f t="shared" si="198"/>
        <v>0</v>
      </c>
      <c r="KI41" s="340" t="str">
        <f t="shared" si="199"/>
        <v>ok</v>
      </c>
      <c r="KJ41" s="340" t="str">
        <f t="shared" si="200"/>
        <v>ok</v>
      </c>
      <c r="KK41" s="340" t="str">
        <f t="shared" si="201"/>
        <v/>
      </c>
      <c r="KL41" s="340" t="str">
        <f t="shared" si="202"/>
        <v/>
      </c>
      <c r="KM41" s="340" t="str">
        <f t="shared" si="203"/>
        <v/>
      </c>
      <c r="KN41" s="340" t="str">
        <f t="shared" si="204"/>
        <v/>
      </c>
      <c r="KO41" s="340" t="str">
        <f t="shared" si="205"/>
        <v/>
      </c>
      <c r="KP41" s="340" t="str">
        <f t="shared" si="206"/>
        <v/>
      </c>
      <c r="KQ41" s="340" t="str">
        <f t="shared" si="207"/>
        <v/>
      </c>
      <c r="KR41" s="340" t="str">
        <f t="shared" si="208"/>
        <v/>
      </c>
      <c r="KS41" s="340" t="str">
        <f t="shared" si="209"/>
        <v/>
      </c>
      <c r="KT41" s="340" t="str">
        <f t="shared" si="210"/>
        <v/>
      </c>
      <c r="KU41" s="340" t="str">
        <f t="shared" si="211"/>
        <v/>
      </c>
      <c r="KV41" s="340" t="str">
        <f t="shared" si="212"/>
        <v/>
      </c>
      <c r="KW41" s="340" t="str">
        <f t="shared" si="213"/>
        <v/>
      </c>
      <c r="KX41" s="340" t="str">
        <f t="shared" si="214"/>
        <v/>
      </c>
      <c r="KY41" s="340" t="str">
        <f t="shared" si="215"/>
        <v/>
      </c>
      <c r="KZ41" s="340" t="str">
        <f t="shared" si="216"/>
        <v/>
      </c>
      <c r="LA41" s="340" t="str">
        <f t="shared" si="217"/>
        <v/>
      </c>
      <c r="LB41" s="340" t="str">
        <f t="shared" si="218"/>
        <v/>
      </c>
      <c r="LC41" s="340">
        <f t="shared" si="219"/>
        <v>0</v>
      </c>
      <c r="LD41" s="228">
        <v>33</v>
      </c>
      <c r="LE41" s="229" t="str">
        <f t="shared" si="220"/>
        <v/>
      </c>
      <c r="LF41" s="229" t="str">
        <f t="shared" si="221"/>
        <v/>
      </c>
      <c r="LG41" s="229" t="str">
        <f t="shared" si="222"/>
        <v/>
      </c>
      <c r="LH41" s="229" t="str">
        <f t="shared" si="223"/>
        <v/>
      </c>
      <c r="LI41" s="229" t="str">
        <f t="shared" si="224"/>
        <v/>
      </c>
      <c r="LJ41" s="229" t="str">
        <f t="shared" si="225"/>
        <v/>
      </c>
      <c r="LK41" s="229" t="str">
        <f t="shared" si="226"/>
        <v/>
      </c>
      <c r="LL41" s="229" t="str">
        <f t="shared" si="227"/>
        <v/>
      </c>
      <c r="LM41" s="229" t="str">
        <f t="shared" si="228"/>
        <v/>
      </c>
      <c r="LN41" s="229" t="str">
        <f t="shared" si="229"/>
        <v/>
      </c>
      <c r="LO41" s="229" t="str">
        <f t="shared" si="230"/>
        <v/>
      </c>
      <c r="LP41" s="229" t="str">
        <f t="shared" si="231"/>
        <v/>
      </c>
      <c r="LQ41" s="229" t="str">
        <f t="shared" si="232"/>
        <v/>
      </c>
      <c r="LR41" s="229" t="str">
        <f t="shared" si="233"/>
        <v/>
      </c>
      <c r="LS41" s="229" t="str">
        <f t="shared" si="234"/>
        <v/>
      </c>
      <c r="LT41" s="229" t="str">
        <f t="shared" si="235"/>
        <v/>
      </c>
      <c r="LU41" s="229" t="str">
        <f t="shared" si="236"/>
        <v/>
      </c>
      <c r="LV41" s="229" t="str">
        <f t="shared" si="237"/>
        <v/>
      </c>
      <c r="LW41" s="229" t="str">
        <f t="shared" si="238"/>
        <v/>
      </c>
      <c r="LX41" s="229" t="str">
        <f t="shared" si="239"/>
        <v/>
      </c>
      <c r="LY41" s="231" t="str">
        <f t="shared" si="240"/>
        <v/>
      </c>
      <c r="LZ41" s="231" t="str">
        <f t="shared" si="241"/>
        <v/>
      </c>
      <c r="MA41" s="231" t="str">
        <f t="shared" si="242"/>
        <v/>
      </c>
      <c r="MB41" s="231" t="str">
        <f t="shared" si="243"/>
        <v/>
      </c>
      <c r="MC41" s="231" t="str">
        <f t="shared" si="244"/>
        <v/>
      </c>
      <c r="MD41" s="231" t="str">
        <f t="shared" si="245"/>
        <v/>
      </c>
      <c r="ME41" s="231" t="str">
        <f t="shared" si="246"/>
        <v/>
      </c>
      <c r="MF41" s="231" t="str">
        <f t="shared" si="247"/>
        <v/>
      </c>
      <c r="MG41" s="231" t="str">
        <f t="shared" si="248"/>
        <v/>
      </c>
      <c r="MH41" s="231" t="str">
        <f t="shared" si="249"/>
        <v/>
      </c>
      <c r="MI41" s="231" t="str">
        <f t="shared" si="250"/>
        <v/>
      </c>
      <c r="MJ41" s="231" t="str">
        <f t="shared" si="251"/>
        <v/>
      </c>
      <c r="MK41" s="231" t="str">
        <f t="shared" si="252"/>
        <v/>
      </c>
      <c r="ML41" s="231" t="str">
        <f t="shared" si="253"/>
        <v/>
      </c>
      <c r="MM41" s="231" t="str">
        <f t="shared" si="254"/>
        <v/>
      </c>
      <c r="MN41" s="231" t="str">
        <f t="shared" si="255"/>
        <v/>
      </c>
      <c r="MO41" s="231" t="str">
        <f t="shared" si="256"/>
        <v/>
      </c>
      <c r="MP41" s="231" t="str">
        <f t="shared" si="257"/>
        <v/>
      </c>
      <c r="MQ41" s="231" t="str">
        <f t="shared" si="258"/>
        <v/>
      </c>
      <c r="MR41" s="231" t="str">
        <f t="shared" si="259"/>
        <v/>
      </c>
      <c r="MS41" s="231" t="str">
        <f t="shared" ref="MS41:MS58" si="359">IF(FI41="","",IF(MAX(LY41:MR41)=0,"",MAX(LY41:MR41)))</f>
        <v/>
      </c>
      <c r="MT41" s="232" t="str">
        <f>IF(MS41="","",IF(MS41&gt;=KONVERSI!$A$5,KONVERSI!$E$5,IF(MS41&gt;=KONVERSI!$A$6,KONVERSI!$E$6,IF(MS41&gt;=KONVERSI!$A$7,KONVERSI!$E$7,KONVERSI!$E$8))))</f>
        <v/>
      </c>
      <c r="MU41" s="233" t="str">
        <f t="shared" ref="MU41:MU58" si="360">IF(MS41="","",IF(FI41&gt;=$FN$4,MT41&amp;" dalam"&amp;INDEX($LY$8:$MR$8,MATCH(MS41,LY41:MR41,0)),""))</f>
        <v/>
      </c>
      <c r="MV41" s="234" t="str">
        <f t="shared" si="260"/>
        <v/>
      </c>
      <c r="MW41" s="232" t="str">
        <f>IF(MV41="","",IF(MV41&gt;=KONVERSI!$A$5,KONVERSI!$E$5,IF(MV41&gt;=KONVERSI!$A$6,KONVERSI!$E$6,IF(MV41&gt;=KONVERSI!$A$7,KONVERSI!$E$7,KONVERSI!$E$8))))</f>
        <v/>
      </c>
      <c r="MX41" s="134" t="str">
        <f>IF(FI41&lt;$FN$4," "&amp;KONVERSI!$C$18&amp;INDEX($LY$8:$MR$8,MATCH(MV41,LY41:MR41,0))&amp;".",IF(KG41=0,"",IF(MV41&lt;&gt;0,MU41&amp;MW41&amp;".",MU41&amp;".")))</f>
        <v/>
      </c>
      <c r="MY41" s="235" t="str">
        <f t="shared" si="261"/>
        <v/>
      </c>
      <c r="MZ41" s="235" t="str">
        <f t="shared" si="262"/>
        <v/>
      </c>
      <c r="NA41" s="235" t="str">
        <f t="shared" si="263"/>
        <v/>
      </c>
      <c r="NB41" s="235" t="str">
        <f t="shared" si="264"/>
        <v/>
      </c>
      <c r="NC41" s="235" t="str">
        <f t="shared" si="265"/>
        <v/>
      </c>
      <c r="ND41" s="235" t="str">
        <f t="shared" si="266"/>
        <v/>
      </c>
      <c r="NE41" s="235" t="str">
        <f t="shared" si="267"/>
        <v/>
      </c>
      <c r="NF41" s="235" t="str">
        <f t="shared" si="268"/>
        <v/>
      </c>
      <c r="NG41" s="235" t="str">
        <f t="shared" si="269"/>
        <v/>
      </c>
      <c r="NH41" s="235" t="str">
        <f t="shared" si="270"/>
        <v/>
      </c>
      <c r="NI41" s="235" t="str">
        <f t="shared" si="271"/>
        <v/>
      </c>
      <c r="NJ41" s="235" t="str">
        <f t="shared" si="272"/>
        <v/>
      </c>
      <c r="NK41" s="235" t="str">
        <f t="shared" si="273"/>
        <v/>
      </c>
      <c r="NL41" s="235" t="str">
        <f t="shared" si="274"/>
        <v/>
      </c>
      <c r="NM41" s="235" t="str">
        <f t="shared" si="275"/>
        <v/>
      </c>
      <c r="NN41" s="235" t="str">
        <f t="shared" si="276"/>
        <v/>
      </c>
      <c r="NO41" s="235" t="str">
        <f t="shared" si="277"/>
        <v/>
      </c>
      <c r="NP41" s="235" t="str">
        <f t="shared" si="278"/>
        <v/>
      </c>
      <c r="NQ41" s="235" t="str">
        <f t="shared" si="279"/>
        <v/>
      </c>
      <c r="NR41" s="235" t="str">
        <f t="shared" si="280"/>
        <v/>
      </c>
      <c r="NS41" s="134" t="str">
        <f t="shared" si="281"/>
        <v/>
      </c>
      <c r="NT41" s="134" t="str">
        <f t="shared" si="282"/>
        <v/>
      </c>
      <c r="NU41" s="134" t="str">
        <f t="shared" si="283"/>
        <v/>
      </c>
      <c r="NV41" s="134" t="str">
        <f t="shared" si="284"/>
        <v/>
      </c>
      <c r="NW41" s="134" t="str">
        <f t="shared" si="285"/>
        <v/>
      </c>
      <c r="NX41" s="134" t="str">
        <f t="shared" si="286"/>
        <v/>
      </c>
      <c r="NY41" s="134" t="str">
        <f t="shared" si="287"/>
        <v/>
      </c>
      <c r="NZ41" s="134" t="str">
        <f t="shared" si="288"/>
        <v/>
      </c>
      <c r="OA41" s="134" t="str">
        <f t="shared" si="289"/>
        <v/>
      </c>
      <c r="OB41" s="134" t="str">
        <f t="shared" si="290"/>
        <v/>
      </c>
      <c r="OC41" s="134" t="str">
        <f t="shared" si="291"/>
        <v/>
      </c>
      <c r="OD41" s="134" t="str">
        <f t="shared" si="292"/>
        <v/>
      </c>
      <c r="OE41" s="134" t="str">
        <f t="shared" si="293"/>
        <v/>
      </c>
      <c r="OF41" s="134" t="str">
        <f t="shared" si="294"/>
        <v/>
      </c>
      <c r="OG41" s="134" t="str">
        <f t="shared" si="295"/>
        <v/>
      </c>
      <c r="OH41" s="134" t="str">
        <f t="shared" si="296"/>
        <v/>
      </c>
      <c r="OI41" s="134" t="str">
        <f t="shared" si="297"/>
        <v/>
      </c>
      <c r="OJ41" s="134" t="str">
        <f t="shared" si="298"/>
        <v/>
      </c>
      <c r="OK41" s="134" t="str">
        <f t="shared" si="299"/>
        <v/>
      </c>
      <c r="OL41" s="134" t="str">
        <f t="shared" si="300"/>
        <v/>
      </c>
      <c r="OM41" s="134" t="str">
        <f t="shared" si="301"/>
        <v/>
      </c>
      <c r="ON41" s="134" t="str">
        <f t="shared" si="302"/>
        <v>  </v>
      </c>
      <c r="OO41" s="236">
        <f t="shared" ref="OO41:OO58" si="361">COUNTIF(MY41:NR41,"OK")</f>
        <v>0</v>
      </c>
      <c r="OP41" s="235" t="str">
        <f t="shared" si="303"/>
        <v/>
      </c>
      <c r="OQ41" s="235" t="str">
        <f t="shared" si="304"/>
        <v/>
      </c>
      <c r="OR41" s="235" t="str">
        <f t="shared" si="305"/>
        <v/>
      </c>
      <c r="OS41" s="235" t="str">
        <f t="shared" si="306"/>
        <v/>
      </c>
      <c r="OT41" s="235" t="str">
        <f t="shared" si="307"/>
        <v/>
      </c>
      <c r="OU41" s="235" t="str">
        <f t="shared" si="308"/>
        <v/>
      </c>
      <c r="OV41" s="235" t="str">
        <f t="shared" si="309"/>
        <v/>
      </c>
      <c r="OW41" s="235" t="str">
        <f t="shared" si="310"/>
        <v/>
      </c>
      <c r="OX41" s="235" t="str">
        <f t="shared" si="311"/>
        <v/>
      </c>
      <c r="OY41" s="235" t="str">
        <f t="shared" si="312"/>
        <v/>
      </c>
      <c r="OZ41" s="235" t="str">
        <f t="shared" si="313"/>
        <v/>
      </c>
      <c r="PA41" s="235" t="str">
        <f t="shared" si="314"/>
        <v/>
      </c>
      <c r="PB41" s="235" t="str">
        <f t="shared" si="315"/>
        <v/>
      </c>
      <c r="PC41" s="235" t="str">
        <f t="shared" si="316"/>
        <v/>
      </c>
      <c r="PD41" s="235" t="str">
        <f t="shared" si="317"/>
        <v/>
      </c>
      <c r="PE41" s="235" t="str">
        <f t="shared" si="318"/>
        <v/>
      </c>
      <c r="PF41" s="235" t="str">
        <f t="shared" si="319"/>
        <v/>
      </c>
      <c r="PG41" s="235" t="str">
        <f t="shared" si="320"/>
        <v/>
      </c>
      <c r="PH41" s="235" t="str">
        <f t="shared" si="321"/>
        <v/>
      </c>
      <c r="PI41" s="235" t="str">
        <f t="shared" si="322"/>
        <v/>
      </c>
      <c r="PJ41" s="134" t="str">
        <f t="shared" si="323"/>
        <v/>
      </c>
      <c r="PK41" s="134" t="str">
        <f t="shared" si="324"/>
        <v/>
      </c>
      <c r="PL41" s="134" t="str">
        <f t="shared" si="325"/>
        <v/>
      </c>
      <c r="PM41" s="134" t="str">
        <f t="shared" si="326"/>
        <v/>
      </c>
      <c r="PN41" s="134" t="str">
        <f t="shared" si="327"/>
        <v/>
      </c>
      <c r="PO41" s="134" t="str">
        <f t="shared" si="328"/>
        <v/>
      </c>
      <c r="PP41" s="134" t="str">
        <f t="shared" si="329"/>
        <v/>
      </c>
      <c r="PQ41" s="134" t="str">
        <f t="shared" si="330"/>
        <v/>
      </c>
      <c r="PR41" s="134" t="str">
        <f t="shared" si="331"/>
        <v/>
      </c>
      <c r="PS41" s="134" t="str">
        <f t="shared" si="332"/>
        <v/>
      </c>
      <c r="PT41" s="134" t="str">
        <f t="shared" si="333"/>
        <v/>
      </c>
      <c r="PU41" s="134" t="str">
        <f t="shared" si="334"/>
        <v/>
      </c>
      <c r="PV41" s="134" t="str">
        <f t="shared" si="335"/>
        <v/>
      </c>
      <c r="PW41" s="134" t="str">
        <f t="shared" si="336"/>
        <v/>
      </c>
      <c r="PX41" s="134" t="str">
        <f t="shared" si="337"/>
        <v/>
      </c>
      <c r="PY41" s="134" t="str">
        <f t="shared" si="338"/>
        <v/>
      </c>
      <c r="PZ41" s="134" t="str">
        <f t="shared" si="339"/>
        <v/>
      </c>
      <c r="QA41" s="134" t="str">
        <f t="shared" si="340"/>
        <v/>
      </c>
      <c r="QB41" s="134" t="str">
        <f t="shared" si="341"/>
        <v/>
      </c>
      <c r="QC41" s="134" t="str">
        <f t="shared" si="342"/>
        <v/>
      </c>
      <c r="QD41" s="134" t="str">
        <f>IF(MT41=MW41,"",IF(MV41="","",IF(MV41&gt;=KONVERSI!$A$7,'KI3'!MW41&amp;" dalam"&amp;PJ41&amp;PK41&amp;PL41&amp;PM41&amp;PN41&amp;PO41&amp;PP41&amp;PQ41&amp;PR41&amp;PS41&amp;PT41&amp;PU41&amp;PV41&amp;PW41&amp;PX41&amp;PY41&amp;PZ41&amp;QA41&amp;QB41&amp;QC41,KONVERSI!$C$18&amp;" dalam"&amp;PJ41&amp;PK41&amp;PL41&amp;PM41&amp;PN41&amp;PO41&amp;PP41&amp;PQ41&amp;PR41&amp;PS41&amp;PT41&amp;PU41&amp;PV41&amp;PW41&amp;PX41&amp;PY41&amp;PZ41&amp;QA41&amp;QB41&amp;QC41)))</f>
        <v/>
      </c>
      <c r="QE41" s="134" t="str">
        <f t="shared" si="343"/>
        <v/>
      </c>
      <c r="QF41" s="236">
        <f t="shared" ref="QF41:QF58" si="362">COUNTIF(OP41:PI41,"OK")</f>
        <v>0</v>
      </c>
      <c r="QG41" s="134" t="str">
        <f t="shared" ref="QG41:QG58" si="363">IF(FI41="","",ON41&amp;IF(QF41=0,"",QE41))</f>
        <v/>
      </c>
    </row>
    <row r="42" ht="27.6" customHeight="1" spans="1:449">
      <c r="A42" s="136"/>
      <c r="B42" s="177">
        <v>34</v>
      </c>
      <c r="C42" s="178">
        <f>siswa!C38</f>
        <v>0</v>
      </c>
      <c r="D42" s="174">
        <f>siswa!D38</f>
        <v>0</v>
      </c>
      <c r="E42" s="181"/>
      <c r="F42" s="176"/>
      <c r="G42" s="176"/>
      <c r="H42" s="176"/>
      <c r="I42" s="176"/>
      <c r="J42" s="176"/>
      <c r="K42" s="176"/>
      <c r="L42" s="223" t="str">
        <f t="shared" si="174"/>
        <v/>
      </c>
      <c r="M42" s="181"/>
      <c r="N42" s="176"/>
      <c r="O42" s="176"/>
      <c r="P42" s="176"/>
      <c r="Q42" s="176"/>
      <c r="R42" s="176"/>
      <c r="S42" s="176"/>
      <c r="T42" s="223" t="str">
        <f t="shared" si="175"/>
        <v/>
      </c>
      <c r="U42" s="181"/>
      <c r="V42" s="176"/>
      <c r="W42" s="176"/>
      <c r="X42" s="176"/>
      <c r="Y42" s="176"/>
      <c r="Z42" s="176"/>
      <c r="AA42" s="176"/>
      <c r="AB42" s="223">
        <f t="shared" si="176"/>
        <v>0</v>
      </c>
      <c r="AC42" s="181"/>
      <c r="AD42" s="176"/>
      <c r="AE42" s="176"/>
      <c r="AF42" s="248"/>
      <c r="AG42" s="176"/>
      <c r="AH42" s="176"/>
      <c r="AI42" s="176"/>
      <c r="AJ42" s="223">
        <f t="shared" si="177"/>
        <v>0</v>
      </c>
      <c r="AK42" s="181"/>
      <c r="AL42" s="176"/>
      <c r="AM42" s="176"/>
      <c r="AN42" s="176"/>
      <c r="AO42" s="176"/>
      <c r="AP42" s="176"/>
      <c r="AQ42" s="176"/>
      <c r="AR42" s="223">
        <f t="shared" si="178"/>
        <v>0</v>
      </c>
      <c r="AS42" s="181"/>
      <c r="AT42" s="176"/>
      <c r="AU42" s="176"/>
      <c r="AV42" s="176"/>
      <c r="AW42" s="176"/>
      <c r="AX42" s="176"/>
      <c r="AY42" s="176"/>
      <c r="AZ42" s="223">
        <f t="shared" si="179"/>
        <v>0</v>
      </c>
      <c r="BA42" s="181"/>
      <c r="BB42" s="176"/>
      <c r="BC42" s="176"/>
      <c r="BD42" s="176"/>
      <c r="BE42" s="176"/>
      <c r="BF42" s="176"/>
      <c r="BG42" s="176"/>
      <c r="BH42" s="223">
        <f t="shared" si="180"/>
        <v>0</v>
      </c>
      <c r="BI42" s="181"/>
      <c r="BJ42" s="176"/>
      <c r="BK42" s="176"/>
      <c r="BL42" s="176"/>
      <c r="BM42" s="176"/>
      <c r="BN42" s="176"/>
      <c r="BO42" s="176"/>
      <c r="BP42" s="223">
        <f t="shared" si="181"/>
        <v>0</v>
      </c>
      <c r="BQ42" s="181"/>
      <c r="BR42" s="176"/>
      <c r="BS42" s="176"/>
      <c r="BT42" s="176"/>
      <c r="BU42" s="176"/>
      <c r="BV42" s="176"/>
      <c r="BW42" s="176"/>
      <c r="BX42" s="223">
        <f t="shared" si="182"/>
        <v>0</v>
      </c>
      <c r="BY42" s="181"/>
      <c r="BZ42" s="176"/>
      <c r="CA42" s="176"/>
      <c r="CB42" s="176"/>
      <c r="CC42" s="176"/>
      <c r="CD42" s="176"/>
      <c r="CE42" s="176"/>
      <c r="CF42" s="223">
        <f t="shared" si="183"/>
        <v>0</v>
      </c>
      <c r="CG42" s="181"/>
      <c r="CH42" s="176"/>
      <c r="CI42" s="176"/>
      <c r="CJ42" s="176"/>
      <c r="CK42" s="176"/>
      <c r="CL42" s="176"/>
      <c r="CM42" s="176"/>
      <c r="CN42" s="223">
        <f t="shared" si="184"/>
        <v>0</v>
      </c>
      <c r="CO42" s="181"/>
      <c r="CP42" s="176"/>
      <c r="CQ42" s="176"/>
      <c r="CR42" s="176"/>
      <c r="CS42" s="176"/>
      <c r="CT42" s="176"/>
      <c r="CU42" s="176"/>
      <c r="CV42" s="223">
        <f t="shared" si="185"/>
        <v>0</v>
      </c>
      <c r="CW42" s="181"/>
      <c r="CX42" s="176"/>
      <c r="CY42" s="176"/>
      <c r="CZ42" s="176"/>
      <c r="DA42" s="176"/>
      <c r="DB42" s="176"/>
      <c r="DC42" s="176"/>
      <c r="DD42" s="223">
        <f t="shared" si="186"/>
        <v>0</v>
      </c>
      <c r="DE42" s="181"/>
      <c r="DF42" s="176"/>
      <c r="DG42" s="176"/>
      <c r="DH42" s="176"/>
      <c r="DI42" s="176"/>
      <c r="DJ42" s="176"/>
      <c r="DK42" s="176"/>
      <c r="DL42" s="223">
        <f t="shared" si="187"/>
        <v>0</v>
      </c>
      <c r="DM42" s="181"/>
      <c r="DN42" s="176"/>
      <c r="DO42" s="176"/>
      <c r="DP42" s="176"/>
      <c r="DQ42" s="176"/>
      <c r="DR42" s="176"/>
      <c r="DS42" s="176"/>
      <c r="DT42" s="223">
        <f t="shared" si="188"/>
        <v>0</v>
      </c>
      <c r="DU42" s="181"/>
      <c r="DV42" s="176"/>
      <c r="DW42" s="176"/>
      <c r="DX42" s="176"/>
      <c r="DY42" s="176"/>
      <c r="DZ42" s="176"/>
      <c r="EA42" s="176"/>
      <c r="EB42" s="223">
        <f t="shared" si="189"/>
        <v>0</v>
      </c>
      <c r="EC42" s="181"/>
      <c r="ED42" s="176"/>
      <c r="EE42" s="176"/>
      <c r="EF42" s="176"/>
      <c r="EG42" s="176"/>
      <c r="EH42" s="176"/>
      <c r="EI42" s="176"/>
      <c r="EJ42" s="223">
        <f t="shared" si="190"/>
        <v>0</v>
      </c>
      <c r="EK42" s="181"/>
      <c r="EL42" s="176"/>
      <c r="EM42" s="176"/>
      <c r="EN42" s="176"/>
      <c r="EO42" s="176"/>
      <c r="EP42" s="176"/>
      <c r="EQ42" s="176"/>
      <c r="ER42" s="223">
        <f t="shared" si="191"/>
        <v>0</v>
      </c>
      <c r="ES42" s="181"/>
      <c r="ET42" s="176"/>
      <c r="EU42" s="176"/>
      <c r="EV42" s="176"/>
      <c r="EW42" s="176"/>
      <c r="EX42" s="176"/>
      <c r="EY42" s="176"/>
      <c r="EZ42" s="223">
        <f t="shared" si="192"/>
        <v>0</v>
      </c>
      <c r="FA42" s="181"/>
      <c r="FB42" s="176"/>
      <c r="FC42" s="176"/>
      <c r="FD42" s="176"/>
      <c r="FE42" s="176"/>
      <c r="FF42" s="176"/>
      <c r="FG42" s="176"/>
      <c r="FH42" s="223">
        <f t="shared" si="193"/>
        <v>0</v>
      </c>
      <c r="FI42" s="291" t="str">
        <f t="shared" si="194"/>
        <v/>
      </c>
      <c r="FJ42" s="250"/>
      <c r="FK42" s="250"/>
      <c r="FL42" s="291" t="str">
        <f t="shared" si="195"/>
        <v/>
      </c>
      <c r="FM42" s="312" t="str">
        <f>IFERROR(IF(FL42="","",IF(FL42&gt;=KONVERSI!$A$5,KONVERSI!$D$5,IF(FL42&gt;=KONVERSI!$A$6,KONVERSI!$D$6,IF(FL42&gt;=KONVERSI!$A$7,KONVERSI!$D$7,KONVERSI!$D$8)))),"")</f>
        <v/>
      </c>
      <c r="FN42" s="232" t="str">
        <f t="shared" si="196"/>
        <v/>
      </c>
      <c r="FO42" s="313"/>
      <c r="FP42" s="314">
        <f t="shared" si="197"/>
        <v>0</v>
      </c>
      <c r="FQ42" s="194" t="str">
        <f t="shared" si="33"/>
        <v/>
      </c>
      <c r="FR42" s="194" t="str">
        <f t="shared" si="34"/>
        <v/>
      </c>
      <c r="FS42" s="194" t="str">
        <f t="shared" si="35"/>
        <v/>
      </c>
      <c r="FT42" s="194" t="str">
        <f t="shared" si="36"/>
        <v/>
      </c>
      <c r="FU42" s="194" t="str">
        <f t="shared" si="37"/>
        <v/>
      </c>
      <c r="FV42" s="194" t="str">
        <f t="shared" si="345"/>
        <v/>
      </c>
      <c r="FW42" s="194" t="str">
        <f t="shared" si="39"/>
        <v/>
      </c>
      <c r="FX42" s="194" t="str">
        <f t="shared" si="344"/>
        <v/>
      </c>
      <c r="FY42" s="194" t="str">
        <f t="shared" si="40"/>
        <v/>
      </c>
      <c r="FZ42" s="194" t="str">
        <f t="shared" si="41"/>
        <v/>
      </c>
      <c r="GA42" s="194" t="str">
        <f t="shared" si="42"/>
        <v/>
      </c>
      <c r="GB42" s="194" t="str">
        <f t="shared" si="346"/>
        <v/>
      </c>
      <c r="GC42" s="194" t="str">
        <f t="shared" si="44"/>
        <v/>
      </c>
      <c r="GD42" s="194" t="str">
        <f t="shared" si="45"/>
        <v/>
      </c>
      <c r="GE42" s="194" t="str">
        <f t="shared" si="46"/>
        <v/>
      </c>
      <c r="GF42" s="194" t="str">
        <f t="shared" si="47"/>
        <v/>
      </c>
      <c r="GG42" s="194" t="str">
        <f t="shared" si="48"/>
        <v/>
      </c>
      <c r="GH42" s="194" t="str">
        <f t="shared" si="347"/>
        <v/>
      </c>
      <c r="GI42" s="194" t="str">
        <f t="shared" si="50"/>
        <v/>
      </c>
      <c r="GJ42" s="194" t="str">
        <f t="shared" si="51"/>
        <v/>
      </c>
      <c r="GK42" s="194" t="str">
        <f t="shared" si="52"/>
        <v/>
      </c>
      <c r="GL42" s="194" t="str">
        <f t="shared" si="53"/>
        <v/>
      </c>
      <c r="GM42" s="194" t="str">
        <f t="shared" si="54"/>
        <v/>
      </c>
      <c r="GN42" s="194" t="str">
        <f t="shared" si="348"/>
        <v/>
      </c>
      <c r="GO42" s="194" t="str">
        <f t="shared" si="56"/>
        <v/>
      </c>
      <c r="GP42" s="194" t="str">
        <f t="shared" si="57"/>
        <v/>
      </c>
      <c r="GQ42" s="194" t="str">
        <f t="shared" si="58"/>
        <v/>
      </c>
      <c r="GR42" s="194" t="str">
        <f t="shared" si="59"/>
        <v/>
      </c>
      <c r="GS42" s="194" t="str">
        <f t="shared" si="60"/>
        <v/>
      </c>
      <c r="GT42" s="194" t="str">
        <f t="shared" si="349"/>
        <v/>
      </c>
      <c r="GU42" s="194" t="str">
        <f t="shared" si="62"/>
        <v/>
      </c>
      <c r="GV42" s="194" t="str">
        <f t="shared" si="63"/>
        <v/>
      </c>
      <c r="GW42" s="194" t="str">
        <f t="shared" si="64"/>
        <v/>
      </c>
      <c r="GX42" s="194" t="str">
        <f t="shared" si="65"/>
        <v/>
      </c>
      <c r="GY42" s="194" t="str">
        <f t="shared" si="66"/>
        <v/>
      </c>
      <c r="GZ42" s="194" t="str">
        <f t="shared" si="350"/>
        <v/>
      </c>
      <c r="HA42" s="194" t="str">
        <f t="shared" si="68"/>
        <v/>
      </c>
      <c r="HB42" s="194" t="str">
        <f t="shared" si="69"/>
        <v/>
      </c>
      <c r="HC42" s="194" t="str">
        <f t="shared" si="70"/>
        <v/>
      </c>
      <c r="HD42" s="194" t="str">
        <f t="shared" si="71"/>
        <v/>
      </c>
      <c r="HE42" s="194" t="str">
        <f t="shared" si="72"/>
        <v/>
      </c>
      <c r="HF42" s="194" t="str">
        <f t="shared" si="351"/>
        <v/>
      </c>
      <c r="HG42" s="194" t="str">
        <f t="shared" si="74"/>
        <v/>
      </c>
      <c r="HH42" s="194" t="str">
        <f t="shared" si="75"/>
        <v/>
      </c>
      <c r="HI42" s="194" t="str">
        <f t="shared" si="76"/>
        <v/>
      </c>
      <c r="HJ42" s="194" t="str">
        <f t="shared" si="77"/>
        <v/>
      </c>
      <c r="HK42" s="194" t="str">
        <f t="shared" si="78"/>
        <v/>
      </c>
      <c r="HL42" s="194" t="str">
        <f t="shared" si="352"/>
        <v/>
      </c>
      <c r="HM42" s="194" t="str">
        <f t="shared" si="80"/>
        <v/>
      </c>
      <c r="HN42" s="194" t="str">
        <f t="shared" si="81"/>
        <v/>
      </c>
      <c r="HO42" s="194" t="str">
        <f t="shared" si="82"/>
        <v/>
      </c>
      <c r="HP42" s="194" t="str">
        <f t="shared" si="83"/>
        <v/>
      </c>
      <c r="HQ42" s="194" t="str">
        <f t="shared" si="84"/>
        <v/>
      </c>
      <c r="HR42" s="194" t="str">
        <f t="shared" si="353"/>
        <v/>
      </c>
      <c r="HS42" s="194" t="str">
        <f t="shared" si="86"/>
        <v/>
      </c>
      <c r="HT42" s="194" t="str">
        <f t="shared" si="87"/>
        <v/>
      </c>
      <c r="HU42" s="194" t="str">
        <f t="shared" si="88"/>
        <v/>
      </c>
      <c r="HV42" s="194" t="str">
        <f t="shared" si="89"/>
        <v/>
      </c>
      <c r="HW42" s="194" t="str">
        <f t="shared" si="90"/>
        <v/>
      </c>
      <c r="HX42" s="194" t="str">
        <f t="shared" si="354"/>
        <v/>
      </c>
      <c r="HY42" s="194" t="str">
        <f t="shared" si="92"/>
        <v/>
      </c>
      <c r="HZ42" s="194" t="str">
        <f t="shared" si="93"/>
        <v/>
      </c>
      <c r="IA42" s="194" t="str">
        <f t="shared" si="94"/>
        <v/>
      </c>
      <c r="IB42" s="194" t="str">
        <f t="shared" si="95"/>
        <v/>
      </c>
      <c r="IC42" s="194" t="str">
        <f t="shared" si="96"/>
        <v/>
      </c>
      <c r="ID42" s="194" t="str">
        <f t="shared" si="355"/>
        <v/>
      </c>
      <c r="IE42" s="194" t="str">
        <f t="shared" si="98"/>
        <v/>
      </c>
      <c r="IF42" s="194" t="str">
        <f t="shared" si="99"/>
        <v/>
      </c>
      <c r="IG42" s="194" t="str">
        <f t="shared" si="100"/>
        <v/>
      </c>
      <c r="IH42" s="194" t="str">
        <f t="shared" si="101"/>
        <v/>
      </c>
      <c r="II42" s="194" t="str">
        <f t="shared" si="102"/>
        <v/>
      </c>
      <c r="IJ42" s="194" t="str">
        <f t="shared" si="356"/>
        <v/>
      </c>
      <c r="IK42" s="194" t="str">
        <f t="shared" si="104"/>
        <v/>
      </c>
      <c r="IL42" s="194" t="str">
        <f t="shared" si="105"/>
        <v/>
      </c>
      <c r="IM42" s="194" t="str">
        <f t="shared" si="106"/>
        <v/>
      </c>
      <c r="IN42" s="194" t="str">
        <f t="shared" si="107"/>
        <v/>
      </c>
      <c r="IO42" s="194" t="str">
        <f t="shared" si="108"/>
        <v/>
      </c>
      <c r="IP42" s="194" t="str">
        <f t="shared" si="357"/>
        <v/>
      </c>
      <c r="IQ42" s="194" t="str">
        <f t="shared" si="110"/>
        <v/>
      </c>
      <c r="IR42" s="194" t="str">
        <f t="shared" si="111"/>
        <v/>
      </c>
      <c r="IS42" s="194" t="str">
        <f t="shared" si="112"/>
        <v/>
      </c>
      <c r="IT42" s="194" t="str">
        <f t="shared" si="113"/>
        <v/>
      </c>
      <c r="IU42" s="194" t="str">
        <f t="shared" si="114"/>
        <v/>
      </c>
      <c r="IV42" s="194" t="str">
        <f t="shared" si="358"/>
        <v/>
      </c>
      <c r="IW42" s="194" t="str">
        <f t="shared" si="116"/>
        <v/>
      </c>
      <c r="IX42" s="194" t="str">
        <f t="shared" si="117"/>
        <v/>
      </c>
      <c r="IY42" s="194" t="str">
        <f t="shared" si="118"/>
        <v/>
      </c>
      <c r="IZ42" s="194" t="str">
        <f t="shared" si="119"/>
        <v/>
      </c>
      <c r="JA42" s="194" t="str">
        <f t="shared" si="120"/>
        <v/>
      </c>
      <c r="JB42" s="194" t="str">
        <f t="shared" si="121"/>
        <v/>
      </c>
      <c r="JC42" s="194" t="str">
        <f t="shared" si="122"/>
        <v/>
      </c>
      <c r="JD42" s="194" t="str">
        <f t="shared" si="123"/>
        <v/>
      </c>
      <c r="JE42" s="194" t="str">
        <f t="shared" si="124"/>
        <v/>
      </c>
      <c r="JF42" s="194" t="str">
        <f t="shared" si="125"/>
        <v/>
      </c>
      <c r="JG42" s="194" t="str">
        <f t="shared" si="126"/>
        <v/>
      </c>
      <c r="JH42" s="194" t="str">
        <f t="shared" si="127"/>
        <v/>
      </c>
      <c r="JI42" s="194" t="str">
        <f t="shared" si="128"/>
        <v/>
      </c>
      <c r="JJ42" s="194" t="str">
        <f t="shared" si="129"/>
        <v/>
      </c>
      <c r="JK42" s="194" t="str">
        <f t="shared" si="130"/>
        <v/>
      </c>
      <c r="JL42" s="194" t="str">
        <f t="shared" si="131"/>
        <v/>
      </c>
      <c r="JM42" s="194" t="str">
        <f t="shared" si="132"/>
        <v/>
      </c>
      <c r="JN42" s="194" t="str">
        <f t="shared" si="133"/>
        <v/>
      </c>
      <c r="JO42" s="194" t="str">
        <f t="shared" si="134"/>
        <v/>
      </c>
      <c r="JP42" s="194" t="str">
        <f t="shared" si="135"/>
        <v/>
      </c>
      <c r="JQ42" s="194" t="str">
        <f t="shared" si="136"/>
        <v/>
      </c>
      <c r="JR42" s="194" t="str">
        <f t="shared" si="137"/>
        <v/>
      </c>
      <c r="JS42" s="194" t="str">
        <f t="shared" si="138"/>
        <v/>
      </c>
      <c r="JT42" s="194" t="str">
        <f t="shared" si="139"/>
        <v/>
      </c>
      <c r="JU42" s="194" t="str">
        <f t="shared" si="140"/>
        <v/>
      </c>
      <c r="JV42" s="194" t="str">
        <f t="shared" si="141"/>
        <v/>
      </c>
      <c r="JW42" s="194" t="str">
        <f t="shared" si="142"/>
        <v/>
      </c>
      <c r="JX42" s="194" t="str">
        <f t="shared" si="143"/>
        <v/>
      </c>
      <c r="JY42" s="194" t="str">
        <f t="shared" si="144"/>
        <v/>
      </c>
      <c r="JZ42" s="194" t="str">
        <f t="shared" si="145"/>
        <v/>
      </c>
      <c r="KA42" s="194" t="str">
        <f t="shared" si="146"/>
        <v/>
      </c>
      <c r="KB42" s="194" t="str">
        <f t="shared" si="147"/>
        <v/>
      </c>
      <c r="KC42" s="194" t="str">
        <f t="shared" si="148"/>
        <v/>
      </c>
      <c r="KD42" s="194" t="str">
        <f t="shared" si="149"/>
        <v/>
      </c>
      <c r="KE42" s="194" t="str">
        <f t="shared" si="150"/>
        <v/>
      </c>
      <c r="KF42" s="194" t="str">
        <f t="shared" si="151"/>
        <v/>
      </c>
      <c r="KG42" s="194">
        <f>SUM(LE42:LX42)/COUNTA(RefKI3KI4!$B$5:$B$24)</f>
        <v>0</v>
      </c>
      <c r="KH42" s="232">
        <f t="shared" si="198"/>
        <v>0</v>
      </c>
      <c r="KI42" s="340" t="str">
        <f t="shared" si="199"/>
        <v>ok</v>
      </c>
      <c r="KJ42" s="340" t="str">
        <f t="shared" si="200"/>
        <v>ok</v>
      </c>
      <c r="KK42" s="340" t="str">
        <f t="shared" si="201"/>
        <v/>
      </c>
      <c r="KL42" s="340" t="str">
        <f t="shared" si="202"/>
        <v/>
      </c>
      <c r="KM42" s="340" t="str">
        <f t="shared" si="203"/>
        <v/>
      </c>
      <c r="KN42" s="340" t="str">
        <f t="shared" si="204"/>
        <v/>
      </c>
      <c r="KO42" s="340" t="str">
        <f t="shared" si="205"/>
        <v/>
      </c>
      <c r="KP42" s="340" t="str">
        <f t="shared" si="206"/>
        <v/>
      </c>
      <c r="KQ42" s="340" t="str">
        <f t="shared" si="207"/>
        <v/>
      </c>
      <c r="KR42" s="340" t="str">
        <f t="shared" si="208"/>
        <v/>
      </c>
      <c r="KS42" s="340" t="str">
        <f t="shared" si="209"/>
        <v/>
      </c>
      <c r="KT42" s="340" t="str">
        <f t="shared" si="210"/>
        <v/>
      </c>
      <c r="KU42" s="340" t="str">
        <f t="shared" si="211"/>
        <v/>
      </c>
      <c r="KV42" s="340" t="str">
        <f t="shared" si="212"/>
        <v/>
      </c>
      <c r="KW42" s="340" t="str">
        <f t="shared" si="213"/>
        <v/>
      </c>
      <c r="KX42" s="340" t="str">
        <f t="shared" si="214"/>
        <v/>
      </c>
      <c r="KY42" s="340" t="str">
        <f t="shared" si="215"/>
        <v/>
      </c>
      <c r="KZ42" s="340" t="str">
        <f t="shared" si="216"/>
        <v/>
      </c>
      <c r="LA42" s="340" t="str">
        <f t="shared" si="217"/>
        <v/>
      </c>
      <c r="LB42" s="340" t="str">
        <f t="shared" si="218"/>
        <v/>
      </c>
      <c r="LC42" s="340">
        <f t="shared" si="219"/>
        <v>0</v>
      </c>
      <c r="LD42" s="228">
        <v>34</v>
      </c>
      <c r="LE42" s="229" t="str">
        <f t="shared" si="220"/>
        <v/>
      </c>
      <c r="LF42" s="229" t="str">
        <f t="shared" si="221"/>
        <v/>
      </c>
      <c r="LG42" s="229" t="str">
        <f t="shared" si="222"/>
        <v/>
      </c>
      <c r="LH42" s="229" t="str">
        <f t="shared" si="223"/>
        <v/>
      </c>
      <c r="LI42" s="229" t="str">
        <f t="shared" si="224"/>
        <v/>
      </c>
      <c r="LJ42" s="229" t="str">
        <f t="shared" si="225"/>
        <v/>
      </c>
      <c r="LK42" s="229" t="str">
        <f t="shared" si="226"/>
        <v/>
      </c>
      <c r="LL42" s="229" t="str">
        <f t="shared" si="227"/>
        <v/>
      </c>
      <c r="LM42" s="229" t="str">
        <f t="shared" si="228"/>
        <v/>
      </c>
      <c r="LN42" s="229" t="str">
        <f t="shared" si="229"/>
        <v/>
      </c>
      <c r="LO42" s="229" t="str">
        <f t="shared" si="230"/>
        <v/>
      </c>
      <c r="LP42" s="229" t="str">
        <f t="shared" si="231"/>
        <v/>
      </c>
      <c r="LQ42" s="229" t="str">
        <f t="shared" si="232"/>
        <v/>
      </c>
      <c r="LR42" s="229" t="str">
        <f t="shared" si="233"/>
        <v/>
      </c>
      <c r="LS42" s="229" t="str">
        <f t="shared" si="234"/>
        <v/>
      </c>
      <c r="LT42" s="229" t="str">
        <f t="shared" si="235"/>
        <v/>
      </c>
      <c r="LU42" s="229" t="str">
        <f t="shared" si="236"/>
        <v/>
      </c>
      <c r="LV42" s="229" t="str">
        <f t="shared" si="237"/>
        <v/>
      </c>
      <c r="LW42" s="229" t="str">
        <f t="shared" si="238"/>
        <v/>
      </c>
      <c r="LX42" s="229" t="str">
        <f t="shared" si="239"/>
        <v/>
      </c>
      <c r="LY42" s="231" t="str">
        <f t="shared" si="240"/>
        <v/>
      </c>
      <c r="LZ42" s="231" t="str">
        <f t="shared" si="241"/>
        <v/>
      </c>
      <c r="MA42" s="231" t="str">
        <f t="shared" si="242"/>
        <v/>
      </c>
      <c r="MB42" s="231" t="str">
        <f t="shared" si="243"/>
        <v/>
      </c>
      <c r="MC42" s="231" t="str">
        <f t="shared" si="244"/>
        <v/>
      </c>
      <c r="MD42" s="231" t="str">
        <f t="shared" si="245"/>
        <v/>
      </c>
      <c r="ME42" s="231" t="str">
        <f t="shared" si="246"/>
        <v/>
      </c>
      <c r="MF42" s="231" t="str">
        <f t="shared" si="247"/>
        <v/>
      </c>
      <c r="MG42" s="231" t="str">
        <f t="shared" si="248"/>
        <v/>
      </c>
      <c r="MH42" s="231" t="str">
        <f t="shared" si="249"/>
        <v/>
      </c>
      <c r="MI42" s="231" t="str">
        <f t="shared" si="250"/>
        <v/>
      </c>
      <c r="MJ42" s="231" t="str">
        <f t="shared" si="251"/>
        <v/>
      </c>
      <c r="MK42" s="231" t="str">
        <f t="shared" si="252"/>
        <v/>
      </c>
      <c r="ML42" s="231" t="str">
        <f t="shared" si="253"/>
        <v/>
      </c>
      <c r="MM42" s="231" t="str">
        <f t="shared" si="254"/>
        <v/>
      </c>
      <c r="MN42" s="231" t="str">
        <f t="shared" si="255"/>
        <v/>
      </c>
      <c r="MO42" s="231" t="str">
        <f t="shared" si="256"/>
        <v/>
      </c>
      <c r="MP42" s="231" t="str">
        <f t="shared" si="257"/>
        <v/>
      </c>
      <c r="MQ42" s="231" t="str">
        <f t="shared" si="258"/>
        <v/>
      </c>
      <c r="MR42" s="231" t="str">
        <f t="shared" si="259"/>
        <v/>
      </c>
      <c r="MS42" s="231" t="str">
        <f t="shared" si="359"/>
        <v/>
      </c>
      <c r="MT42" s="232" t="str">
        <f>IF(MS42="","",IF(MS42&gt;=KONVERSI!$A$5,KONVERSI!$E$5,IF(MS42&gt;=KONVERSI!$A$6,KONVERSI!$E$6,IF(MS42&gt;=KONVERSI!$A$7,KONVERSI!$E$7,KONVERSI!$E$8))))</f>
        <v/>
      </c>
      <c r="MU42" s="233" t="str">
        <f t="shared" si="360"/>
        <v/>
      </c>
      <c r="MV42" s="234" t="str">
        <f t="shared" si="260"/>
        <v/>
      </c>
      <c r="MW42" s="232" t="str">
        <f>IF(MV42="","",IF(MV42&gt;=KONVERSI!$A$5,KONVERSI!$E$5,IF(MV42&gt;=KONVERSI!$A$6,KONVERSI!$E$6,IF(MV42&gt;=KONVERSI!$A$7,KONVERSI!$E$7,KONVERSI!$E$8))))</f>
        <v/>
      </c>
      <c r="MX42" s="134" t="str">
        <f>IF(FI42&lt;$FN$4," "&amp;KONVERSI!$C$18&amp;INDEX($LY$8:$MR$8,MATCH(MV42,LY42:MR42,0))&amp;".",IF(KG42=0,"",IF(MV42&lt;&gt;0,MU42&amp;MW42&amp;".",MU42&amp;".")))</f>
        <v/>
      </c>
      <c r="MY42" s="235" t="str">
        <f t="shared" si="261"/>
        <v/>
      </c>
      <c r="MZ42" s="235" t="str">
        <f t="shared" si="262"/>
        <v/>
      </c>
      <c r="NA42" s="235" t="str">
        <f t="shared" si="263"/>
        <v/>
      </c>
      <c r="NB42" s="235" t="str">
        <f t="shared" si="264"/>
        <v/>
      </c>
      <c r="NC42" s="235" t="str">
        <f t="shared" si="265"/>
        <v/>
      </c>
      <c r="ND42" s="235" t="str">
        <f t="shared" si="266"/>
        <v/>
      </c>
      <c r="NE42" s="235" t="str">
        <f t="shared" si="267"/>
        <v/>
      </c>
      <c r="NF42" s="235" t="str">
        <f t="shared" si="268"/>
        <v/>
      </c>
      <c r="NG42" s="235" t="str">
        <f t="shared" si="269"/>
        <v/>
      </c>
      <c r="NH42" s="235" t="str">
        <f t="shared" si="270"/>
        <v/>
      </c>
      <c r="NI42" s="235" t="str">
        <f t="shared" si="271"/>
        <v/>
      </c>
      <c r="NJ42" s="235" t="str">
        <f t="shared" si="272"/>
        <v/>
      </c>
      <c r="NK42" s="235" t="str">
        <f t="shared" si="273"/>
        <v/>
      </c>
      <c r="NL42" s="235" t="str">
        <f t="shared" si="274"/>
        <v/>
      </c>
      <c r="NM42" s="235" t="str">
        <f t="shared" si="275"/>
        <v/>
      </c>
      <c r="NN42" s="235" t="str">
        <f t="shared" si="276"/>
        <v/>
      </c>
      <c r="NO42" s="235" t="str">
        <f t="shared" si="277"/>
        <v/>
      </c>
      <c r="NP42" s="235" t="str">
        <f t="shared" si="278"/>
        <v/>
      </c>
      <c r="NQ42" s="235" t="str">
        <f t="shared" si="279"/>
        <v/>
      </c>
      <c r="NR42" s="235" t="str">
        <f t="shared" si="280"/>
        <v/>
      </c>
      <c r="NS42" s="134" t="str">
        <f t="shared" si="281"/>
        <v/>
      </c>
      <c r="NT42" s="134" t="str">
        <f t="shared" si="282"/>
        <v/>
      </c>
      <c r="NU42" s="134" t="str">
        <f t="shared" si="283"/>
        <v/>
      </c>
      <c r="NV42" s="134" t="str">
        <f t="shared" si="284"/>
        <v/>
      </c>
      <c r="NW42" s="134" t="str">
        <f t="shared" si="285"/>
        <v/>
      </c>
      <c r="NX42" s="134" t="str">
        <f t="shared" si="286"/>
        <v/>
      </c>
      <c r="NY42" s="134" t="str">
        <f t="shared" si="287"/>
        <v/>
      </c>
      <c r="NZ42" s="134" t="str">
        <f t="shared" si="288"/>
        <v/>
      </c>
      <c r="OA42" s="134" t="str">
        <f t="shared" si="289"/>
        <v/>
      </c>
      <c r="OB42" s="134" t="str">
        <f t="shared" si="290"/>
        <v/>
      </c>
      <c r="OC42" s="134" t="str">
        <f t="shared" si="291"/>
        <v/>
      </c>
      <c r="OD42" s="134" t="str">
        <f t="shared" si="292"/>
        <v/>
      </c>
      <c r="OE42" s="134" t="str">
        <f t="shared" si="293"/>
        <v/>
      </c>
      <c r="OF42" s="134" t="str">
        <f t="shared" si="294"/>
        <v/>
      </c>
      <c r="OG42" s="134" t="str">
        <f t="shared" si="295"/>
        <v/>
      </c>
      <c r="OH42" s="134" t="str">
        <f t="shared" si="296"/>
        <v/>
      </c>
      <c r="OI42" s="134" t="str">
        <f t="shared" si="297"/>
        <v/>
      </c>
      <c r="OJ42" s="134" t="str">
        <f t="shared" si="298"/>
        <v/>
      </c>
      <c r="OK42" s="134" t="str">
        <f t="shared" si="299"/>
        <v/>
      </c>
      <c r="OL42" s="134" t="str">
        <f t="shared" si="300"/>
        <v/>
      </c>
      <c r="OM42" s="134" t="str">
        <f t="shared" si="301"/>
        <v/>
      </c>
      <c r="ON42" s="134" t="str">
        <f t="shared" si="302"/>
        <v>  </v>
      </c>
      <c r="OO42" s="236">
        <f t="shared" si="361"/>
        <v>0</v>
      </c>
      <c r="OP42" s="235" t="str">
        <f t="shared" si="303"/>
        <v/>
      </c>
      <c r="OQ42" s="235" t="str">
        <f t="shared" si="304"/>
        <v/>
      </c>
      <c r="OR42" s="235" t="str">
        <f t="shared" si="305"/>
        <v/>
      </c>
      <c r="OS42" s="235" t="str">
        <f t="shared" si="306"/>
        <v/>
      </c>
      <c r="OT42" s="235" t="str">
        <f t="shared" si="307"/>
        <v/>
      </c>
      <c r="OU42" s="235" t="str">
        <f t="shared" si="308"/>
        <v/>
      </c>
      <c r="OV42" s="235" t="str">
        <f t="shared" si="309"/>
        <v/>
      </c>
      <c r="OW42" s="235" t="str">
        <f t="shared" si="310"/>
        <v/>
      </c>
      <c r="OX42" s="235" t="str">
        <f t="shared" si="311"/>
        <v/>
      </c>
      <c r="OY42" s="235" t="str">
        <f t="shared" si="312"/>
        <v/>
      </c>
      <c r="OZ42" s="235" t="str">
        <f t="shared" si="313"/>
        <v/>
      </c>
      <c r="PA42" s="235" t="str">
        <f t="shared" si="314"/>
        <v/>
      </c>
      <c r="PB42" s="235" t="str">
        <f t="shared" si="315"/>
        <v/>
      </c>
      <c r="PC42" s="235" t="str">
        <f t="shared" si="316"/>
        <v/>
      </c>
      <c r="PD42" s="235" t="str">
        <f t="shared" si="317"/>
        <v/>
      </c>
      <c r="PE42" s="235" t="str">
        <f t="shared" si="318"/>
        <v/>
      </c>
      <c r="PF42" s="235" t="str">
        <f t="shared" si="319"/>
        <v/>
      </c>
      <c r="PG42" s="235" t="str">
        <f t="shared" si="320"/>
        <v/>
      </c>
      <c r="PH42" s="235" t="str">
        <f t="shared" si="321"/>
        <v/>
      </c>
      <c r="PI42" s="235" t="str">
        <f t="shared" si="322"/>
        <v/>
      </c>
      <c r="PJ42" s="134" t="str">
        <f t="shared" si="323"/>
        <v/>
      </c>
      <c r="PK42" s="134" t="str">
        <f t="shared" si="324"/>
        <v/>
      </c>
      <c r="PL42" s="134" t="str">
        <f t="shared" si="325"/>
        <v/>
      </c>
      <c r="PM42" s="134" t="str">
        <f t="shared" si="326"/>
        <v/>
      </c>
      <c r="PN42" s="134" t="str">
        <f t="shared" si="327"/>
        <v/>
      </c>
      <c r="PO42" s="134" t="str">
        <f t="shared" si="328"/>
        <v/>
      </c>
      <c r="PP42" s="134" t="str">
        <f t="shared" si="329"/>
        <v/>
      </c>
      <c r="PQ42" s="134" t="str">
        <f t="shared" si="330"/>
        <v/>
      </c>
      <c r="PR42" s="134" t="str">
        <f t="shared" si="331"/>
        <v/>
      </c>
      <c r="PS42" s="134" t="str">
        <f t="shared" si="332"/>
        <v/>
      </c>
      <c r="PT42" s="134" t="str">
        <f t="shared" si="333"/>
        <v/>
      </c>
      <c r="PU42" s="134" t="str">
        <f t="shared" si="334"/>
        <v/>
      </c>
      <c r="PV42" s="134" t="str">
        <f t="shared" si="335"/>
        <v/>
      </c>
      <c r="PW42" s="134" t="str">
        <f t="shared" si="336"/>
        <v/>
      </c>
      <c r="PX42" s="134" t="str">
        <f t="shared" si="337"/>
        <v/>
      </c>
      <c r="PY42" s="134" t="str">
        <f t="shared" si="338"/>
        <v/>
      </c>
      <c r="PZ42" s="134" t="str">
        <f t="shared" si="339"/>
        <v/>
      </c>
      <c r="QA42" s="134" t="str">
        <f t="shared" si="340"/>
        <v/>
      </c>
      <c r="QB42" s="134" t="str">
        <f t="shared" si="341"/>
        <v/>
      </c>
      <c r="QC42" s="134" t="str">
        <f t="shared" si="342"/>
        <v/>
      </c>
      <c r="QD42" s="134" t="str">
        <f>IF(MT42=MW42,"",IF(MV42="","",IF(MV42&gt;=KONVERSI!$A$7,'KI3'!MW42&amp;" dalam"&amp;PJ42&amp;PK42&amp;PL42&amp;PM42&amp;PN42&amp;PO42&amp;PP42&amp;PQ42&amp;PR42&amp;PS42&amp;PT42&amp;PU42&amp;PV42&amp;PW42&amp;PX42&amp;PY42&amp;PZ42&amp;QA42&amp;QB42&amp;QC42,KONVERSI!$C$18&amp;" dalam"&amp;PJ42&amp;PK42&amp;PL42&amp;PM42&amp;PN42&amp;PO42&amp;PP42&amp;PQ42&amp;PR42&amp;PS42&amp;PT42&amp;PU42&amp;PV42&amp;PW42&amp;PX42&amp;PY42&amp;PZ42&amp;QA42&amp;QB42&amp;QC42)))</f>
        <v/>
      </c>
      <c r="QE42" s="134" t="str">
        <f t="shared" si="343"/>
        <v/>
      </c>
      <c r="QF42" s="236">
        <f t="shared" si="362"/>
        <v>0</v>
      </c>
      <c r="QG42" s="134" t="str">
        <f t="shared" si="363"/>
        <v/>
      </c>
    </row>
    <row r="43" ht="27.6" customHeight="1" spans="1:449">
      <c r="A43" s="136"/>
      <c r="B43" s="177">
        <v>35</v>
      </c>
      <c r="C43" s="178">
        <f>siswa!C39</f>
        <v>0</v>
      </c>
      <c r="D43" s="174">
        <f>siswa!D39</f>
        <v>0</v>
      </c>
      <c r="E43" s="181"/>
      <c r="F43" s="176"/>
      <c r="G43" s="176"/>
      <c r="H43" s="176"/>
      <c r="I43" s="176"/>
      <c r="J43" s="176"/>
      <c r="K43" s="176"/>
      <c r="L43" s="223" t="str">
        <f t="shared" si="174"/>
        <v/>
      </c>
      <c r="M43" s="181"/>
      <c r="N43" s="176"/>
      <c r="O43" s="176"/>
      <c r="P43" s="176"/>
      <c r="Q43" s="176"/>
      <c r="R43" s="176"/>
      <c r="S43" s="176"/>
      <c r="T43" s="223" t="str">
        <f t="shared" si="175"/>
        <v/>
      </c>
      <c r="U43" s="181"/>
      <c r="V43" s="176"/>
      <c r="W43" s="176"/>
      <c r="X43" s="176"/>
      <c r="Y43" s="176"/>
      <c r="Z43" s="176"/>
      <c r="AA43" s="176"/>
      <c r="AB43" s="223">
        <f t="shared" si="176"/>
        <v>0</v>
      </c>
      <c r="AC43" s="181"/>
      <c r="AD43" s="176"/>
      <c r="AE43" s="176"/>
      <c r="AF43" s="248"/>
      <c r="AG43" s="176"/>
      <c r="AH43" s="176"/>
      <c r="AI43" s="176"/>
      <c r="AJ43" s="223">
        <f t="shared" si="177"/>
        <v>0</v>
      </c>
      <c r="AK43" s="181"/>
      <c r="AL43" s="176"/>
      <c r="AM43" s="176"/>
      <c r="AN43" s="176"/>
      <c r="AO43" s="176"/>
      <c r="AP43" s="176"/>
      <c r="AQ43" s="176"/>
      <c r="AR43" s="223">
        <f t="shared" si="178"/>
        <v>0</v>
      </c>
      <c r="AS43" s="181"/>
      <c r="AT43" s="176"/>
      <c r="AU43" s="176"/>
      <c r="AV43" s="176"/>
      <c r="AW43" s="176"/>
      <c r="AX43" s="176"/>
      <c r="AY43" s="176"/>
      <c r="AZ43" s="223">
        <f t="shared" si="179"/>
        <v>0</v>
      </c>
      <c r="BA43" s="181"/>
      <c r="BB43" s="176"/>
      <c r="BC43" s="176"/>
      <c r="BD43" s="176"/>
      <c r="BE43" s="176"/>
      <c r="BF43" s="176"/>
      <c r="BG43" s="176"/>
      <c r="BH43" s="223">
        <f t="shared" si="180"/>
        <v>0</v>
      </c>
      <c r="BI43" s="181"/>
      <c r="BJ43" s="176"/>
      <c r="BK43" s="176"/>
      <c r="BL43" s="176"/>
      <c r="BM43" s="176"/>
      <c r="BN43" s="176"/>
      <c r="BO43" s="176"/>
      <c r="BP43" s="223">
        <f t="shared" si="181"/>
        <v>0</v>
      </c>
      <c r="BQ43" s="181"/>
      <c r="BR43" s="176"/>
      <c r="BS43" s="176"/>
      <c r="BT43" s="176"/>
      <c r="BU43" s="176"/>
      <c r="BV43" s="176"/>
      <c r="BW43" s="176"/>
      <c r="BX43" s="223">
        <f t="shared" si="182"/>
        <v>0</v>
      </c>
      <c r="BY43" s="181"/>
      <c r="BZ43" s="176"/>
      <c r="CA43" s="176"/>
      <c r="CB43" s="176"/>
      <c r="CC43" s="176"/>
      <c r="CD43" s="176"/>
      <c r="CE43" s="176"/>
      <c r="CF43" s="223">
        <f t="shared" si="183"/>
        <v>0</v>
      </c>
      <c r="CG43" s="181"/>
      <c r="CH43" s="176"/>
      <c r="CI43" s="176"/>
      <c r="CJ43" s="176"/>
      <c r="CK43" s="176"/>
      <c r="CL43" s="176"/>
      <c r="CM43" s="176"/>
      <c r="CN43" s="223">
        <f t="shared" si="184"/>
        <v>0</v>
      </c>
      <c r="CO43" s="181"/>
      <c r="CP43" s="176"/>
      <c r="CQ43" s="176"/>
      <c r="CR43" s="176"/>
      <c r="CS43" s="176"/>
      <c r="CT43" s="176"/>
      <c r="CU43" s="176"/>
      <c r="CV43" s="223">
        <f t="shared" si="185"/>
        <v>0</v>
      </c>
      <c r="CW43" s="181"/>
      <c r="CX43" s="176"/>
      <c r="CY43" s="176"/>
      <c r="CZ43" s="176"/>
      <c r="DA43" s="176"/>
      <c r="DB43" s="176"/>
      <c r="DC43" s="176"/>
      <c r="DD43" s="223">
        <f t="shared" si="186"/>
        <v>0</v>
      </c>
      <c r="DE43" s="181"/>
      <c r="DF43" s="176"/>
      <c r="DG43" s="176"/>
      <c r="DH43" s="176"/>
      <c r="DI43" s="176"/>
      <c r="DJ43" s="176"/>
      <c r="DK43" s="176"/>
      <c r="DL43" s="223">
        <f t="shared" si="187"/>
        <v>0</v>
      </c>
      <c r="DM43" s="181"/>
      <c r="DN43" s="176"/>
      <c r="DO43" s="176"/>
      <c r="DP43" s="176"/>
      <c r="DQ43" s="176"/>
      <c r="DR43" s="176"/>
      <c r="DS43" s="176"/>
      <c r="DT43" s="223">
        <f t="shared" si="188"/>
        <v>0</v>
      </c>
      <c r="DU43" s="181"/>
      <c r="DV43" s="176"/>
      <c r="DW43" s="176"/>
      <c r="DX43" s="176"/>
      <c r="DY43" s="176"/>
      <c r="DZ43" s="176"/>
      <c r="EA43" s="176"/>
      <c r="EB43" s="223">
        <f t="shared" si="189"/>
        <v>0</v>
      </c>
      <c r="EC43" s="181"/>
      <c r="ED43" s="176"/>
      <c r="EE43" s="176"/>
      <c r="EF43" s="176"/>
      <c r="EG43" s="176"/>
      <c r="EH43" s="176"/>
      <c r="EI43" s="176"/>
      <c r="EJ43" s="223">
        <f t="shared" si="190"/>
        <v>0</v>
      </c>
      <c r="EK43" s="181"/>
      <c r="EL43" s="176"/>
      <c r="EM43" s="176"/>
      <c r="EN43" s="176"/>
      <c r="EO43" s="176"/>
      <c r="EP43" s="176"/>
      <c r="EQ43" s="176"/>
      <c r="ER43" s="223">
        <f t="shared" si="191"/>
        <v>0</v>
      </c>
      <c r="ES43" s="181"/>
      <c r="ET43" s="176"/>
      <c r="EU43" s="176"/>
      <c r="EV43" s="176"/>
      <c r="EW43" s="176"/>
      <c r="EX43" s="176"/>
      <c r="EY43" s="176"/>
      <c r="EZ43" s="223">
        <f t="shared" si="192"/>
        <v>0</v>
      </c>
      <c r="FA43" s="181"/>
      <c r="FB43" s="176"/>
      <c r="FC43" s="176"/>
      <c r="FD43" s="176"/>
      <c r="FE43" s="176"/>
      <c r="FF43" s="176"/>
      <c r="FG43" s="176"/>
      <c r="FH43" s="223">
        <f t="shared" si="193"/>
        <v>0</v>
      </c>
      <c r="FI43" s="291" t="str">
        <f t="shared" si="194"/>
        <v/>
      </c>
      <c r="FJ43" s="250"/>
      <c r="FK43" s="250"/>
      <c r="FL43" s="291" t="str">
        <f t="shared" si="195"/>
        <v/>
      </c>
      <c r="FM43" s="312" t="str">
        <f>IFERROR(IF(FL43="","",IF(FL43&gt;=KONVERSI!$A$5,KONVERSI!$D$5,IF(FL43&gt;=KONVERSI!$A$6,KONVERSI!$D$6,IF(FL43&gt;=KONVERSI!$A$7,KONVERSI!$D$7,KONVERSI!$D$8)))),"")</f>
        <v/>
      </c>
      <c r="FN43" s="232" t="str">
        <f t="shared" si="196"/>
        <v/>
      </c>
      <c r="FO43" s="313"/>
      <c r="FP43" s="314">
        <f t="shared" si="197"/>
        <v>0</v>
      </c>
      <c r="FQ43" s="194" t="str">
        <f t="shared" si="33"/>
        <v/>
      </c>
      <c r="FR43" s="194" t="str">
        <f t="shared" si="34"/>
        <v/>
      </c>
      <c r="FS43" s="194" t="str">
        <f t="shared" si="35"/>
        <v/>
      </c>
      <c r="FT43" s="194" t="str">
        <f t="shared" si="36"/>
        <v/>
      </c>
      <c r="FU43" s="194" t="str">
        <f t="shared" si="37"/>
        <v/>
      </c>
      <c r="FV43" s="194" t="str">
        <f t="shared" si="345"/>
        <v/>
      </c>
      <c r="FW43" s="194" t="str">
        <f t="shared" si="39"/>
        <v/>
      </c>
      <c r="FX43" s="194" t="str">
        <f t="shared" si="344"/>
        <v/>
      </c>
      <c r="FY43" s="194" t="str">
        <f t="shared" si="40"/>
        <v/>
      </c>
      <c r="FZ43" s="194" t="str">
        <f t="shared" si="41"/>
        <v/>
      </c>
      <c r="GA43" s="194" t="str">
        <f t="shared" si="42"/>
        <v/>
      </c>
      <c r="GB43" s="194" t="str">
        <f t="shared" si="346"/>
        <v/>
      </c>
      <c r="GC43" s="194" t="str">
        <f t="shared" si="44"/>
        <v/>
      </c>
      <c r="GD43" s="194" t="str">
        <f t="shared" si="45"/>
        <v/>
      </c>
      <c r="GE43" s="194" t="str">
        <f t="shared" si="46"/>
        <v/>
      </c>
      <c r="GF43" s="194" t="str">
        <f t="shared" si="47"/>
        <v/>
      </c>
      <c r="GG43" s="194" t="str">
        <f t="shared" si="48"/>
        <v/>
      </c>
      <c r="GH43" s="194" t="str">
        <f t="shared" si="347"/>
        <v/>
      </c>
      <c r="GI43" s="194" t="str">
        <f t="shared" si="50"/>
        <v/>
      </c>
      <c r="GJ43" s="194" t="str">
        <f t="shared" si="51"/>
        <v/>
      </c>
      <c r="GK43" s="194" t="str">
        <f t="shared" si="52"/>
        <v/>
      </c>
      <c r="GL43" s="194" t="str">
        <f t="shared" si="53"/>
        <v/>
      </c>
      <c r="GM43" s="194" t="str">
        <f t="shared" si="54"/>
        <v/>
      </c>
      <c r="GN43" s="194" t="str">
        <f t="shared" si="348"/>
        <v/>
      </c>
      <c r="GO43" s="194" t="str">
        <f t="shared" si="56"/>
        <v/>
      </c>
      <c r="GP43" s="194" t="str">
        <f t="shared" si="57"/>
        <v/>
      </c>
      <c r="GQ43" s="194" t="str">
        <f t="shared" si="58"/>
        <v/>
      </c>
      <c r="GR43" s="194" t="str">
        <f t="shared" si="59"/>
        <v/>
      </c>
      <c r="GS43" s="194" t="str">
        <f t="shared" si="60"/>
        <v/>
      </c>
      <c r="GT43" s="194" t="str">
        <f t="shared" si="349"/>
        <v/>
      </c>
      <c r="GU43" s="194" t="str">
        <f t="shared" si="62"/>
        <v/>
      </c>
      <c r="GV43" s="194" t="str">
        <f t="shared" si="63"/>
        <v/>
      </c>
      <c r="GW43" s="194" t="str">
        <f t="shared" si="64"/>
        <v/>
      </c>
      <c r="GX43" s="194" t="str">
        <f t="shared" si="65"/>
        <v/>
      </c>
      <c r="GY43" s="194" t="str">
        <f t="shared" si="66"/>
        <v/>
      </c>
      <c r="GZ43" s="194" t="str">
        <f t="shared" si="350"/>
        <v/>
      </c>
      <c r="HA43" s="194" t="str">
        <f t="shared" si="68"/>
        <v/>
      </c>
      <c r="HB43" s="194" t="str">
        <f t="shared" si="69"/>
        <v/>
      </c>
      <c r="HC43" s="194" t="str">
        <f t="shared" si="70"/>
        <v/>
      </c>
      <c r="HD43" s="194" t="str">
        <f t="shared" si="71"/>
        <v/>
      </c>
      <c r="HE43" s="194" t="str">
        <f t="shared" si="72"/>
        <v/>
      </c>
      <c r="HF43" s="194" t="str">
        <f t="shared" si="351"/>
        <v/>
      </c>
      <c r="HG43" s="194" t="str">
        <f t="shared" si="74"/>
        <v/>
      </c>
      <c r="HH43" s="194" t="str">
        <f t="shared" si="75"/>
        <v/>
      </c>
      <c r="HI43" s="194" t="str">
        <f t="shared" si="76"/>
        <v/>
      </c>
      <c r="HJ43" s="194" t="str">
        <f t="shared" si="77"/>
        <v/>
      </c>
      <c r="HK43" s="194" t="str">
        <f t="shared" si="78"/>
        <v/>
      </c>
      <c r="HL43" s="194" t="str">
        <f t="shared" si="352"/>
        <v/>
      </c>
      <c r="HM43" s="194" t="str">
        <f t="shared" si="80"/>
        <v/>
      </c>
      <c r="HN43" s="194" t="str">
        <f t="shared" si="81"/>
        <v/>
      </c>
      <c r="HO43" s="194" t="str">
        <f t="shared" si="82"/>
        <v/>
      </c>
      <c r="HP43" s="194" t="str">
        <f t="shared" si="83"/>
        <v/>
      </c>
      <c r="HQ43" s="194" t="str">
        <f t="shared" si="84"/>
        <v/>
      </c>
      <c r="HR43" s="194" t="str">
        <f t="shared" si="353"/>
        <v/>
      </c>
      <c r="HS43" s="194" t="str">
        <f t="shared" si="86"/>
        <v/>
      </c>
      <c r="HT43" s="194" t="str">
        <f t="shared" si="87"/>
        <v/>
      </c>
      <c r="HU43" s="194" t="str">
        <f t="shared" si="88"/>
        <v/>
      </c>
      <c r="HV43" s="194" t="str">
        <f t="shared" si="89"/>
        <v/>
      </c>
      <c r="HW43" s="194" t="str">
        <f t="shared" si="90"/>
        <v/>
      </c>
      <c r="HX43" s="194" t="str">
        <f t="shared" si="354"/>
        <v/>
      </c>
      <c r="HY43" s="194" t="str">
        <f t="shared" si="92"/>
        <v/>
      </c>
      <c r="HZ43" s="194" t="str">
        <f t="shared" si="93"/>
        <v/>
      </c>
      <c r="IA43" s="194" t="str">
        <f t="shared" si="94"/>
        <v/>
      </c>
      <c r="IB43" s="194" t="str">
        <f t="shared" si="95"/>
        <v/>
      </c>
      <c r="IC43" s="194" t="str">
        <f t="shared" si="96"/>
        <v/>
      </c>
      <c r="ID43" s="194" t="str">
        <f t="shared" si="355"/>
        <v/>
      </c>
      <c r="IE43" s="194" t="str">
        <f t="shared" si="98"/>
        <v/>
      </c>
      <c r="IF43" s="194" t="str">
        <f t="shared" si="99"/>
        <v/>
      </c>
      <c r="IG43" s="194" t="str">
        <f t="shared" si="100"/>
        <v/>
      </c>
      <c r="IH43" s="194" t="str">
        <f t="shared" si="101"/>
        <v/>
      </c>
      <c r="II43" s="194" t="str">
        <f t="shared" si="102"/>
        <v/>
      </c>
      <c r="IJ43" s="194" t="str">
        <f t="shared" si="356"/>
        <v/>
      </c>
      <c r="IK43" s="194" t="str">
        <f t="shared" si="104"/>
        <v/>
      </c>
      <c r="IL43" s="194" t="str">
        <f t="shared" si="105"/>
        <v/>
      </c>
      <c r="IM43" s="194" t="str">
        <f t="shared" si="106"/>
        <v/>
      </c>
      <c r="IN43" s="194" t="str">
        <f t="shared" si="107"/>
        <v/>
      </c>
      <c r="IO43" s="194" t="str">
        <f t="shared" si="108"/>
        <v/>
      </c>
      <c r="IP43" s="194" t="str">
        <f t="shared" si="357"/>
        <v/>
      </c>
      <c r="IQ43" s="194" t="str">
        <f t="shared" si="110"/>
        <v/>
      </c>
      <c r="IR43" s="194" t="str">
        <f t="shared" si="111"/>
        <v/>
      </c>
      <c r="IS43" s="194" t="str">
        <f t="shared" si="112"/>
        <v/>
      </c>
      <c r="IT43" s="194" t="str">
        <f t="shared" si="113"/>
        <v/>
      </c>
      <c r="IU43" s="194" t="str">
        <f t="shared" si="114"/>
        <v/>
      </c>
      <c r="IV43" s="194" t="str">
        <f t="shared" si="358"/>
        <v/>
      </c>
      <c r="IW43" s="194" t="str">
        <f t="shared" si="116"/>
        <v/>
      </c>
      <c r="IX43" s="194" t="str">
        <f t="shared" si="117"/>
        <v/>
      </c>
      <c r="IY43" s="194" t="str">
        <f t="shared" si="118"/>
        <v/>
      </c>
      <c r="IZ43" s="194" t="str">
        <f t="shared" si="119"/>
        <v/>
      </c>
      <c r="JA43" s="194" t="str">
        <f t="shared" si="120"/>
        <v/>
      </c>
      <c r="JB43" s="194" t="str">
        <f t="shared" si="121"/>
        <v/>
      </c>
      <c r="JC43" s="194" t="str">
        <f t="shared" si="122"/>
        <v/>
      </c>
      <c r="JD43" s="194" t="str">
        <f t="shared" si="123"/>
        <v/>
      </c>
      <c r="JE43" s="194" t="str">
        <f t="shared" si="124"/>
        <v/>
      </c>
      <c r="JF43" s="194" t="str">
        <f t="shared" si="125"/>
        <v/>
      </c>
      <c r="JG43" s="194" t="str">
        <f t="shared" si="126"/>
        <v/>
      </c>
      <c r="JH43" s="194" t="str">
        <f t="shared" si="127"/>
        <v/>
      </c>
      <c r="JI43" s="194" t="str">
        <f t="shared" si="128"/>
        <v/>
      </c>
      <c r="JJ43" s="194" t="str">
        <f t="shared" si="129"/>
        <v/>
      </c>
      <c r="JK43" s="194" t="str">
        <f t="shared" si="130"/>
        <v/>
      </c>
      <c r="JL43" s="194" t="str">
        <f t="shared" si="131"/>
        <v/>
      </c>
      <c r="JM43" s="194" t="str">
        <f t="shared" si="132"/>
        <v/>
      </c>
      <c r="JN43" s="194" t="str">
        <f t="shared" si="133"/>
        <v/>
      </c>
      <c r="JO43" s="194" t="str">
        <f t="shared" si="134"/>
        <v/>
      </c>
      <c r="JP43" s="194" t="str">
        <f t="shared" si="135"/>
        <v/>
      </c>
      <c r="JQ43" s="194" t="str">
        <f t="shared" si="136"/>
        <v/>
      </c>
      <c r="JR43" s="194" t="str">
        <f t="shared" si="137"/>
        <v/>
      </c>
      <c r="JS43" s="194" t="str">
        <f t="shared" si="138"/>
        <v/>
      </c>
      <c r="JT43" s="194" t="str">
        <f t="shared" si="139"/>
        <v/>
      </c>
      <c r="JU43" s="194" t="str">
        <f t="shared" si="140"/>
        <v/>
      </c>
      <c r="JV43" s="194" t="str">
        <f t="shared" si="141"/>
        <v/>
      </c>
      <c r="JW43" s="194" t="str">
        <f t="shared" si="142"/>
        <v/>
      </c>
      <c r="JX43" s="194" t="str">
        <f t="shared" si="143"/>
        <v/>
      </c>
      <c r="JY43" s="194" t="str">
        <f t="shared" si="144"/>
        <v/>
      </c>
      <c r="JZ43" s="194" t="str">
        <f t="shared" si="145"/>
        <v/>
      </c>
      <c r="KA43" s="194" t="str">
        <f t="shared" si="146"/>
        <v/>
      </c>
      <c r="KB43" s="194" t="str">
        <f t="shared" si="147"/>
        <v/>
      </c>
      <c r="KC43" s="194" t="str">
        <f t="shared" si="148"/>
        <v/>
      </c>
      <c r="KD43" s="194" t="str">
        <f t="shared" si="149"/>
        <v/>
      </c>
      <c r="KE43" s="194" t="str">
        <f t="shared" si="150"/>
        <v/>
      </c>
      <c r="KF43" s="194" t="str">
        <f t="shared" si="151"/>
        <v/>
      </c>
      <c r="KG43" s="194">
        <f>SUM(LE43:LX43)/COUNTA(RefKI3KI4!$B$5:$B$24)</f>
        <v>0</v>
      </c>
      <c r="KH43" s="232">
        <f t="shared" si="198"/>
        <v>0</v>
      </c>
      <c r="KI43" s="340" t="str">
        <f t="shared" si="199"/>
        <v>ok</v>
      </c>
      <c r="KJ43" s="340" t="str">
        <f t="shared" si="200"/>
        <v>ok</v>
      </c>
      <c r="KK43" s="340" t="str">
        <f t="shared" si="201"/>
        <v/>
      </c>
      <c r="KL43" s="340" t="str">
        <f t="shared" si="202"/>
        <v/>
      </c>
      <c r="KM43" s="340" t="str">
        <f t="shared" si="203"/>
        <v/>
      </c>
      <c r="KN43" s="340" t="str">
        <f t="shared" si="204"/>
        <v/>
      </c>
      <c r="KO43" s="340" t="str">
        <f t="shared" si="205"/>
        <v/>
      </c>
      <c r="KP43" s="340" t="str">
        <f t="shared" si="206"/>
        <v/>
      </c>
      <c r="KQ43" s="340" t="str">
        <f t="shared" si="207"/>
        <v/>
      </c>
      <c r="KR43" s="340" t="str">
        <f t="shared" si="208"/>
        <v/>
      </c>
      <c r="KS43" s="340" t="str">
        <f t="shared" si="209"/>
        <v/>
      </c>
      <c r="KT43" s="340" t="str">
        <f t="shared" si="210"/>
        <v/>
      </c>
      <c r="KU43" s="340" t="str">
        <f t="shared" si="211"/>
        <v/>
      </c>
      <c r="KV43" s="340" t="str">
        <f t="shared" si="212"/>
        <v/>
      </c>
      <c r="KW43" s="340" t="str">
        <f t="shared" si="213"/>
        <v/>
      </c>
      <c r="KX43" s="340" t="str">
        <f t="shared" si="214"/>
        <v/>
      </c>
      <c r="KY43" s="340" t="str">
        <f t="shared" si="215"/>
        <v/>
      </c>
      <c r="KZ43" s="340" t="str">
        <f t="shared" si="216"/>
        <v/>
      </c>
      <c r="LA43" s="340" t="str">
        <f t="shared" si="217"/>
        <v/>
      </c>
      <c r="LB43" s="340" t="str">
        <f t="shared" si="218"/>
        <v/>
      </c>
      <c r="LC43" s="340">
        <f t="shared" si="219"/>
        <v>0</v>
      </c>
      <c r="LD43" s="228">
        <v>35</v>
      </c>
      <c r="LE43" s="229" t="str">
        <f t="shared" si="220"/>
        <v/>
      </c>
      <c r="LF43" s="229" t="str">
        <f t="shared" si="221"/>
        <v/>
      </c>
      <c r="LG43" s="229" t="str">
        <f t="shared" si="222"/>
        <v/>
      </c>
      <c r="LH43" s="229" t="str">
        <f t="shared" si="223"/>
        <v/>
      </c>
      <c r="LI43" s="229" t="str">
        <f t="shared" si="224"/>
        <v/>
      </c>
      <c r="LJ43" s="229" t="str">
        <f t="shared" si="225"/>
        <v/>
      </c>
      <c r="LK43" s="229" t="str">
        <f t="shared" si="226"/>
        <v/>
      </c>
      <c r="LL43" s="229" t="str">
        <f t="shared" si="227"/>
        <v/>
      </c>
      <c r="LM43" s="229" t="str">
        <f t="shared" si="228"/>
        <v/>
      </c>
      <c r="LN43" s="229" t="str">
        <f t="shared" si="229"/>
        <v/>
      </c>
      <c r="LO43" s="229" t="str">
        <f t="shared" si="230"/>
        <v/>
      </c>
      <c r="LP43" s="229" t="str">
        <f t="shared" si="231"/>
        <v/>
      </c>
      <c r="LQ43" s="229" t="str">
        <f t="shared" si="232"/>
        <v/>
      </c>
      <c r="LR43" s="229" t="str">
        <f t="shared" si="233"/>
        <v/>
      </c>
      <c r="LS43" s="229" t="str">
        <f t="shared" si="234"/>
        <v/>
      </c>
      <c r="LT43" s="229" t="str">
        <f t="shared" si="235"/>
        <v/>
      </c>
      <c r="LU43" s="229" t="str">
        <f t="shared" si="236"/>
        <v/>
      </c>
      <c r="LV43" s="229" t="str">
        <f t="shared" si="237"/>
        <v/>
      </c>
      <c r="LW43" s="229" t="str">
        <f t="shared" si="238"/>
        <v/>
      </c>
      <c r="LX43" s="229" t="str">
        <f t="shared" si="239"/>
        <v/>
      </c>
      <c r="LY43" s="231" t="str">
        <f t="shared" si="240"/>
        <v/>
      </c>
      <c r="LZ43" s="231" t="str">
        <f t="shared" si="241"/>
        <v/>
      </c>
      <c r="MA43" s="231" t="str">
        <f t="shared" si="242"/>
        <v/>
      </c>
      <c r="MB43" s="231" t="str">
        <f t="shared" si="243"/>
        <v/>
      </c>
      <c r="MC43" s="231" t="str">
        <f t="shared" si="244"/>
        <v/>
      </c>
      <c r="MD43" s="231" t="str">
        <f t="shared" si="245"/>
        <v/>
      </c>
      <c r="ME43" s="231" t="str">
        <f t="shared" si="246"/>
        <v/>
      </c>
      <c r="MF43" s="231" t="str">
        <f t="shared" si="247"/>
        <v/>
      </c>
      <c r="MG43" s="231" t="str">
        <f t="shared" si="248"/>
        <v/>
      </c>
      <c r="MH43" s="231" t="str">
        <f t="shared" si="249"/>
        <v/>
      </c>
      <c r="MI43" s="231" t="str">
        <f t="shared" si="250"/>
        <v/>
      </c>
      <c r="MJ43" s="231" t="str">
        <f t="shared" si="251"/>
        <v/>
      </c>
      <c r="MK43" s="231" t="str">
        <f t="shared" si="252"/>
        <v/>
      </c>
      <c r="ML43" s="231" t="str">
        <f t="shared" si="253"/>
        <v/>
      </c>
      <c r="MM43" s="231" t="str">
        <f t="shared" si="254"/>
        <v/>
      </c>
      <c r="MN43" s="231" t="str">
        <f t="shared" si="255"/>
        <v/>
      </c>
      <c r="MO43" s="231" t="str">
        <f t="shared" si="256"/>
        <v/>
      </c>
      <c r="MP43" s="231" t="str">
        <f t="shared" si="257"/>
        <v/>
      </c>
      <c r="MQ43" s="231" t="str">
        <f t="shared" si="258"/>
        <v/>
      </c>
      <c r="MR43" s="231" t="str">
        <f t="shared" si="259"/>
        <v/>
      </c>
      <c r="MS43" s="231" t="str">
        <f t="shared" si="359"/>
        <v/>
      </c>
      <c r="MT43" s="232" t="str">
        <f>IF(MS43="","",IF(MS43&gt;=KONVERSI!$A$5,KONVERSI!$E$5,IF(MS43&gt;=KONVERSI!$A$6,KONVERSI!$E$6,IF(MS43&gt;=KONVERSI!$A$7,KONVERSI!$E$7,KONVERSI!$E$8))))</f>
        <v/>
      </c>
      <c r="MU43" s="233" t="str">
        <f t="shared" si="360"/>
        <v/>
      </c>
      <c r="MV43" s="234" t="str">
        <f t="shared" si="260"/>
        <v/>
      </c>
      <c r="MW43" s="232" t="str">
        <f>IF(MV43="","",IF(MV43&gt;=KONVERSI!$A$5,KONVERSI!$E$5,IF(MV43&gt;=KONVERSI!$A$6,KONVERSI!$E$6,IF(MV43&gt;=KONVERSI!$A$7,KONVERSI!$E$7,KONVERSI!$E$8))))</f>
        <v/>
      </c>
      <c r="MX43" s="134" t="str">
        <f>IF(FI43&lt;$FN$4," "&amp;KONVERSI!$C$18&amp;INDEX($LY$8:$MR$8,MATCH(MV43,LY43:MR43,0))&amp;".",IF(KG43=0,"",IF(MV43&lt;&gt;0,MU43&amp;MW43&amp;".",MU43&amp;".")))</f>
        <v/>
      </c>
      <c r="MY43" s="235" t="str">
        <f t="shared" si="261"/>
        <v/>
      </c>
      <c r="MZ43" s="235" t="str">
        <f t="shared" si="262"/>
        <v/>
      </c>
      <c r="NA43" s="235" t="str">
        <f t="shared" si="263"/>
        <v/>
      </c>
      <c r="NB43" s="235" t="str">
        <f t="shared" si="264"/>
        <v/>
      </c>
      <c r="NC43" s="235" t="str">
        <f t="shared" si="265"/>
        <v/>
      </c>
      <c r="ND43" s="235" t="str">
        <f t="shared" si="266"/>
        <v/>
      </c>
      <c r="NE43" s="235" t="str">
        <f t="shared" si="267"/>
        <v/>
      </c>
      <c r="NF43" s="235" t="str">
        <f t="shared" si="268"/>
        <v/>
      </c>
      <c r="NG43" s="235" t="str">
        <f t="shared" si="269"/>
        <v/>
      </c>
      <c r="NH43" s="235" t="str">
        <f t="shared" si="270"/>
        <v/>
      </c>
      <c r="NI43" s="235" t="str">
        <f t="shared" si="271"/>
        <v/>
      </c>
      <c r="NJ43" s="235" t="str">
        <f t="shared" si="272"/>
        <v/>
      </c>
      <c r="NK43" s="235" t="str">
        <f t="shared" si="273"/>
        <v/>
      </c>
      <c r="NL43" s="235" t="str">
        <f t="shared" si="274"/>
        <v/>
      </c>
      <c r="NM43" s="235" t="str">
        <f t="shared" si="275"/>
        <v/>
      </c>
      <c r="NN43" s="235" t="str">
        <f t="shared" si="276"/>
        <v/>
      </c>
      <c r="NO43" s="235" t="str">
        <f t="shared" si="277"/>
        <v/>
      </c>
      <c r="NP43" s="235" t="str">
        <f t="shared" si="278"/>
        <v/>
      </c>
      <c r="NQ43" s="235" t="str">
        <f t="shared" si="279"/>
        <v/>
      </c>
      <c r="NR43" s="235" t="str">
        <f t="shared" si="280"/>
        <v/>
      </c>
      <c r="NS43" s="134" t="str">
        <f t="shared" si="281"/>
        <v/>
      </c>
      <c r="NT43" s="134" t="str">
        <f t="shared" si="282"/>
        <v/>
      </c>
      <c r="NU43" s="134" t="str">
        <f t="shared" si="283"/>
        <v/>
      </c>
      <c r="NV43" s="134" t="str">
        <f t="shared" si="284"/>
        <v/>
      </c>
      <c r="NW43" s="134" t="str">
        <f t="shared" si="285"/>
        <v/>
      </c>
      <c r="NX43" s="134" t="str">
        <f t="shared" si="286"/>
        <v/>
      </c>
      <c r="NY43" s="134" t="str">
        <f t="shared" si="287"/>
        <v/>
      </c>
      <c r="NZ43" s="134" t="str">
        <f t="shared" si="288"/>
        <v/>
      </c>
      <c r="OA43" s="134" t="str">
        <f t="shared" si="289"/>
        <v/>
      </c>
      <c r="OB43" s="134" t="str">
        <f t="shared" si="290"/>
        <v/>
      </c>
      <c r="OC43" s="134" t="str">
        <f t="shared" si="291"/>
        <v/>
      </c>
      <c r="OD43" s="134" t="str">
        <f t="shared" si="292"/>
        <v/>
      </c>
      <c r="OE43" s="134" t="str">
        <f t="shared" si="293"/>
        <v/>
      </c>
      <c r="OF43" s="134" t="str">
        <f t="shared" si="294"/>
        <v/>
      </c>
      <c r="OG43" s="134" t="str">
        <f t="shared" si="295"/>
        <v/>
      </c>
      <c r="OH43" s="134" t="str">
        <f t="shared" si="296"/>
        <v/>
      </c>
      <c r="OI43" s="134" t="str">
        <f t="shared" si="297"/>
        <v/>
      </c>
      <c r="OJ43" s="134" t="str">
        <f t="shared" si="298"/>
        <v/>
      </c>
      <c r="OK43" s="134" t="str">
        <f t="shared" si="299"/>
        <v/>
      </c>
      <c r="OL43" s="134" t="str">
        <f t="shared" si="300"/>
        <v/>
      </c>
      <c r="OM43" s="134" t="str">
        <f t="shared" si="301"/>
        <v/>
      </c>
      <c r="ON43" s="134" t="str">
        <f t="shared" si="302"/>
        <v>  </v>
      </c>
      <c r="OO43" s="236">
        <f t="shared" si="361"/>
        <v>0</v>
      </c>
      <c r="OP43" s="235" t="str">
        <f t="shared" si="303"/>
        <v/>
      </c>
      <c r="OQ43" s="235" t="str">
        <f t="shared" si="304"/>
        <v/>
      </c>
      <c r="OR43" s="235" t="str">
        <f t="shared" si="305"/>
        <v/>
      </c>
      <c r="OS43" s="235" t="str">
        <f t="shared" si="306"/>
        <v/>
      </c>
      <c r="OT43" s="235" t="str">
        <f t="shared" si="307"/>
        <v/>
      </c>
      <c r="OU43" s="235" t="str">
        <f t="shared" si="308"/>
        <v/>
      </c>
      <c r="OV43" s="235" t="str">
        <f t="shared" si="309"/>
        <v/>
      </c>
      <c r="OW43" s="235" t="str">
        <f t="shared" si="310"/>
        <v/>
      </c>
      <c r="OX43" s="235" t="str">
        <f t="shared" si="311"/>
        <v/>
      </c>
      <c r="OY43" s="235" t="str">
        <f t="shared" si="312"/>
        <v/>
      </c>
      <c r="OZ43" s="235" t="str">
        <f t="shared" si="313"/>
        <v/>
      </c>
      <c r="PA43" s="235" t="str">
        <f t="shared" si="314"/>
        <v/>
      </c>
      <c r="PB43" s="235" t="str">
        <f t="shared" si="315"/>
        <v/>
      </c>
      <c r="PC43" s="235" t="str">
        <f t="shared" si="316"/>
        <v/>
      </c>
      <c r="PD43" s="235" t="str">
        <f t="shared" si="317"/>
        <v/>
      </c>
      <c r="PE43" s="235" t="str">
        <f t="shared" si="318"/>
        <v/>
      </c>
      <c r="PF43" s="235" t="str">
        <f t="shared" si="319"/>
        <v/>
      </c>
      <c r="PG43" s="235" t="str">
        <f t="shared" si="320"/>
        <v/>
      </c>
      <c r="PH43" s="235" t="str">
        <f t="shared" si="321"/>
        <v/>
      </c>
      <c r="PI43" s="235" t="str">
        <f t="shared" si="322"/>
        <v/>
      </c>
      <c r="PJ43" s="134" t="str">
        <f t="shared" si="323"/>
        <v/>
      </c>
      <c r="PK43" s="134" t="str">
        <f t="shared" si="324"/>
        <v/>
      </c>
      <c r="PL43" s="134" t="str">
        <f t="shared" si="325"/>
        <v/>
      </c>
      <c r="PM43" s="134" t="str">
        <f t="shared" si="326"/>
        <v/>
      </c>
      <c r="PN43" s="134" t="str">
        <f t="shared" si="327"/>
        <v/>
      </c>
      <c r="PO43" s="134" t="str">
        <f t="shared" si="328"/>
        <v/>
      </c>
      <c r="PP43" s="134" t="str">
        <f t="shared" si="329"/>
        <v/>
      </c>
      <c r="PQ43" s="134" t="str">
        <f t="shared" si="330"/>
        <v/>
      </c>
      <c r="PR43" s="134" t="str">
        <f t="shared" si="331"/>
        <v/>
      </c>
      <c r="PS43" s="134" t="str">
        <f t="shared" si="332"/>
        <v/>
      </c>
      <c r="PT43" s="134" t="str">
        <f t="shared" si="333"/>
        <v/>
      </c>
      <c r="PU43" s="134" t="str">
        <f t="shared" si="334"/>
        <v/>
      </c>
      <c r="PV43" s="134" t="str">
        <f t="shared" si="335"/>
        <v/>
      </c>
      <c r="PW43" s="134" t="str">
        <f t="shared" si="336"/>
        <v/>
      </c>
      <c r="PX43" s="134" t="str">
        <f t="shared" si="337"/>
        <v/>
      </c>
      <c r="PY43" s="134" t="str">
        <f t="shared" si="338"/>
        <v/>
      </c>
      <c r="PZ43" s="134" t="str">
        <f t="shared" si="339"/>
        <v/>
      </c>
      <c r="QA43" s="134" t="str">
        <f t="shared" si="340"/>
        <v/>
      </c>
      <c r="QB43" s="134" t="str">
        <f t="shared" si="341"/>
        <v/>
      </c>
      <c r="QC43" s="134" t="str">
        <f t="shared" si="342"/>
        <v/>
      </c>
      <c r="QD43" s="134" t="str">
        <f>IF(MT43=MW43,"",IF(MV43="","",IF(MV43&gt;=KONVERSI!$A$7,'KI3'!MW43&amp;" dalam"&amp;PJ43&amp;PK43&amp;PL43&amp;PM43&amp;PN43&amp;PO43&amp;PP43&amp;PQ43&amp;PR43&amp;PS43&amp;PT43&amp;PU43&amp;PV43&amp;PW43&amp;PX43&amp;PY43&amp;PZ43&amp;QA43&amp;QB43&amp;QC43,KONVERSI!$C$18&amp;" dalam"&amp;PJ43&amp;PK43&amp;PL43&amp;PM43&amp;PN43&amp;PO43&amp;PP43&amp;PQ43&amp;PR43&amp;PS43&amp;PT43&amp;PU43&amp;PV43&amp;PW43&amp;PX43&amp;PY43&amp;PZ43&amp;QA43&amp;QB43&amp;QC43)))</f>
        <v/>
      </c>
      <c r="QE43" s="134" t="str">
        <f t="shared" si="343"/>
        <v/>
      </c>
      <c r="QF43" s="236">
        <f t="shared" si="362"/>
        <v>0</v>
      </c>
      <c r="QG43" s="134" t="str">
        <f t="shared" si="363"/>
        <v/>
      </c>
    </row>
    <row r="44" ht="27.6" customHeight="1" spans="1:449">
      <c r="A44" s="136"/>
      <c r="B44" s="177">
        <v>36</v>
      </c>
      <c r="C44" s="178">
        <f>siswa!C40</f>
        <v>0</v>
      </c>
      <c r="D44" s="174">
        <f>siswa!D40</f>
        <v>0</v>
      </c>
      <c r="E44" s="181"/>
      <c r="F44" s="176"/>
      <c r="G44" s="176"/>
      <c r="H44" s="176"/>
      <c r="I44" s="176"/>
      <c r="J44" s="176"/>
      <c r="K44" s="176"/>
      <c r="L44" s="223" t="str">
        <f t="shared" si="174"/>
        <v/>
      </c>
      <c r="M44" s="181"/>
      <c r="N44" s="176"/>
      <c r="O44" s="176"/>
      <c r="P44" s="176"/>
      <c r="Q44" s="176"/>
      <c r="R44" s="176"/>
      <c r="S44" s="176"/>
      <c r="T44" s="223" t="str">
        <f t="shared" si="175"/>
        <v/>
      </c>
      <c r="U44" s="181"/>
      <c r="V44" s="176"/>
      <c r="W44" s="176"/>
      <c r="X44" s="176"/>
      <c r="Y44" s="176"/>
      <c r="Z44" s="176"/>
      <c r="AA44" s="176"/>
      <c r="AB44" s="223">
        <f t="shared" si="176"/>
        <v>0</v>
      </c>
      <c r="AC44" s="181"/>
      <c r="AD44" s="176"/>
      <c r="AE44" s="176"/>
      <c r="AF44" s="248"/>
      <c r="AG44" s="176"/>
      <c r="AH44" s="176"/>
      <c r="AI44" s="176"/>
      <c r="AJ44" s="223">
        <f t="shared" si="177"/>
        <v>0</v>
      </c>
      <c r="AK44" s="181"/>
      <c r="AL44" s="176"/>
      <c r="AM44" s="176"/>
      <c r="AN44" s="176"/>
      <c r="AO44" s="176"/>
      <c r="AP44" s="176"/>
      <c r="AQ44" s="176"/>
      <c r="AR44" s="223">
        <f t="shared" si="178"/>
        <v>0</v>
      </c>
      <c r="AS44" s="181"/>
      <c r="AT44" s="176"/>
      <c r="AU44" s="176"/>
      <c r="AV44" s="176"/>
      <c r="AW44" s="176"/>
      <c r="AX44" s="176"/>
      <c r="AY44" s="176"/>
      <c r="AZ44" s="223">
        <f t="shared" si="179"/>
        <v>0</v>
      </c>
      <c r="BA44" s="181"/>
      <c r="BB44" s="176"/>
      <c r="BC44" s="176"/>
      <c r="BD44" s="176"/>
      <c r="BE44" s="176"/>
      <c r="BF44" s="176"/>
      <c r="BG44" s="176"/>
      <c r="BH44" s="223">
        <f t="shared" si="180"/>
        <v>0</v>
      </c>
      <c r="BI44" s="181"/>
      <c r="BJ44" s="176"/>
      <c r="BK44" s="176"/>
      <c r="BL44" s="176"/>
      <c r="BM44" s="176"/>
      <c r="BN44" s="176"/>
      <c r="BO44" s="176"/>
      <c r="BP44" s="223">
        <f t="shared" si="181"/>
        <v>0</v>
      </c>
      <c r="BQ44" s="181"/>
      <c r="BR44" s="176"/>
      <c r="BS44" s="176"/>
      <c r="BT44" s="176"/>
      <c r="BU44" s="176"/>
      <c r="BV44" s="176"/>
      <c r="BW44" s="176"/>
      <c r="BX44" s="223">
        <f t="shared" si="182"/>
        <v>0</v>
      </c>
      <c r="BY44" s="181"/>
      <c r="BZ44" s="176"/>
      <c r="CA44" s="176"/>
      <c r="CB44" s="176"/>
      <c r="CC44" s="176"/>
      <c r="CD44" s="176"/>
      <c r="CE44" s="176"/>
      <c r="CF44" s="223">
        <f t="shared" si="183"/>
        <v>0</v>
      </c>
      <c r="CG44" s="181"/>
      <c r="CH44" s="176"/>
      <c r="CI44" s="176"/>
      <c r="CJ44" s="176"/>
      <c r="CK44" s="176"/>
      <c r="CL44" s="176"/>
      <c r="CM44" s="176"/>
      <c r="CN44" s="223">
        <f t="shared" si="184"/>
        <v>0</v>
      </c>
      <c r="CO44" s="181"/>
      <c r="CP44" s="176"/>
      <c r="CQ44" s="176"/>
      <c r="CR44" s="176"/>
      <c r="CS44" s="176"/>
      <c r="CT44" s="176"/>
      <c r="CU44" s="176"/>
      <c r="CV44" s="223">
        <f t="shared" si="185"/>
        <v>0</v>
      </c>
      <c r="CW44" s="181"/>
      <c r="CX44" s="176"/>
      <c r="CY44" s="176"/>
      <c r="CZ44" s="176"/>
      <c r="DA44" s="176"/>
      <c r="DB44" s="176"/>
      <c r="DC44" s="176"/>
      <c r="DD44" s="223">
        <f t="shared" si="186"/>
        <v>0</v>
      </c>
      <c r="DE44" s="181"/>
      <c r="DF44" s="176"/>
      <c r="DG44" s="176"/>
      <c r="DH44" s="176"/>
      <c r="DI44" s="176"/>
      <c r="DJ44" s="176"/>
      <c r="DK44" s="176"/>
      <c r="DL44" s="223">
        <f t="shared" si="187"/>
        <v>0</v>
      </c>
      <c r="DM44" s="181"/>
      <c r="DN44" s="176"/>
      <c r="DO44" s="176"/>
      <c r="DP44" s="176"/>
      <c r="DQ44" s="176"/>
      <c r="DR44" s="176"/>
      <c r="DS44" s="176"/>
      <c r="DT44" s="223">
        <f t="shared" si="188"/>
        <v>0</v>
      </c>
      <c r="DU44" s="181"/>
      <c r="DV44" s="176"/>
      <c r="DW44" s="176"/>
      <c r="DX44" s="176"/>
      <c r="DY44" s="176"/>
      <c r="DZ44" s="176"/>
      <c r="EA44" s="176"/>
      <c r="EB44" s="223">
        <f t="shared" si="189"/>
        <v>0</v>
      </c>
      <c r="EC44" s="181"/>
      <c r="ED44" s="176"/>
      <c r="EE44" s="176"/>
      <c r="EF44" s="176"/>
      <c r="EG44" s="176"/>
      <c r="EH44" s="176"/>
      <c r="EI44" s="176"/>
      <c r="EJ44" s="223">
        <f t="shared" si="190"/>
        <v>0</v>
      </c>
      <c r="EK44" s="181"/>
      <c r="EL44" s="176"/>
      <c r="EM44" s="176"/>
      <c r="EN44" s="176"/>
      <c r="EO44" s="176"/>
      <c r="EP44" s="176"/>
      <c r="EQ44" s="176"/>
      <c r="ER44" s="223">
        <f t="shared" si="191"/>
        <v>0</v>
      </c>
      <c r="ES44" s="181"/>
      <c r="ET44" s="176"/>
      <c r="EU44" s="176"/>
      <c r="EV44" s="176"/>
      <c r="EW44" s="176"/>
      <c r="EX44" s="176"/>
      <c r="EY44" s="176"/>
      <c r="EZ44" s="223">
        <f t="shared" si="192"/>
        <v>0</v>
      </c>
      <c r="FA44" s="181"/>
      <c r="FB44" s="176"/>
      <c r="FC44" s="176"/>
      <c r="FD44" s="176"/>
      <c r="FE44" s="176"/>
      <c r="FF44" s="176"/>
      <c r="FG44" s="176"/>
      <c r="FH44" s="223">
        <f t="shared" si="193"/>
        <v>0</v>
      </c>
      <c r="FI44" s="291" t="str">
        <f t="shared" si="194"/>
        <v/>
      </c>
      <c r="FJ44" s="250"/>
      <c r="FK44" s="250"/>
      <c r="FL44" s="291" t="str">
        <f t="shared" si="195"/>
        <v/>
      </c>
      <c r="FM44" s="312" t="str">
        <f>IFERROR(IF(FL44="","",IF(FL44&gt;=KONVERSI!$A$5,KONVERSI!$D$5,IF(FL44&gt;=KONVERSI!$A$6,KONVERSI!$D$6,IF(FL44&gt;=KONVERSI!$A$7,KONVERSI!$D$7,KONVERSI!$D$8)))),"")</f>
        <v/>
      </c>
      <c r="FN44" s="232" t="str">
        <f t="shared" si="196"/>
        <v/>
      </c>
      <c r="FO44" s="313"/>
      <c r="FP44" s="314">
        <f t="shared" si="197"/>
        <v>0</v>
      </c>
      <c r="FQ44" s="194" t="str">
        <f t="shared" si="33"/>
        <v/>
      </c>
      <c r="FR44" s="194" t="str">
        <f t="shared" si="34"/>
        <v/>
      </c>
      <c r="FS44" s="194" t="str">
        <f t="shared" si="35"/>
        <v/>
      </c>
      <c r="FT44" s="194" t="str">
        <f t="shared" si="36"/>
        <v/>
      </c>
      <c r="FU44" s="194" t="str">
        <f t="shared" si="37"/>
        <v/>
      </c>
      <c r="FV44" s="194" t="str">
        <f t="shared" si="345"/>
        <v/>
      </c>
      <c r="FW44" s="194" t="str">
        <f t="shared" si="39"/>
        <v/>
      </c>
      <c r="FX44" s="194" t="str">
        <f t="shared" si="344"/>
        <v/>
      </c>
      <c r="FY44" s="194" t="str">
        <f t="shared" si="40"/>
        <v/>
      </c>
      <c r="FZ44" s="194" t="str">
        <f t="shared" si="41"/>
        <v/>
      </c>
      <c r="GA44" s="194" t="str">
        <f t="shared" si="42"/>
        <v/>
      </c>
      <c r="GB44" s="194" t="str">
        <f t="shared" si="346"/>
        <v/>
      </c>
      <c r="GC44" s="194" t="str">
        <f t="shared" si="44"/>
        <v/>
      </c>
      <c r="GD44" s="194" t="str">
        <f t="shared" si="45"/>
        <v/>
      </c>
      <c r="GE44" s="194" t="str">
        <f t="shared" si="46"/>
        <v/>
      </c>
      <c r="GF44" s="194" t="str">
        <f t="shared" si="47"/>
        <v/>
      </c>
      <c r="GG44" s="194" t="str">
        <f t="shared" si="48"/>
        <v/>
      </c>
      <c r="GH44" s="194" t="str">
        <f t="shared" si="347"/>
        <v/>
      </c>
      <c r="GI44" s="194" t="str">
        <f t="shared" si="50"/>
        <v/>
      </c>
      <c r="GJ44" s="194" t="str">
        <f t="shared" si="51"/>
        <v/>
      </c>
      <c r="GK44" s="194" t="str">
        <f t="shared" si="52"/>
        <v/>
      </c>
      <c r="GL44" s="194" t="str">
        <f t="shared" si="53"/>
        <v/>
      </c>
      <c r="GM44" s="194" t="str">
        <f t="shared" si="54"/>
        <v/>
      </c>
      <c r="GN44" s="194" t="str">
        <f t="shared" si="348"/>
        <v/>
      </c>
      <c r="GO44" s="194" t="str">
        <f t="shared" si="56"/>
        <v/>
      </c>
      <c r="GP44" s="194" t="str">
        <f t="shared" si="57"/>
        <v/>
      </c>
      <c r="GQ44" s="194" t="str">
        <f t="shared" si="58"/>
        <v/>
      </c>
      <c r="GR44" s="194" t="str">
        <f t="shared" si="59"/>
        <v/>
      </c>
      <c r="GS44" s="194" t="str">
        <f t="shared" si="60"/>
        <v/>
      </c>
      <c r="GT44" s="194" t="str">
        <f t="shared" si="349"/>
        <v/>
      </c>
      <c r="GU44" s="194" t="str">
        <f t="shared" si="62"/>
        <v/>
      </c>
      <c r="GV44" s="194" t="str">
        <f t="shared" si="63"/>
        <v/>
      </c>
      <c r="GW44" s="194" t="str">
        <f t="shared" si="64"/>
        <v/>
      </c>
      <c r="GX44" s="194" t="str">
        <f t="shared" si="65"/>
        <v/>
      </c>
      <c r="GY44" s="194" t="str">
        <f t="shared" si="66"/>
        <v/>
      </c>
      <c r="GZ44" s="194" t="str">
        <f t="shared" si="350"/>
        <v/>
      </c>
      <c r="HA44" s="194" t="str">
        <f t="shared" si="68"/>
        <v/>
      </c>
      <c r="HB44" s="194" t="str">
        <f t="shared" si="69"/>
        <v/>
      </c>
      <c r="HC44" s="194" t="str">
        <f t="shared" si="70"/>
        <v/>
      </c>
      <c r="HD44" s="194" t="str">
        <f t="shared" si="71"/>
        <v/>
      </c>
      <c r="HE44" s="194" t="str">
        <f t="shared" si="72"/>
        <v/>
      </c>
      <c r="HF44" s="194" t="str">
        <f t="shared" si="351"/>
        <v/>
      </c>
      <c r="HG44" s="194" t="str">
        <f t="shared" si="74"/>
        <v/>
      </c>
      <c r="HH44" s="194" t="str">
        <f t="shared" si="75"/>
        <v/>
      </c>
      <c r="HI44" s="194" t="str">
        <f t="shared" si="76"/>
        <v/>
      </c>
      <c r="HJ44" s="194" t="str">
        <f t="shared" si="77"/>
        <v/>
      </c>
      <c r="HK44" s="194" t="str">
        <f t="shared" si="78"/>
        <v/>
      </c>
      <c r="HL44" s="194" t="str">
        <f t="shared" si="352"/>
        <v/>
      </c>
      <c r="HM44" s="194" t="str">
        <f t="shared" si="80"/>
        <v/>
      </c>
      <c r="HN44" s="194" t="str">
        <f t="shared" si="81"/>
        <v/>
      </c>
      <c r="HO44" s="194" t="str">
        <f t="shared" si="82"/>
        <v/>
      </c>
      <c r="HP44" s="194" t="str">
        <f t="shared" si="83"/>
        <v/>
      </c>
      <c r="HQ44" s="194" t="str">
        <f t="shared" si="84"/>
        <v/>
      </c>
      <c r="HR44" s="194" t="str">
        <f t="shared" si="353"/>
        <v/>
      </c>
      <c r="HS44" s="194" t="str">
        <f t="shared" si="86"/>
        <v/>
      </c>
      <c r="HT44" s="194" t="str">
        <f t="shared" si="87"/>
        <v/>
      </c>
      <c r="HU44" s="194" t="str">
        <f t="shared" si="88"/>
        <v/>
      </c>
      <c r="HV44" s="194" t="str">
        <f t="shared" si="89"/>
        <v/>
      </c>
      <c r="HW44" s="194" t="str">
        <f t="shared" si="90"/>
        <v/>
      </c>
      <c r="HX44" s="194" t="str">
        <f t="shared" si="354"/>
        <v/>
      </c>
      <c r="HY44" s="194" t="str">
        <f t="shared" si="92"/>
        <v/>
      </c>
      <c r="HZ44" s="194" t="str">
        <f t="shared" si="93"/>
        <v/>
      </c>
      <c r="IA44" s="194" t="str">
        <f t="shared" si="94"/>
        <v/>
      </c>
      <c r="IB44" s="194" t="str">
        <f t="shared" si="95"/>
        <v/>
      </c>
      <c r="IC44" s="194" t="str">
        <f t="shared" si="96"/>
        <v/>
      </c>
      <c r="ID44" s="194" t="str">
        <f t="shared" si="355"/>
        <v/>
      </c>
      <c r="IE44" s="194" t="str">
        <f t="shared" si="98"/>
        <v/>
      </c>
      <c r="IF44" s="194" t="str">
        <f t="shared" si="99"/>
        <v/>
      </c>
      <c r="IG44" s="194" t="str">
        <f t="shared" si="100"/>
        <v/>
      </c>
      <c r="IH44" s="194" t="str">
        <f t="shared" si="101"/>
        <v/>
      </c>
      <c r="II44" s="194" t="str">
        <f t="shared" si="102"/>
        <v/>
      </c>
      <c r="IJ44" s="194" t="str">
        <f t="shared" si="356"/>
        <v/>
      </c>
      <c r="IK44" s="194" t="str">
        <f t="shared" si="104"/>
        <v/>
      </c>
      <c r="IL44" s="194" t="str">
        <f t="shared" si="105"/>
        <v/>
      </c>
      <c r="IM44" s="194" t="str">
        <f t="shared" si="106"/>
        <v/>
      </c>
      <c r="IN44" s="194" t="str">
        <f t="shared" si="107"/>
        <v/>
      </c>
      <c r="IO44" s="194" t="str">
        <f t="shared" si="108"/>
        <v/>
      </c>
      <c r="IP44" s="194" t="str">
        <f t="shared" si="357"/>
        <v/>
      </c>
      <c r="IQ44" s="194" t="str">
        <f t="shared" si="110"/>
        <v/>
      </c>
      <c r="IR44" s="194" t="str">
        <f t="shared" si="111"/>
        <v/>
      </c>
      <c r="IS44" s="194" t="str">
        <f t="shared" si="112"/>
        <v/>
      </c>
      <c r="IT44" s="194" t="str">
        <f t="shared" si="113"/>
        <v/>
      </c>
      <c r="IU44" s="194" t="str">
        <f t="shared" si="114"/>
        <v/>
      </c>
      <c r="IV44" s="194" t="str">
        <f t="shared" si="358"/>
        <v/>
      </c>
      <c r="IW44" s="194" t="str">
        <f t="shared" si="116"/>
        <v/>
      </c>
      <c r="IX44" s="194" t="str">
        <f t="shared" si="117"/>
        <v/>
      </c>
      <c r="IY44" s="194" t="str">
        <f t="shared" si="118"/>
        <v/>
      </c>
      <c r="IZ44" s="194" t="str">
        <f t="shared" si="119"/>
        <v/>
      </c>
      <c r="JA44" s="194" t="str">
        <f t="shared" si="120"/>
        <v/>
      </c>
      <c r="JB44" s="194" t="str">
        <f t="shared" si="121"/>
        <v/>
      </c>
      <c r="JC44" s="194" t="str">
        <f t="shared" si="122"/>
        <v/>
      </c>
      <c r="JD44" s="194" t="str">
        <f t="shared" si="123"/>
        <v/>
      </c>
      <c r="JE44" s="194" t="str">
        <f t="shared" si="124"/>
        <v/>
      </c>
      <c r="JF44" s="194" t="str">
        <f t="shared" si="125"/>
        <v/>
      </c>
      <c r="JG44" s="194" t="str">
        <f t="shared" si="126"/>
        <v/>
      </c>
      <c r="JH44" s="194" t="str">
        <f t="shared" si="127"/>
        <v/>
      </c>
      <c r="JI44" s="194" t="str">
        <f t="shared" si="128"/>
        <v/>
      </c>
      <c r="JJ44" s="194" t="str">
        <f t="shared" si="129"/>
        <v/>
      </c>
      <c r="JK44" s="194" t="str">
        <f t="shared" si="130"/>
        <v/>
      </c>
      <c r="JL44" s="194" t="str">
        <f t="shared" si="131"/>
        <v/>
      </c>
      <c r="JM44" s="194" t="str">
        <f t="shared" si="132"/>
        <v/>
      </c>
      <c r="JN44" s="194" t="str">
        <f t="shared" si="133"/>
        <v/>
      </c>
      <c r="JO44" s="194" t="str">
        <f t="shared" si="134"/>
        <v/>
      </c>
      <c r="JP44" s="194" t="str">
        <f t="shared" si="135"/>
        <v/>
      </c>
      <c r="JQ44" s="194" t="str">
        <f t="shared" si="136"/>
        <v/>
      </c>
      <c r="JR44" s="194" t="str">
        <f t="shared" si="137"/>
        <v/>
      </c>
      <c r="JS44" s="194" t="str">
        <f t="shared" si="138"/>
        <v/>
      </c>
      <c r="JT44" s="194" t="str">
        <f t="shared" si="139"/>
        <v/>
      </c>
      <c r="JU44" s="194" t="str">
        <f t="shared" si="140"/>
        <v/>
      </c>
      <c r="JV44" s="194" t="str">
        <f t="shared" si="141"/>
        <v/>
      </c>
      <c r="JW44" s="194" t="str">
        <f t="shared" si="142"/>
        <v/>
      </c>
      <c r="JX44" s="194" t="str">
        <f t="shared" si="143"/>
        <v/>
      </c>
      <c r="JY44" s="194" t="str">
        <f t="shared" si="144"/>
        <v/>
      </c>
      <c r="JZ44" s="194" t="str">
        <f t="shared" si="145"/>
        <v/>
      </c>
      <c r="KA44" s="194" t="str">
        <f t="shared" si="146"/>
        <v/>
      </c>
      <c r="KB44" s="194" t="str">
        <f t="shared" si="147"/>
        <v/>
      </c>
      <c r="KC44" s="194" t="str">
        <f t="shared" si="148"/>
        <v/>
      </c>
      <c r="KD44" s="194" t="str">
        <f t="shared" si="149"/>
        <v/>
      </c>
      <c r="KE44" s="194" t="str">
        <f t="shared" si="150"/>
        <v/>
      </c>
      <c r="KF44" s="194" t="str">
        <f t="shared" si="151"/>
        <v/>
      </c>
      <c r="KG44" s="194">
        <f>SUM(LE44:LX44)/COUNTA(RefKI3KI4!$B$5:$B$24)</f>
        <v>0</v>
      </c>
      <c r="KH44" s="232">
        <f t="shared" si="198"/>
        <v>0</v>
      </c>
      <c r="KI44" s="340" t="str">
        <f t="shared" si="199"/>
        <v>ok</v>
      </c>
      <c r="KJ44" s="340" t="str">
        <f t="shared" si="200"/>
        <v>ok</v>
      </c>
      <c r="KK44" s="340" t="str">
        <f t="shared" si="201"/>
        <v/>
      </c>
      <c r="KL44" s="340" t="str">
        <f t="shared" si="202"/>
        <v/>
      </c>
      <c r="KM44" s="340" t="str">
        <f t="shared" si="203"/>
        <v/>
      </c>
      <c r="KN44" s="340" t="str">
        <f t="shared" si="204"/>
        <v/>
      </c>
      <c r="KO44" s="340" t="str">
        <f t="shared" si="205"/>
        <v/>
      </c>
      <c r="KP44" s="340" t="str">
        <f t="shared" si="206"/>
        <v/>
      </c>
      <c r="KQ44" s="340" t="str">
        <f t="shared" si="207"/>
        <v/>
      </c>
      <c r="KR44" s="340" t="str">
        <f t="shared" si="208"/>
        <v/>
      </c>
      <c r="KS44" s="340" t="str">
        <f t="shared" si="209"/>
        <v/>
      </c>
      <c r="KT44" s="340" t="str">
        <f t="shared" si="210"/>
        <v/>
      </c>
      <c r="KU44" s="340" t="str">
        <f t="shared" si="211"/>
        <v/>
      </c>
      <c r="KV44" s="340" t="str">
        <f t="shared" si="212"/>
        <v/>
      </c>
      <c r="KW44" s="340" t="str">
        <f t="shared" si="213"/>
        <v/>
      </c>
      <c r="KX44" s="340" t="str">
        <f t="shared" si="214"/>
        <v/>
      </c>
      <c r="KY44" s="340" t="str">
        <f t="shared" si="215"/>
        <v/>
      </c>
      <c r="KZ44" s="340" t="str">
        <f t="shared" si="216"/>
        <v/>
      </c>
      <c r="LA44" s="340" t="str">
        <f t="shared" si="217"/>
        <v/>
      </c>
      <c r="LB44" s="340" t="str">
        <f t="shared" si="218"/>
        <v/>
      </c>
      <c r="LC44" s="340">
        <f t="shared" si="219"/>
        <v>0</v>
      </c>
      <c r="LD44" s="228">
        <v>36</v>
      </c>
      <c r="LE44" s="229" t="str">
        <f t="shared" si="220"/>
        <v/>
      </c>
      <c r="LF44" s="229" t="str">
        <f t="shared" si="221"/>
        <v/>
      </c>
      <c r="LG44" s="229" t="str">
        <f t="shared" si="222"/>
        <v/>
      </c>
      <c r="LH44" s="229" t="str">
        <f t="shared" si="223"/>
        <v/>
      </c>
      <c r="LI44" s="229" t="str">
        <f t="shared" si="224"/>
        <v/>
      </c>
      <c r="LJ44" s="229" t="str">
        <f t="shared" si="225"/>
        <v/>
      </c>
      <c r="LK44" s="229" t="str">
        <f t="shared" si="226"/>
        <v/>
      </c>
      <c r="LL44" s="229" t="str">
        <f t="shared" si="227"/>
        <v/>
      </c>
      <c r="LM44" s="229" t="str">
        <f t="shared" si="228"/>
        <v/>
      </c>
      <c r="LN44" s="229" t="str">
        <f t="shared" si="229"/>
        <v/>
      </c>
      <c r="LO44" s="229" t="str">
        <f t="shared" si="230"/>
        <v/>
      </c>
      <c r="LP44" s="229" t="str">
        <f t="shared" si="231"/>
        <v/>
      </c>
      <c r="LQ44" s="229" t="str">
        <f t="shared" si="232"/>
        <v/>
      </c>
      <c r="LR44" s="229" t="str">
        <f t="shared" si="233"/>
        <v/>
      </c>
      <c r="LS44" s="229" t="str">
        <f t="shared" si="234"/>
        <v/>
      </c>
      <c r="LT44" s="229" t="str">
        <f t="shared" si="235"/>
        <v/>
      </c>
      <c r="LU44" s="229" t="str">
        <f t="shared" si="236"/>
        <v/>
      </c>
      <c r="LV44" s="229" t="str">
        <f t="shared" si="237"/>
        <v/>
      </c>
      <c r="LW44" s="229" t="str">
        <f t="shared" si="238"/>
        <v/>
      </c>
      <c r="LX44" s="229" t="str">
        <f t="shared" si="239"/>
        <v/>
      </c>
      <c r="LY44" s="231" t="str">
        <f t="shared" si="240"/>
        <v/>
      </c>
      <c r="LZ44" s="231" t="str">
        <f t="shared" si="241"/>
        <v/>
      </c>
      <c r="MA44" s="231" t="str">
        <f t="shared" si="242"/>
        <v/>
      </c>
      <c r="MB44" s="231" t="str">
        <f t="shared" si="243"/>
        <v/>
      </c>
      <c r="MC44" s="231" t="str">
        <f t="shared" si="244"/>
        <v/>
      </c>
      <c r="MD44" s="231" t="str">
        <f t="shared" si="245"/>
        <v/>
      </c>
      <c r="ME44" s="231" t="str">
        <f t="shared" si="246"/>
        <v/>
      </c>
      <c r="MF44" s="231" t="str">
        <f t="shared" si="247"/>
        <v/>
      </c>
      <c r="MG44" s="231" t="str">
        <f t="shared" si="248"/>
        <v/>
      </c>
      <c r="MH44" s="231" t="str">
        <f t="shared" si="249"/>
        <v/>
      </c>
      <c r="MI44" s="231" t="str">
        <f t="shared" si="250"/>
        <v/>
      </c>
      <c r="MJ44" s="231" t="str">
        <f t="shared" si="251"/>
        <v/>
      </c>
      <c r="MK44" s="231" t="str">
        <f t="shared" si="252"/>
        <v/>
      </c>
      <c r="ML44" s="231" t="str">
        <f t="shared" si="253"/>
        <v/>
      </c>
      <c r="MM44" s="231" t="str">
        <f t="shared" si="254"/>
        <v/>
      </c>
      <c r="MN44" s="231" t="str">
        <f t="shared" si="255"/>
        <v/>
      </c>
      <c r="MO44" s="231" t="str">
        <f t="shared" si="256"/>
        <v/>
      </c>
      <c r="MP44" s="231" t="str">
        <f t="shared" si="257"/>
        <v/>
      </c>
      <c r="MQ44" s="231" t="str">
        <f t="shared" si="258"/>
        <v/>
      </c>
      <c r="MR44" s="231" t="str">
        <f t="shared" si="259"/>
        <v/>
      </c>
      <c r="MS44" s="231" t="str">
        <f t="shared" si="359"/>
        <v/>
      </c>
      <c r="MT44" s="232" t="str">
        <f>IF(MS44="","",IF(MS44&gt;=KONVERSI!$A$5,KONVERSI!$E$5,IF(MS44&gt;=KONVERSI!$A$6,KONVERSI!$E$6,IF(MS44&gt;=KONVERSI!$A$7,KONVERSI!$E$7,KONVERSI!$E$8))))</f>
        <v/>
      </c>
      <c r="MU44" s="233" t="str">
        <f t="shared" si="360"/>
        <v/>
      </c>
      <c r="MV44" s="234" t="str">
        <f t="shared" si="260"/>
        <v/>
      </c>
      <c r="MW44" s="232" t="str">
        <f>IF(MV44="","",IF(MV44&gt;=KONVERSI!$A$5,KONVERSI!$E$5,IF(MV44&gt;=KONVERSI!$A$6,KONVERSI!$E$6,IF(MV44&gt;=KONVERSI!$A$7,KONVERSI!$E$7,KONVERSI!$E$8))))</f>
        <v/>
      </c>
      <c r="MX44" s="134" t="str">
        <f>IF(FI44&lt;$FN$4," "&amp;KONVERSI!$C$18&amp;INDEX($LY$8:$MR$8,MATCH(MV44,LY44:MR44,0))&amp;".",IF(KG44=0,"",IF(MV44&lt;&gt;0,MU44&amp;MW44&amp;".",MU44&amp;".")))</f>
        <v/>
      </c>
      <c r="MY44" s="235" t="str">
        <f t="shared" si="261"/>
        <v/>
      </c>
      <c r="MZ44" s="235" t="str">
        <f t="shared" si="262"/>
        <v/>
      </c>
      <c r="NA44" s="235" t="str">
        <f t="shared" si="263"/>
        <v/>
      </c>
      <c r="NB44" s="235" t="str">
        <f t="shared" si="264"/>
        <v/>
      </c>
      <c r="NC44" s="235" t="str">
        <f t="shared" si="265"/>
        <v/>
      </c>
      <c r="ND44" s="235" t="str">
        <f t="shared" si="266"/>
        <v/>
      </c>
      <c r="NE44" s="235" t="str">
        <f t="shared" si="267"/>
        <v/>
      </c>
      <c r="NF44" s="235" t="str">
        <f t="shared" si="268"/>
        <v/>
      </c>
      <c r="NG44" s="235" t="str">
        <f t="shared" si="269"/>
        <v/>
      </c>
      <c r="NH44" s="235" t="str">
        <f t="shared" si="270"/>
        <v/>
      </c>
      <c r="NI44" s="235" t="str">
        <f t="shared" si="271"/>
        <v/>
      </c>
      <c r="NJ44" s="235" t="str">
        <f t="shared" si="272"/>
        <v/>
      </c>
      <c r="NK44" s="235" t="str">
        <f t="shared" si="273"/>
        <v/>
      </c>
      <c r="NL44" s="235" t="str">
        <f t="shared" si="274"/>
        <v/>
      </c>
      <c r="NM44" s="235" t="str">
        <f t="shared" si="275"/>
        <v/>
      </c>
      <c r="NN44" s="235" t="str">
        <f t="shared" si="276"/>
        <v/>
      </c>
      <c r="NO44" s="235" t="str">
        <f t="shared" si="277"/>
        <v/>
      </c>
      <c r="NP44" s="235" t="str">
        <f t="shared" si="278"/>
        <v/>
      </c>
      <c r="NQ44" s="235" t="str">
        <f t="shared" si="279"/>
        <v/>
      </c>
      <c r="NR44" s="235" t="str">
        <f t="shared" si="280"/>
        <v/>
      </c>
      <c r="NS44" s="134" t="str">
        <f t="shared" si="281"/>
        <v/>
      </c>
      <c r="NT44" s="134" t="str">
        <f t="shared" si="282"/>
        <v/>
      </c>
      <c r="NU44" s="134" t="str">
        <f t="shared" si="283"/>
        <v/>
      </c>
      <c r="NV44" s="134" t="str">
        <f t="shared" si="284"/>
        <v/>
      </c>
      <c r="NW44" s="134" t="str">
        <f t="shared" si="285"/>
        <v/>
      </c>
      <c r="NX44" s="134" t="str">
        <f t="shared" si="286"/>
        <v/>
      </c>
      <c r="NY44" s="134" t="str">
        <f t="shared" si="287"/>
        <v/>
      </c>
      <c r="NZ44" s="134" t="str">
        <f t="shared" si="288"/>
        <v/>
      </c>
      <c r="OA44" s="134" t="str">
        <f t="shared" si="289"/>
        <v/>
      </c>
      <c r="OB44" s="134" t="str">
        <f t="shared" si="290"/>
        <v/>
      </c>
      <c r="OC44" s="134" t="str">
        <f t="shared" si="291"/>
        <v/>
      </c>
      <c r="OD44" s="134" t="str">
        <f t="shared" si="292"/>
        <v/>
      </c>
      <c r="OE44" s="134" t="str">
        <f t="shared" si="293"/>
        <v/>
      </c>
      <c r="OF44" s="134" t="str">
        <f t="shared" si="294"/>
        <v/>
      </c>
      <c r="OG44" s="134" t="str">
        <f t="shared" si="295"/>
        <v/>
      </c>
      <c r="OH44" s="134" t="str">
        <f t="shared" si="296"/>
        <v/>
      </c>
      <c r="OI44" s="134" t="str">
        <f t="shared" si="297"/>
        <v/>
      </c>
      <c r="OJ44" s="134" t="str">
        <f t="shared" si="298"/>
        <v/>
      </c>
      <c r="OK44" s="134" t="str">
        <f t="shared" si="299"/>
        <v/>
      </c>
      <c r="OL44" s="134" t="str">
        <f t="shared" si="300"/>
        <v/>
      </c>
      <c r="OM44" s="134" t="str">
        <f t="shared" si="301"/>
        <v/>
      </c>
      <c r="ON44" s="134" t="str">
        <f t="shared" si="302"/>
        <v>  </v>
      </c>
      <c r="OO44" s="236">
        <f t="shared" si="361"/>
        <v>0</v>
      </c>
      <c r="OP44" s="235" t="str">
        <f t="shared" si="303"/>
        <v/>
      </c>
      <c r="OQ44" s="235" t="str">
        <f t="shared" si="304"/>
        <v/>
      </c>
      <c r="OR44" s="235" t="str">
        <f t="shared" si="305"/>
        <v/>
      </c>
      <c r="OS44" s="235" t="str">
        <f t="shared" si="306"/>
        <v/>
      </c>
      <c r="OT44" s="235" t="str">
        <f t="shared" si="307"/>
        <v/>
      </c>
      <c r="OU44" s="235" t="str">
        <f t="shared" si="308"/>
        <v/>
      </c>
      <c r="OV44" s="235" t="str">
        <f t="shared" si="309"/>
        <v/>
      </c>
      <c r="OW44" s="235" t="str">
        <f t="shared" si="310"/>
        <v/>
      </c>
      <c r="OX44" s="235" t="str">
        <f t="shared" si="311"/>
        <v/>
      </c>
      <c r="OY44" s="235" t="str">
        <f t="shared" si="312"/>
        <v/>
      </c>
      <c r="OZ44" s="235" t="str">
        <f t="shared" si="313"/>
        <v/>
      </c>
      <c r="PA44" s="235" t="str">
        <f t="shared" si="314"/>
        <v/>
      </c>
      <c r="PB44" s="235" t="str">
        <f t="shared" si="315"/>
        <v/>
      </c>
      <c r="PC44" s="235" t="str">
        <f t="shared" si="316"/>
        <v/>
      </c>
      <c r="PD44" s="235" t="str">
        <f t="shared" si="317"/>
        <v/>
      </c>
      <c r="PE44" s="235" t="str">
        <f t="shared" si="318"/>
        <v/>
      </c>
      <c r="PF44" s="235" t="str">
        <f t="shared" si="319"/>
        <v/>
      </c>
      <c r="PG44" s="235" t="str">
        <f t="shared" si="320"/>
        <v/>
      </c>
      <c r="PH44" s="235" t="str">
        <f t="shared" si="321"/>
        <v/>
      </c>
      <c r="PI44" s="235" t="str">
        <f t="shared" si="322"/>
        <v/>
      </c>
      <c r="PJ44" s="134" t="str">
        <f t="shared" si="323"/>
        <v/>
      </c>
      <c r="PK44" s="134" t="str">
        <f t="shared" si="324"/>
        <v/>
      </c>
      <c r="PL44" s="134" t="str">
        <f t="shared" si="325"/>
        <v/>
      </c>
      <c r="PM44" s="134" t="str">
        <f t="shared" si="326"/>
        <v/>
      </c>
      <c r="PN44" s="134" t="str">
        <f t="shared" si="327"/>
        <v/>
      </c>
      <c r="PO44" s="134" t="str">
        <f t="shared" si="328"/>
        <v/>
      </c>
      <c r="PP44" s="134" t="str">
        <f t="shared" si="329"/>
        <v/>
      </c>
      <c r="PQ44" s="134" t="str">
        <f t="shared" si="330"/>
        <v/>
      </c>
      <c r="PR44" s="134" t="str">
        <f t="shared" si="331"/>
        <v/>
      </c>
      <c r="PS44" s="134" t="str">
        <f t="shared" si="332"/>
        <v/>
      </c>
      <c r="PT44" s="134" t="str">
        <f t="shared" si="333"/>
        <v/>
      </c>
      <c r="PU44" s="134" t="str">
        <f t="shared" si="334"/>
        <v/>
      </c>
      <c r="PV44" s="134" t="str">
        <f t="shared" si="335"/>
        <v/>
      </c>
      <c r="PW44" s="134" t="str">
        <f t="shared" si="336"/>
        <v/>
      </c>
      <c r="PX44" s="134" t="str">
        <f t="shared" si="337"/>
        <v/>
      </c>
      <c r="PY44" s="134" t="str">
        <f t="shared" si="338"/>
        <v/>
      </c>
      <c r="PZ44" s="134" t="str">
        <f t="shared" si="339"/>
        <v/>
      </c>
      <c r="QA44" s="134" t="str">
        <f t="shared" si="340"/>
        <v/>
      </c>
      <c r="QB44" s="134" t="str">
        <f t="shared" si="341"/>
        <v/>
      </c>
      <c r="QC44" s="134" t="str">
        <f t="shared" si="342"/>
        <v/>
      </c>
      <c r="QD44" s="134" t="str">
        <f>IF(MT44=MW44,"",IF(MV44="","",IF(MV44&gt;=KONVERSI!$A$7,'KI3'!MW44&amp;" dalam"&amp;PJ44&amp;PK44&amp;PL44&amp;PM44&amp;PN44&amp;PO44&amp;PP44&amp;PQ44&amp;PR44&amp;PS44&amp;PT44&amp;PU44&amp;PV44&amp;PW44&amp;PX44&amp;PY44&amp;PZ44&amp;QA44&amp;QB44&amp;QC44,KONVERSI!$C$18&amp;" dalam"&amp;PJ44&amp;PK44&amp;PL44&amp;PM44&amp;PN44&amp;PO44&amp;PP44&amp;PQ44&amp;PR44&amp;PS44&amp;PT44&amp;PU44&amp;PV44&amp;PW44&amp;PX44&amp;PY44&amp;PZ44&amp;QA44&amp;QB44&amp;QC44)))</f>
        <v/>
      </c>
      <c r="QE44" s="134" t="str">
        <f t="shared" si="343"/>
        <v/>
      </c>
      <c r="QF44" s="236">
        <f t="shared" si="362"/>
        <v>0</v>
      </c>
      <c r="QG44" s="134" t="str">
        <f t="shared" si="363"/>
        <v/>
      </c>
    </row>
    <row r="45" ht="27.6" customHeight="1" spans="1:449">
      <c r="A45" s="136"/>
      <c r="B45" s="177">
        <v>37</v>
      </c>
      <c r="C45" s="178">
        <f>siswa!C41</f>
        <v>0</v>
      </c>
      <c r="D45" s="174">
        <f>siswa!D41</f>
        <v>0</v>
      </c>
      <c r="E45" s="181"/>
      <c r="F45" s="176"/>
      <c r="G45" s="176"/>
      <c r="H45" s="176"/>
      <c r="I45" s="176"/>
      <c r="J45" s="176"/>
      <c r="K45" s="176"/>
      <c r="L45" s="223" t="str">
        <f t="shared" si="174"/>
        <v/>
      </c>
      <c r="M45" s="181"/>
      <c r="N45" s="176"/>
      <c r="O45" s="176"/>
      <c r="P45" s="176"/>
      <c r="Q45" s="176"/>
      <c r="R45" s="176"/>
      <c r="S45" s="176"/>
      <c r="T45" s="223" t="str">
        <f t="shared" si="175"/>
        <v/>
      </c>
      <c r="U45" s="181"/>
      <c r="V45" s="176"/>
      <c r="W45" s="176"/>
      <c r="X45" s="176"/>
      <c r="Y45" s="176"/>
      <c r="Z45" s="176"/>
      <c r="AA45" s="176"/>
      <c r="AB45" s="223">
        <f t="shared" si="176"/>
        <v>0</v>
      </c>
      <c r="AC45" s="181"/>
      <c r="AD45" s="176"/>
      <c r="AE45" s="176"/>
      <c r="AF45" s="248"/>
      <c r="AG45" s="176"/>
      <c r="AH45" s="176"/>
      <c r="AI45" s="176"/>
      <c r="AJ45" s="223">
        <f t="shared" si="177"/>
        <v>0</v>
      </c>
      <c r="AK45" s="181"/>
      <c r="AL45" s="176"/>
      <c r="AM45" s="176"/>
      <c r="AN45" s="176"/>
      <c r="AO45" s="176"/>
      <c r="AP45" s="176"/>
      <c r="AQ45" s="176"/>
      <c r="AR45" s="223">
        <f t="shared" si="178"/>
        <v>0</v>
      </c>
      <c r="AS45" s="181"/>
      <c r="AT45" s="176"/>
      <c r="AU45" s="176"/>
      <c r="AV45" s="176"/>
      <c r="AW45" s="176"/>
      <c r="AX45" s="176"/>
      <c r="AY45" s="176"/>
      <c r="AZ45" s="223">
        <f t="shared" si="179"/>
        <v>0</v>
      </c>
      <c r="BA45" s="181"/>
      <c r="BB45" s="176"/>
      <c r="BC45" s="176"/>
      <c r="BD45" s="176"/>
      <c r="BE45" s="176"/>
      <c r="BF45" s="176"/>
      <c r="BG45" s="176"/>
      <c r="BH45" s="223">
        <f t="shared" si="180"/>
        <v>0</v>
      </c>
      <c r="BI45" s="181"/>
      <c r="BJ45" s="176"/>
      <c r="BK45" s="176"/>
      <c r="BL45" s="176"/>
      <c r="BM45" s="176"/>
      <c r="BN45" s="176"/>
      <c r="BO45" s="176"/>
      <c r="BP45" s="223">
        <f t="shared" si="181"/>
        <v>0</v>
      </c>
      <c r="BQ45" s="181"/>
      <c r="BR45" s="176"/>
      <c r="BS45" s="176"/>
      <c r="BT45" s="176"/>
      <c r="BU45" s="176"/>
      <c r="BV45" s="176"/>
      <c r="BW45" s="176"/>
      <c r="BX45" s="223">
        <f t="shared" si="182"/>
        <v>0</v>
      </c>
      <c r="BY45" s="181"/>
      <c r="BZ45" s="176"/>
      <c r="CA45" s="176"/>
      <c r="CB45" s="176"/>
      <c r="CC45" s="176"/>
      <c r="CD45" s="176"/>
      <c r="CE45" s="176"/>
      <c r="CF45" s="223">
        <f t="shared" si="183"/>
        <v>0</v>
      </c>
      <c r="CG45" s="181"/>
      <c r="CH45" s="176"/>
      <c r="CI45" s="176"/>
      <c r="CJ45" s="176"/>
      <c r="CK45" s="176"/>
      <c r="CL45" s="176"/>
      <c r="CM45" s="176"/>
      <c r="CN45" s="223">
        <f t="shared" si="184"/>
        <v>0</v>
      </c>
      <c r="CO45" s="181"/>
      <c r="CP45" s="176"/>
      <c r="CQ45" s="176"/>
      <c r="CR45" s="176"/>
      <c r="CS45" s="176"/>
      <c r="CT45" s="176"/>
      <c r="CU45" s="176"/>
      <c r="CV45" s="223">
        <f t="shared" si="185"/>
        <v>0</v>
      </c>
      <c r="CW45" s="181"/>
      <c r="CX45" s="176"/>
      <c r="CY45" s="176"/>
      <c r="CZ45" s="176"/>
      <c r="DA45" s="176"/>
      <c r="DB45" s="176"/>
      <c r="DC45" s="176"/>
      <c r="DD45" s="223">
        <f t="shared" si="186"/>
        <v>0</v>
      </c>
      <c r="DE45" s="181"/>
      <c r="DF45" s="176"/>
      <c r="DG45" s="176"/>
      <c r="DH45" s="176"/>
      <c r="DI45" s="176"/>
      <c r="DJ45" s="176"/>
      <c r="DK45" s="176"/>
      <c r="DL45" s="223">
        <f t="shared" si="187"/>
        <v>0</v>
      </c>
      <c r="DM45" s="181"/>
      <c r="DN45" s="176"/>
      <c r="DO45" s="176"/>
      <c r="DP45" s="176"/>
      <c r="DQ45" s="176"/>
      <c r="DR45" s="176"/>
      <c r="DS45" s="176"/>
      <c r="DT45" s="223">
        <f t="shared" si="188"/>
        <v>0</v>
      </c>
      <c r="DU45" s="181"/>
      <c r="DV45" s="176"/>
      <c r="DW45" s="176"/>
      <c r="DX45" s="176"/>
      <c r="DY45" s="176"/>
      <c r="DZ45" s="176"/>
      <c r="EA45" s="176"/>
      <c r="EB45" s="223">
        <f t="shared" si="189"/>
        <v>0</v>
      </c>
      <c r="EC45" s="181"/>
      <c r="ED45" s="176"/>
      <c r="EE45" s="176"/>
      <c r="EF45" s="176"/>
      <c r="EG45" s="176"/>
      <c r="EH45" s="176"/>
      <c r="EI45" s="176"/>
      <c r="EJ45" s="223">
        <f t="shared" si="190"/>
        <v>0</v>
      </c>
      <c r="EK45" s="181"/>
      <c r="EL45" s="176"/>
      <c r="EM45" s="176"/>
      <c r="EN45" s="176"/>
      <c r="EO45" s="176"/>
      <c r="EP45" s="176"/>
      <c r="EQ45" s="176"/>
      <c r="ER45" s="223">
        <f t="shared" si="191"/>
        <v>0</v>
      </c>
      <c r="ES45" s="181"/>
      <c r="ET45" s="176"/>
      <c r="EU45" s="176"/>
      <c r="EV45" s="176"/>
      <c r="EW45" s="176"/>
      <c r="EX45" s="176"/>
      <c r="EY45" s="176"/>
      <c r="EZ45" s="223">
        <f t="shared" si="192"/>
        <v>0</v>
      </c>
      <c r="FA45" s="181"/>
      <c r="FB45" s="176"/>
      <c r="FC45" s="176"/>
      <c r="FD45" s="176"/>
      <c r="FE45" s="176"/>
      <c r="FF45" s="176"/>
      <c r="FG45" s="176"/>
      <c r="FH45" s="223">
        <f t="shared" si="193"/>
        <v>0</v>
      </c>
      <c r="FI45" s="291" t="str">
        <f t="shared" si="194"/>
        <v/>
      </c>
      <c r="FJ45" s="250"/>
      <c r="FK45" s="250"/>
      <c r="FL45" s="291" t="str">
        <f t="shared" si="195"/>
        <v/>
      </c>
      <c r="FM45" s="312" t="str">
        <f>IFERROR(IF(FL45="","",IF(FL45&gt;=KONVERSI!$A$5,KONVERSI!$D$5,IF(FL45&gt;=KONVERSI!$A$6,KONVERSI!$D$6,IF(FL45&gt;=KONVERSI!$A$7,KONVERSI!$D$7,KONVERSI!$D$8)))),"")</f>
        <v/>
      </c>
      <c r="FN45" s="232" t="str">
        <f t="shared" si="196"/>
        <v/>
      </c>
      <c r="FO45" s="313"/>
      <c r="FP45" s="314">
        <f t="shared" si="197"/>
        <v>0</v>
      </c>
      <c r="FQ45" s="194" t="str">
        <f t="shared" si="33"/>
        <v/>
      </c>
      <c r="FR45" s="194" t="str">
        <f t="shared" si="34"/>
        <v/>
      </c>
      <c r="FS45" s="194" t="str">
        <f t="shared" si="35"/>
        <v/>
      </c>
      <c r="FT45" s="194" t="str">
        <f t="shared" si="36"/>
        <v/>
      </c>
      <c r="FU45" s="194" t="str">
        <f t="shared" si="37"/>
        <v/>
      </c>
      <c r="FV45" s="194" t="str">
        <f t="shared" si="345"/>
        <v/>
      </c>
      <c r="FW45" s="194" t="str">
        <f t="shared" si="39"/>
        <v/>
      </c>
      <c r="FX45" s="194" t="str">
        <f t="shared" si="344"/>
        <v/>
      </c>
      <c r="FY45" s="194" t="str">
        <f t="shared" si="40"/>
        <v/>
      </c>
      <c r="FZ45" s="194" t="str">
        <f t="shared" si="41"/>
        <v/>
      </c>
      <c r="GA45" s="194" t="str">
        <f t="shared" si="42"/>
        <v/>
      </c>
      <c r="GB45" s="194" t="str">
        <f t="shared" si="346"/>
        <v/>
      </c>
      <c r="GC45" s="194" t="str">
        <f t="shared" si="44"/>
        <v/>
      </c>
      <c r="GD45" s="194" t="str">
        <f t="shared" si="45"/>
        <v/>
      </c>
      <c r="GE45" s="194" t="str">
        <f t="shared" si="46"/>
        <v/>
      </c>
      <c r="GF45" s="194" t="str">
        <f t="shared" si="47"/>
        <v/>
      </c>
      <c r="GG45" s="194" t="str">
        <f t="shared" si="48"/>
        <v/>
      </c>
      <c r="GH45" s="194" t="str">
        <f t="shared" si="347"/>
        <v/>
      </c>
      <c r="GI45" s="194" t="str">
        <f t="shared" si="50"/>
        <v/>
      </c>
      <c r="GJ45" s="194" t="str">
        <f t="shared" si="51"/>
        <v/>
      </c>
      <c r="GK45" s="194" t="str">
        <f t="shared" si="52"/>
        <v/>
      </c>
      <c r="GL45" s="194" t="str">
        <f t="shared" si="53"/>
        <v/>
      </c>
      <c r="GM45" s="194" t="str">
        <f t="shared" si="54"/>
        <v/>
      </c>
      <c r="GN45" s="194" t="str">
        <f t="shared" si="348"/>
        <v/>
      </c>
      <c r="GO45" s="194" t="str">
        <f t="shared" si="56"/>
        <v/>
      </c>
      <c r="GP45" s="194" t="str">
        <f t="shared" si="57"/>
        <v/>
      </c>
      <c r="GQ45" s="194" t="str">
        <f t="shared" si="58"/>
        <v/>
      </c>
      <c r="GR45" s="194" t="str">
        <f t="shared" si="59"/>
        <v/>
      </c>
      <c r="GS45" s="194" t="str">
        <f t="shared" si="60"/>
        <v/>
      </c>
      <c r="GT45" s="194" t="str">
        <f t="shared" si="349"/>
        <v/>
      </c>
      <c r="GU45" s="194" t="str">
        <f t="shared" si="62"/>
        <v/>
      </c>
      <c r="GV45" s="194" t="str">
        <f t="shared" si="63"/>
        <v/>
      </c>
      <c r="GW45" s="194" t="str">
        <f t="shared" si="64"/>
        <v/>
      </c>
      <c r="GX45" s="194" t="str">
        <f t="shared" si="65"/>
        <v/>
      </c>
      <c r="GY45" s="194" t="str">
        <f t="shared" si="66"/>
        <v/>
      </c>
      <c r="GZ45" s="194" t="str">
        <f t="shared" si="350"/>
        <v/>
      </c>
      <c r="HA45" s="194" t="str">
        <f t="shared" si="68"/>
        <v/>
      </c>
      <c r="HB45" s="194" t="str">
        <f t="shared" si="69"/>
        <v/>
      </c>
      <c r="HC45" s="194" t="str">
        <f t="shared" si="70"/>
        <v/>
      </c>
      <c r="HD45" s="194" t="str">
        <f t="shared" si="71"/>
        <v/>
      </c>
      <c r="HE45" s="194" t="str">
        <f t="shared" si="72"/>
        <v/>
      </c>
      <c r="HF45" s="194" t="str">
        <f t="shared" si="351"/>
        <v/>
      </c>
      <c r="HG45" s="194" t="str">
        <f t="shared" si="74"/>
        <v/>
      </c>
      <c r="HH45" s="194" t="str">
        <f t="shared" si="75"/>
        <v/>
      </c>
      <c r="HI45" s="194" t="str">
        <f t="shared" si="76"/>
        <v/>
      </c>
      <c r="HJ45" s="194" t="str">
        <f t="shared" si="77"/>
        <v/>
      </c>
      <c r="HK45" s="194" t="str">
        <f t="shared" si="78"/>
        <v/>
      </c>
      <c r="HL45" s="194" t="str">
        <f t="shared" si="352"/>
        <v/>
      </c>
      <c r="HM45" s="194" t="str">
        <f t="shared" si="80"/>
        <v/>
      </c>
      <c r="HN45" s="194" t="str">
        <f t="shared" si="81"/>
        <v/>
      </c>
      <c r="HO45" s="194" t="str">
        <f t="shared" si="82"/>
        <v/>
      </c>
      <c r="HP45" s="194" t="str">
        <f t="shared" si="83"/>
        <v/>
      </c>
      <c r="HQ45" s="194" t="str">
        <f t="shared" si="84"/>
        <v/>
      </c>
      <c r="HR45" s="194" t="str">
        <f t="shared" si="353"/>
        <v/>
      </c>
      <c r="HS45" s="194" t="str">
        <f t="shared" si="86"/>
        <v/>
      </c>
      <c r="HT45" s="194" t="str">
        <f t="shared" si="87"/>
        <v/>
      </c>
      <c r="HU45" s="194" t="str">
        <f t="shared" si="88"/>
        <v/>
      </c>
      <c r="HV45" s="194" t="str">
        <f t="shared" si="89"/>
        <v/>
      </c>
      <c r="HW45" s="194" t="str">
        <f t="shared" si="90"/>
        <v/>
      </c>
      <c r="HX45" s="194" t="str">
        <f t="shared" si="354"/>
        <v/>
      </c>
      <c r="HY45" s="194" t="str">
        <f t="shared" si="92"/>
        <v/>
      </c>
      <c r="HZ45" s="194" t="str">
        <f t="shared" si="93"/>
        <v/>
      </c>
      <c r="IA45" s="194" t="str">
        <f t="shared" si="94"/>
        <v/>
      </c>
      <c r="IB45" s="194" t="str">
        <f t="shared" si="95"/>
        <v/>
      </c>
      <c r="IC45" s="194" t="str">
        <f t="shared" si="96"/>
        <v/>
      </c>
      <c r="ID45" s="194" t="str">
        <f t="shared" si="355"/>
        <v/>
      </c>
      <c r="IE45" s="194" t="str">
        <f t="shared" si="98"/>
        <v/>
      </c>
      <c r="IF45" s="194" t="str">
        <f t="shared" si="99"/>
        <v/>
      </c>
      <c r="IG45" s="194" t="str">
        <f t="shared" si="100"/>
        <v/>
      </c>
      <c r="IH45" s="194" t="str">
        <f t="shared" si="101"/>
        <v/>
      </c>
      <c r="II45" s="194" t="str">
        <f t="shared" si="102"/>
        <v/>
      </c>
      <c r="IJ45" s="194" t="str">
        <f t="shared" si="356"/>
        <v/>
      </c>
      <c r="IK45" s="194" t="str">
        <f t="shared" si="104"/>
        <v/>
      </c>
      <c r="IL45" s="194" t="str">
        <f t="shared" si="105"/>
        <v/>
      </c>
      <c r="IM45" s="194" t="str">
        <f t="shared" si="106"/>
        <v/>
      </c>
      <c r="IN45" s="194" t="str">
        <f t="shared" si="107"/>
        <v/>
      </c>
      <c r="IO45" s="194" t="str">
        <f t="shared" si="108"/>
        <v/>
      </c>
      <c r="IP45" s="194" t="str">
        <f t="shared" si="357"/>
        <v/>
      </c>
      <c r="IQ45" s="194" t="str">
        <f t="shared" si="110"/>
        <v/>
      </c>
      <c r="IR45" s="194" t="str">
        <f t="shared" si="111"/>
        <v/>
      </c>
      <c r="IS45" s="194" t="str">
        <f t="shared" si="112"/>
        <v/>
      </c>
      <c r="IT45" s="194" t="str">
        <f t="shared" si="113"/>
        <v/>
      </c>
      <c r="IU45" s="194" t="str">
        <f t="shared" si="114"/>
        <v/>
      </c>
      <c r="IV45" s="194" t="str">
        <f t="shared" si="358"/>
        <v/>
      </c>
      <c r="IW45" s="194" t="str">
        <f t="shared" ref="IW45:IW58" si="364">IF($IW$6="","",IF(DM45="","",DM45))</f>
        <v/>
      </c>
      <c r="IX45" s="194" t="str">
        <f t="shared" ref="IX45:IX58" si="365">IF($IW$6="","",IF(DN45="","",DN45))</f>
        <v/>
      </c>
      <c r="IY45" s="194" t="str">
        <f t="shared" ref="IY45:IY58" si="366">IF($IW$6="","",IF(DO45="","",DO45))</f>
        <v/>
      </c>
      <c r="IZ45" s="194" t="str">
        <f t="shared" ref="IZ45:IZ58" si="367">IF($IW$6="","",IF(DP45="","",DP45))</f>
        <v/>
      </c>
      <c r="JA45" s="194" t="str">
        <f t="shared" ref="JA45:JA58" si="368">IF($IW$6="","",IF(DQ45="","",DQ45))</f>
        <v/>
      </c>
      <c r="JB45" s="194" t="str">
        <f t="shared" ref="JB45:JB58" si="369">IF($IW$6="","",IF(DT45="","",DT45))</f>
        <v/>
      </c>
      <c r="JC45" s="194" t="str">
        <f t="shared" ref="JC45:JC58" si="370">IF($IW$6="","",IF(DU45="","",DU45))</f>
        <v/>
      </c>
      <c r="JD45" s="194" t="str">
        <f t="shared" ref="JD45:JD58" si="371">IF($IW$6="","",IF(DV45="","",DV45))</f>
        <v/>
      </c>
      <c r="JE45" s="194" t="str">
        <f t="shared" ref="JE45:JE58" si="372">IF($IW$6="","",IF(DW45="","",DW45))</f>
        <v/>
      </c>
      <c r="JF45" s="194" t="str">
        <f t="shared" ref="JF45:JF58" si="373">IF($IW$6="","",IF(DX45="","",DX45))</f>
        <v/>
      </c>
      <c r="JG45" s="194" t="str">
        <f t="shared" ref="JG45:JG58" si="374">IF($IW$6="","",IF(DY45="","",DY45))</f>
        <v/>
      </c>
      <c r="JH45" s="194" t="str">
        <f t="shared" ref="JH45:JM46" si="375">IF($IW$6="","",IF(EB45="","",EB45))</f>
        <v/>
      </c>
      <c r="JI45" s="194" t="str">
        <f t="shared" si="375"/>
        <v/>
      </c>
      <c r="JJ45" s="194" t="str">
        <f t="shared" si="375"/>
        <v/>
      </c>
      <c r="JK45" s="194" t="str">
        <f t="shared" si="375"/>
        <v/>
      </c>
      <c r="JL45" s="194" t="str">
        <f t="shared" si="375"/>
        <v/>
      </c>
      <c r="JM45" s="194" t="str">
        <f t="shared" si="375"/>
        <v/>
      </c>
      <c r="JN45" s="194" t="str">
        <f t="shared" ref="JN45:JS46" si="376">IF($IW$6="","",IF(EJ45="","",EJ45))</f>
        <v/>
      </c>
      <c r="JO45" s="194" t="str">
        <f t="shared" si="376"/>
        <v/>
      </c>
      <c r="JP45" s="194" t="str">
        <f t="shared" si="376"/>
        <v/>
      </c>
      <c r="JQ45" s="194" t="str">
        <f t="shared" si="376"/>
        <v/>
      </c>
      <c r="JR45" s="194" t="str">
        <f t="shared" si="376"/>
        <v/>
      </c>
      <c r="JS45" s="194" t="str">
        <f t="shared" si="376"/>
        <v/>
      </c>
      <c r="JT45" s="194" t="str">
        <f t="shared" ref="JT45:JY46" si="377">IF($IW$6="","",IF(ER45="","",ER45))</f>
        <v/>
      </c>
      <c r="JU45" s="194" t="str">
        <f t="shared" si="377"/>
        <v/>
      </c>
      <c r="JV45" s="194" t="str">
        <f t="shared" si="377"/>
        <v/>
      </c>
      <c r="JW45" s="194" t="str">
        <f t="shared" si="377"/>
        <v/>
      </c>
      <c r="JX45" s="194" t="str">
        <f t="shared" si="377"/>
        <v/>
      </c>
      <c r="JY45" s="194" t="str">
        <f t="shared" si="377"/>
        <v/>
      </c>
      <c r="JZ45" s="194" t="str">
        <f t="shared" ref="JZ45:KE46" si="378">IF($IW$6="","",IF(EZ45="","",EZ45))</f>
        <v/>
      </c>
      <c r="KA45" s="194" t="str">
        <f t="shared" si="378"/>
        <v/>
      </c>
      <c r="KB45" s="194" t="str">
        <f t="shared" si="378"/>
        <v/>
      </c>
      <c r="KC45" s="194" t="str">
        <f t="shared" si="378"/>
        <v/>
      </c>
      <c r="KD45" s="194" t="str">
        <f t="shared" si="378"/>
        <v/>
      </c>
      <c r="KE45" s="194" t="str">
        <f t="shared" si="378"/>
        <v/>
      </c>
      <c r="KF45" s="194" t="str">
        <f t="shared" si="151"/>
        <v/>
      </c>
      <c r="KG45" s="194">
        <f>SUM(LE45:LX45)/COUNTA(RefKI3KI4!$B$5:$B$24)</f>
        <v>0</v>
      </c>
      <c r="KH45" s="232">
        <f t="shared" si="198"/>
        <v>0</v>
      </c>
      <c r="KI45" s="340" t="str">
        <f t="shared" si="199"/>
        <v>ok</v>
      </c>
      <c r="KJ45" s="340" t="str">
        <f t="shared" si="200"/>
        <v>ok</v>
      </c>
      <c r="KK45" s="340" t="str">
        <f t="shared" si="201"/>
        <v/>
      </c>
      <c r="KL45" s="340" t="str">
        <f t="shared" si="202"/>
        <v/>
      </c>
      <c r="KM45" s="340" t="str">
        <f t="shared" si="203"/>
        <v/>
      </c>
      <c r="KN45" s="340" t="str">
        <f t="shared" si="204"/>
        <v/>
      </c>
      <c r="KO45" s="340" t="str">
        <f t="shared" si="205"/>
        <v/>
      </c>
      <c r="KP45" s="340" t="str">
        <f t="shared" si="206"/>
        <v/>
      </c>
      <c r="KQ45" s="340" t="str">
        <f t="shared" si="207"/>
        <v/>
      </c>
      <c r="KR45" s="340" t="str">
        <f t="shared" si="208"/>
        <v/>
      </c>
      <c r="KS45" s="340" t="str">
        <f t="shared" si="209"/>
        <v/>
      </c>
      <c r="KT45" s="340" t="str">
        <f t="shared" si="210"/>
        <v/>
      </c>
      <c r="KU45" s="340" t="str">
        <f t="shared" si="211"/>
        <v/>
      </c>
      <c r="KV45" s="340" t="str">
        <f t="shared" si="212"/>
        <v/>
      </c>
      <c r="KW45" s="340" t="str">
        <f t="shared" si="213"/>
        <v/>
      </c>
      <c r="KX45" s="340" t="str">
        <f t="shared" si="214"/>
        <v/>
      </c>
      <c r="KY45" s="340" t="str">
        <f t="shared" si="215"/>
        <v/>
      </c>
      <c r="KZ45" s="340" t="str">
        <f t="shared" si="216"/>
        <v/>
      </c>
      <c r="LA45" s="340" t="str">
        <f t="shared" si="217"/>
        <v/>
      </c>
      <c r="LB45" s="340" t="str">
        <f t="shared" si="218"/>
        <v/>
      </c>
      <c r="LC45" s="340">
        <f t="shared" si="219"/>
        <v>0</v>
      </c>
      <c r="LD45" s="228">
        <v>37</v>
      </c>
      <c r="LE45" s="229" t="str">
        <f t="shared" si="220"/>
        <v/>
      </c>
      <c r="LF45" s="229" t="str">
        <f t="shared" si="221"/>
        <v/>
      </c>
      <c r="LG45" s="229" t="str">
        <f t="shared" si="222"/>
        <v/>
      </c>
      <c r="LH45" s="229" t="str">
        <f t="shared" si="223"/>
        <v/>
      </c>
      <c r="LI45" s="229" t="str">
        <f t="shared" si="224"/>
        <v/>
      </c>
      <c r="LJ45" s="229" t="str">
        <f t="shared" si="225"/>
        <v/>
      </c>
      <c r="LK45" s="229" t="str">
        <f t="shared" si="226"/>
        <v/>
      </c>
      <c r="LL45" s="229" t="str">
        <f t="shared" si="227"/>
        <v/>
      </c>
      <c r="LM45" s="229" t="str">
        <f t="shared" si="228"/>
        <v/>
      </c>
      <c r="LN45" s="229" t="str">
        <f t="shared" si="229"/>
        <v/>
      </c>
      <c r="LO45" s="229" t="str">
        <f t="shared" si="230"/>
        <v/>
      </c>
      <c r="LP45" s="229" t="str">
        <f t="shared" si="231"/>
        <v/>
      </c>
      <c r="LQ45" s="229" t="str">
        <f t="shared" si="232"/>
        <v/>
      </c>
      <c r="LR45" s="229" t="str">
        <f t="shared" si="233"/>
        <v/>
      </c>
      <c r="LS45" s="229" t="str">
        <f t="shared" si="234"/>
        <v/>
      </c>
      <c r="LT45" s="229" t="str">
        <f t="shared" si="235"/>
        <v/>
      </c>
      <c r="LU45" s="229" t="str">
        <f t="shared" si="236"/>
        <v/>
      </c>
      <c r="LV45" s="229" t="str">
        <f t="shared" si="237"/>
        <v/>
      </c>
      <c r="LW45" s="229" t="str">
        <f t="shared" si="238"/>
        <v/>
      </c>
      <c r="LX45" s="229" t="str">
        <f t="shared" si="239"/>
        <v/>
      </c>
      <c r="LY45" s="231" t="str">
        <f t="shared" si="240"/>
        <v/>
      </c>
      <c r="LZ45" s="231" t="str">
        <f t="shared" si="241"/>
        <v/>
      </c>
      <c r="MA45" s="231" t="str">
        <f t="shared" si="242"/>
        <v/>
      </c>
      <c r="MB45" s="231" t="str">
        <f t="shared" si="243"/>
        <v/>
      </c>
      <c r="MC45" s="231" t="str">
        <f t="shared" si="244"/>
        <v/>
      </c>
      <c r="MD45" s="231" t="str">
        <f t="shared" si="245"/>
        <v/>
      </c>
      <c r="ME45" s="231" t="str">
        <f t="shared" si="246"/>
        <v/>
      </c>
      <c r="MF45" s="231" t="str">
        <f t="shared" si="247"/>
        <v/>
      </c>
      <c r="MG45" s="231" t="str">
        <f t="shared" si="248"/>
        <v/>
      </c>
      <c r="MH45" s="231" t="str">
        <f t="shared" si="249"/>
        <v/>
      </c>
      <c r="MI45" s="231" t="str">
        <f t="shared" si="250"/>
        <v/>
      </c>
      <c r="MJ45" s="231" t="str">
        <f t="shared" si="251"/>
        <v/>
      </c>
      <c r="MK45" s="231" t="str">
        <f t="shared" si="252"/>
        <v/>
      </c>
      <c r="ML45" s="231" t="str">
        <f t="shared" si="253"/>
        <v/>
      </c>
      <c r="MM45" s="231" t="str">
        <f t="shared" si="254"/>
        <v/>
      </c>
      <c r="MN45" s="231" t="str">
        <f t="shared" si="255"/>
        <v/>
      </c>
      <c r="MO45" s="231" t="str">
        <f t="shared" si="256"/>
        <v/>
      </c>
      <c r="MP45" s="231" t="str">
        <f t="shared" si="257"/>
        <v/>
      </c>
      <c r="MQ45" s="231" t="str">
        <f t="shared" si="258"/>
        <v/>
      </c>
      <c r="MR45" s="231" t="str">
        <f t="shared" si="259"/>
        <v/>
      </c>
      <c r="MS45" s="231" t="str">
        <f t="shared" si="359"/>
        <v/>
      </c>
      <c r="MT45" s="232" t="str">
        <f>IF(MS45="","",IF(MS45&gt;=KONVERSI!$A$5,KONVERSI!$E$5,IF(MS45&gt;=KONVERSI!$A$6,KONVERSI!$E$6,IF(MS45&gt;=KONVERSI!$A$7,KONVERSI!$E$7,KONVERSI!$E$8))))</f>
        <v/>
      </c>
      <c r="MU45" s="233" t="str">
        <f t="shared" si="360"/>
        <v/>
      </c>
      <c r="MV45" s="234" t="str">
        <f t="shared" si="260"/>
        <v/>
      </c>
      <c r="MW45" s="232" t="str">
        <f>IF(MV45="","",IF(MV45&gt;=KONVERSI!$A$5,KONVERSI!$E$5,IF(MV45&gt;=KONVERSI!$A$6,KONVERSI!$E$6,IF(MV45&gt;=KONVERSI!$A$7,KONVERSI!$E$7,KONVERSI!$E$8))))</f>
        <v/>
      </c>
      <c r="MX45" s="134" t="str">
        <f>IF(FI45&lt;$FN$4," "&amp;KONVERSI!$C$18&amp;INDEX($LY$8:$MR$8,MATCH(MV45,LY45:MR45,0))&amp;".",IF(KG45=0,"",IF(MV45&lt;&gt;0,MU45&amp;MW45&amp;".",MU45&amp;".")))</f>
        <v/>
      </c>
      <c r="MY45" s="235" t="str">
        <f t="shared" si="261"/>
        <v/>
      </c>
      <c r="MZ45" s="235" t="str">
        <f t="shared" si="262"/>
        <v/>
      </c>
      <c r="NA45" s="235" t="str">
        <f t="shared" si="263"/>
        <v/>
      </c>
      <c r="NB45" s="235" t="str">
        <f t="shared" si="264"/>
        <v/>
      </c>
      <c r="NC45" s="235" t="str">
        <f t="shared" si="265"/>
        <v/>
      </c>
      <c r="ND45" s="235" t="str">
        <f t="shared" si="266"/>
        <v/>
      </c>
      <c r="NE45" s="235" t="str">
        <f t="shared" si="267"/>
        <v/>
      </c>
      <c r="NF45" s="235" t="str">
        <f t="shared" si="268"/>
        <v/>
      </c>
      <c r="NG45" s="235" t="str">
        <f t="shared" si="269"/>
        <v/>
      </c>
      <c r="NH45" s="235" t="str">
        <f t="shared" si="270"/>
        <v/>
      </c>
      <c r="NI45" s="235" t="str">
        <f t="shared" si="271"/>
        <v/>
      </c>
      <c r="NJ45" s="235" t="str">
        <f t="shared" si="272"/>
        <v/>
      </c>
      <c r="NK45" s="235" t="str">
        <f t="shared" si="273"/>
        <v/>
      </c>
      <c r="NL45" s="235" t="str">
        <f t="shared" si="274"/>
        <v/>
      </c>
      <c r="NM45" s="235" t="str">
        <f t="shared" si="275"/>
        <v/>
      </c>
      <c r="NN45" s="235" t="str">
        <f t="shared" si="276"/>
        <v/>
      </c>
      <c r="NO45" s="235" t="str">
        <f t="shared" si="277"/>
        <v/>
      </c>
      <c r="NP45" s="235" t="str">
        <f t="shared" si="278"/>
        <v/>
      </c>
      <c r="NQ45" s="235" t="str">
        <f t="shared" si="279"/>
        <v/>
      </c>
      <c r="NR45" s="235" t="str">
        <f t="shared" si="280"/>
        <v/>
      </c>
      <c r="NS45" s="134" t="str">
        <f t="shared" si="281"/>
        <v/>
      </c>
      <c r="NT45" s="134" t="str">
        <f t="shared" si="282"/>
        <v/>
      </c>
      <c r="NU45" s="134" t="str">
        <f t="shared" si="283"/>
        <v/>
      </c>
      <c r="NV45" s="134" t="str">
        <f t="shared" si="284"/>
        <v/>
      </c>
      <c r="NW45" s="134" t="str">
        <f t="shared" si="285"/>
        <v/>
      </c>
      <c r="NX45" s="134" t="str">
        <f t="shared" si="286"/>
        <v/>
      </c>
      <c r="NY45" s="134" t="str">
        <f t="shared" si="287"/>
        <v/>
      </c>
      <c r="NZ45" s="134" t="str">
        <f t="shared" si="288"/>
        <v/>
      </c>
      <c r="OA45" s="134" t="str">
        <f t="shared" si="289"/>
        <v/>
      </c>
      <c r="OB45" s="134" t="str">
        <f t="shared" si="290"/>
        <v/>
      </c>
      <c r="OC45" s="134" t="str">
        <f t="shared" si="291"/>
        <v/>
      </c>
      <c r="OD45" s="134" t="str">
        <f t="shared" si="292"/>
        <v/>
      </c>
      <c r="OE45" s="134" t="str">
        <f t="shared" si="293"/>
        <v/>
      </c>
      <c r="OF45" s="134" t="str">
        <f t="shared" si="294"/>
        <v/>
      </c>
      <c r="OG45" s="134" t="str">
        <f t="shared" si="295"/>
        <v/>
      </c>
      <c r="OH45" s="134" t="str">
        <f t="shared" si="296"/>
        <v/>
      </c>
      <c r="OI45" s="134" t="str">
        <f t="shared" si="297"/>
        <v/>
      </c>
      <c r="OJ45" s="134" t="str">
        <f t="shared" si="298"/>
        <v/>
      </c>
      <c r="OK45" s="134" t="str">
        <f t="shared" si="299"/>
        <v/>
      </c>
      <c r="OL45" s="134" t="str">
        <f t="shared" si="300"/>
        <v/>
      </c>
      <c r="OM45" s="134" t="str">
        <f t="shared" si="301"/>
        <v/>
      </c>
      <c r="ON45" s="134" t="str">
        <f t="shared" si="302"/>
        <v>  </v>
      </c>
      <c r="OO45" s="236">
        <f t="shared" si="361"/>
        <v>0</v>
      </c>
      <c r="OP45" s="235" t="str">
        <f t="shared" si="303"/>
        <v/>
      </c>
      <c r="OQ45" s="235" t="str">
        <f t="shared" si="304"/>
        <v/>
      </c>
      <c r="OR45" s="235" t="str">
        <f t="shared" si="305"/>
        <v/>
      </c>
      <c r="OS45" s="235" t="str">
        <f t="shared" si="306"/>
        <v/>
      </c>
      <c r="OT45" s="235" t="str">
        <f t="shared" si="307"/>
        <v/>
      </c>
      <c r="OU45" s="235" t="str">
        <f t="shared" si="308"/>
        <v/>
      </c>
      <c r="OV45" s="235" t="str">
        <f t="shared" si="309"/>
        <v/>
      </c>
      <c r="OW45" s="235" t="str">
        <f t="shared" si="310"/>
        <v/>
      </c>
      <c r="OX45" s="235" t="str">
        <f t="shared" si="311"/>
        <v/>
      </c>
      <c r="OY45" s="235" t="str">
        <f t="shared" si="312"/>
        <v/>
      </c>
      <c r="OZ45" s="235" t="str">
        <f t="shared" si="313"/>
        <v/>
      </c>
      <c r="PA45" s="235" t="str">
        <f t="shared" si="314"/>
        <v/>
      </c>
      <c r="PB45" s="235" t="str">
        <f t="shared" si="315"/>
        <v/>
      </c>
      <c r="PC45" s="235" t="str">
        <f t="shared" si="316"/>
        <v/>
      </c>
      <c r="PD45" s="235" t="str">
        <f t="shared" si="317"/>
        <v/>
      </c>
      <c r="PE45" s="235" t="str">
        <f t="shared" si="318"/>
        <v/>
      </c>
      <c r="PF45" s="235" t="str">
        <f t="shared" si="319"/>
        <v/>
      </c>
      <c r="PG45" s="235" t="str">
        <f t="shared" si="320"/>
        <v/>
      </c>
      <c r="PH45" s="235" t="str">
        <f t="shared" si="321"/>
        <v/>
      </c>
      <c r="PI45" s="235" t="str">
        <f t="shared" si="322"/>
        <v/>
      </c>
      <c r="PJ45" s="134" t="str">
        <f t="shared" si="323"/>
        <v/>
      </c>
      <c r="PK45" s="134" t="str">
        <f t="shared" si="324"/>
        <v/>
      </c>
      <c r="PL45" s="134" t="str">
        <f t="shared" si="325"/>
        <v/>
      </c>
      <c r="PM45" s="134" t="str">
        <f t="shared" si="326"/>
        <v/>
      </c>
      <c r="PN45" s="134" t="str">
        <f t="shared" si="327"/>
        <v/>
      </c>
      <c r="PO45" s="134" t="str">
        <f t="shared" si="328"/>
        <v/>
      </c>
      <c r="PP45" s="134" t="str">
        <f t="shared" si="329"/>
        <v/>
      </c>
      <c r="PQ45" s="134" t="str">
        <f t="shared" si="330"/>
        <v/>
      </c>
      <c r="PR45" s="134" t="str">
        <f t="shared" si="331"/>
        <v/>
      </c>
      <c r="PS45" s="134" t="str">
        <f t="shared" si="332"/>
        <v/>
      </c>
      <c r="PT45" s="134" t="str">
        <f t="shared" si="333"/>
        <v/>
      </c>
      <c r="PU45" s="134" t="str">
        <f t="shared" si="334"/>
        <v/>
      </c>
      <c r="PV45" s="134" t="str">
        <f t="shared" si="335"/>
        <v/>
      </c>
      <c r="PW45" s="134" t="str">
        <f t="shared" si="336"/>
        <v/>
      </c>
      <c r="PX45" s="134" t="str">
        <f t="shared" si="337"/>
        <v/>
      </c>
      <c r="PY45" s="134" t="str">
        <f t="shared" si="338"/>
        <v/>
      </c>
      <c r="PZ45" s="134" t="str">
        <f t="shared" si="339"/>
        <v/>
      </c>
      <c r="QA45" s="134" t="str">
        <f t="shared" si="340"/>
        <v/>
      </c>
      <c r="QB45" s="134" t="str">
        <f t="shared" si="341"/>
        <v/>
      </c>
      <c r="QC45" s="134" t="str">
        <f t="shared" si="342"/>
        <v/>
      </c>
      <c r="QD45" s="134" t="str">
        <f>IF(MT45=MW45,"",IF(MV45="","",IF(MV45&gt;=KONVERSI!$A$7,'KI3'!MW45&amp;" dalam"&amp;PJ45&amp;PK45&amp;PL45&amp;PM45&amp;PN45&amp;PO45&amp;PP45&amp;PQ45&amp;PR45&amp;PS45&amp;PT45&amp;PU45&amp;PV45&amp;PW45&amp;PX45&amp;PY45&amp;PZ45&amp;QA45&amp;QB45&amp;QC45,KONVERSI!$C$18&amp;" dalam"&amp;PJ45&amp;PK45&amp;PL45&amp;PM45&amp;PN45&amp;PO45&amp;PP45&amp;PQ45&amp;PR45&amp;PS45&amp;PT45&amp;PU45&amp;PV45&amp;PW45&amp;PX45&amp;PY45&amp;PZ45&amp;QA45&amp;QB45&amp;QC45)))</f>
        <v/>
      </c>
      <c r="QE45" s="134" t="str">
        <f t="shared" si="343"/>
        <v/>
      </c>
      <c r="QF45" s="236">
        <f t="shared" si="362"/>
        <v>0</v>
      </c>
      <c r="QG45" s="134" t="str">
        <f t="shared" si="363"/>
        <v/>
      </c>
    </row>
    <row r="46" ht="27.6" customHeight="1" spans="1:449">
      <c r="A46" s="136"/>
      <c r="B46" s="177">
        <v>38</v>
      </c>
      <c r="C46" s="178">
        <f>siswa!C42</f>
        <v>0</v>
      </c>
      <c r="D46" s="174">
        <f>siswa!D42</f>
        <v>0</v>
      </c>
      <c r="E46" s="181"/>
      <c r="F46" s="176"/>
      <c r="G46" s="176"/>
      <c r="H46" s="176"/>
      <c r="I46" s="176"/>
      <c r="J46" s="176"/>
      <c r="K46" s="176"/>
      <c r="L46" s="223" t="str">
        <f t="shared" si="174"/>
        <v/>
      </c>
      <c r="M46" s="181"/>
      <c r="N46" s="176"/>
      <c r="O46" s="176"/>
      <c r="P46" s="176"/>
      <c r="Q46" s="176"/>
      <c r="R46" s="176"/>
      <c r="S46" s="176"/>
      <c r="T46" s="223" t="str">
        <f t="shared" si="175"/>
        <v/>
      </c>
      <c r="U46" s="181"/>
      <c r="V46" s="176"/>
      <c r="W46" s="176"/>
      <c r="X46" s="176"/>
      <c r="Y46" s="176"/>
      <c r="Z46" s="176"/>
      <c r="AA46" s="176"/>
      <c r="AB46" s="223">
        <f t="shared" si="176"/>
        <v>0</v>
      </c>
      <c r="AC46" s="181"/>
      <c r="AD46" s="176"/>
      <c r="AE46" s="176"/>
      <c r="AF46" s="248"/>
      <c r="AG46" s="176"/>
      <c r="AH46" s="176"/>
      <c r="AI46" s="176"/>
      <c r="AJ46" s="223">
        <f t="shared" si="177"/>
        <v>0</v>
      </c>
      <c r="AK46" s="181"/>
      <c r="AL46" s="176"/>
      <c r="AM46" s="176"/>
      <c r="AN46" s="176"/>
      <c r="AO46" s="176"/>
      <c r="AP46" s="176"/>
      <c r="AQ46" s="176"/>
      <c r="AR46" s="223">
        <f t="shared" si="178"/>
        <v>0</v>
      </c>
      <c r="AS46" s="181"/>
      <c r="AT46" s="176"/>
      <c r="AU46" s="176"/>
      <c r="AV46" s="176"/>
      <c r="AW46" s="176"/>
      <c r="AX46" s="176"/>
      <c r="AY46" s="176"/>
      <c r="AZ46" s="223">
        <f t="shared" si="179"/>
        <v>0</v>
      </c>
      <c r="BA46" s="181"/>
      <c r="BB46" s="176"/>
      <c r="BC46" s="176"/>
      <c r="BD46" s="176"/>
      <c r="BE46" s="176"/>
      <c r="BF46" s="176"/>
      <c r="BG46" s="176"/>
      <c r="BH46" s="223">
        <f t="shared" si="180"/>
        <v>0</v>
      </c>
      <c r="BI46" s="181"/>
      <c r="BJ46" s="176"/>
      <c r="BK46" s="176"/>
      <c r="BL46" s="176"/>
      <c r="BM46" s="176"/>
      <c r="BN46" s="176"/>
      <c r="BO46" s="176"/>
      <c r="BP46" s="223">
        <f t="shared" si="181"/>
        <v>0</v>
      </c>
      <c r="BQ46" s="181"/>
      <c r="BR46" s="176"/>
      <c r="BS46" s="176"/>
      <c r="BT46" s="176"/>
      <c r="BU46" s="176"/>
      <c r="BV46" s="176"/>
      <c r="BW46" s="176"/>
      <c r="BX46" s="223">
        <f t="shared" si="182"/>
        <v>0</v>
      </c>
      <c r="BY46" s="181"/>
      <c r="BZ46" s="176"/>
      <c r="CA46" s="176"/>
      <c r="CB46" s="176"/>
      <c r="CC46" s="176"/>
      <c r="CD46" s="176"/>
      <c r="CE46" s="176"/>
      <c r="CF46" s="223">
        <f t="shared" si="183"/>
        <v>0</v>
      </c>
      <c r="CG46" s="181"/>
      <c r="CH46" s="176"/>
      <c r="CI46" s="176"/>
      <c r="CJ46" s="176"/>
      <c r="CK46" s="176"/>
      <c r="CL46" s="176"/>
      <c r="CM46" s="176"/>
      <c r="CN46" s="223">
        <f t="shared" si="184"/>
        <v>0</v>
      </c>
      <c r="CO46" s="181"/>
      <c r="CP46" s="176"/>
      <c r="CQ46" s="176"/>
      <c r="CR46" s="176"/>
      <c r="CS46" s="176"/>
      <c r="CT46" s="176"/>
      <c r="CU46" s="176"/>
      <c r="CV46" s="223">
        <f t="shared" si="185"/>
        <v>0</v>
      </c>
      <c r="CW46" s="181"/>
      <c r="CX46" s="176"/>
      <c r="CY46" s="176"/>
      <c r="CZ46" s="176"/>
      <c r="DA46" s="176"/>
      <c r="DB46" s="176"/>
      <c r="DC46" s="176"/>
      <c r="DD46" s="223">
        <f t="shared" si="186"/>
        <v>0</v>
      </c>
      <c r="DE46" s="181"/>
      <c r="DF46" s="176"/>
      <c r="DG46" s="176"/>
      <c r="DH46" s="176"/>
      <c r="DI46" s="176"/>
      <c r="DJ46" s="176"/>
      <c r="DK46" s="176"/>
      <c r="DL46" s="223">
        <f t="shared" si="187"/>
        <v>0</v>
      </c>
      <c r="DM46" s="181"/>
      <c r="DN46" s="176"/>
      <c r="DO46" s="176"/>
      <c r="DP46" s="176"/>
      <c r="DQ46" s="176"/>
      <c r="DR46" s="176"/>
      <c r="DS46" s="176"/>
      <c r="DT46" s="223">
        <f t="shared" si="188"/>
        <v>0</v>
      </c>
      <c r="DU46" s="181"/>
      <c r="DV46" s="176"/>
      <c r="DW46" s="176"/>
      <c r="DX46" s="176"/>
      <c r="DY46" s="176"/>
      <c r="DZ46" s="176"/>
      <c r="EA46" s="176"/>
      <c r="EB46" s="223">
        <f t="shared" si="189"/>
        <v>0</v>
      </c>
      <c r="EC46" s="181"/>
      <c r="ED46" s="176"/>
      <c r="EE46" s="176"/>
      <c r="EF46" s="176"/>
      <c r="EG46" s="176"/>
      <c r="EH46" s="176"/>
      <c r="EI46" s="176"/>
      <c r="EJ46" s="223">
        <f t="shared" si="190"/>
        <v>0</v>
      </c>
      <c r="EK46" s="181"/>
      <c r="EL46" s="176"/>
      <c r="EM46" s="176"/>
      <c r="EN46" s="176"/>
      <c r="EO46" s="176"/>
      <c r="EP46" s="176"/>
      <c r="EQ46" s="176"/>
      <c r="ER46" s="223">
        <f t="shared" si="191"/>
        <v>0</v>
      </c>
      <c r="ES46" s="181"/>
      <c r="ET46" s="176"/>
      <c r="EU46" s="176"/>
      <c r="EV46" s="176"/>
      <c r="EW46" s="176"/>
      <c r="EX46" s="176"/>
      <c r="EY46" s="176"/>
      <c r="EZ46" s="223">
        <f t="shared" si="192"/>
        <v>0</v>
      </c>
      <c r="FA46" s="181"/>
      <c r="FB46" s="176"/>
      <c r="FC46" s="176"/>
      <c r="FD46" s="176"/>
      <c r="FE46" s="176"/>
      <c r="FF46" s="176"/>
      <c r="FG46" s="176"/>
      <c r="FH46" s="223">
        <f t="shared" si="193"/>
        <v>0</v>
      </c>
      <c r="FI46" s="291" t="str">
        <f t="shared" si="194"/>
        <v/>
      </c>
      <c r="FJ46" s="250"/>
      <c r="FK46" s="250"/>
      <c r="FL46" s="291" t="str">
        <f t="shared" si="195"/>
        <v/>
      </c>
      <c r="FM46" s="312" t="str">
        <f>IFERROR(IF(FL46="","",IF(FL46&gt;=KONVERSI!$A$5,KONVERSI!$D$5,IF(FL46&gt;=KONVERSI!$A$6,KONVERSI!$D$6,IF(FL46&gt;=KONVERSI!$A$7,KONVERSI!$D$7,KONVERSI!$D$8)))),"")</f>
        <v/>
      </c>
      <c r="FN46" s="232" t="str">
        <f t="shared" si="196"/>
        <v/>
      </c>
      <c r="FO46" s="313"/>
      <c r="FP46" s="314">
        <f t="shared" si="197"/>
        <v>0</v>
      </c>
      <c r="FQ46" s="194" t="str">
        <f t="shared" si="33"/>
        <v/>
      </c>
      <c r="FR46" s="194" t="str">
        <f t="shared" si="34"/>
        <v/>
      </c>
      <c r="FS46" s="194" t="str">
        <f t="shared" si="35"/>
        <v/>
      </c>
      <c r="FT46" s="194" t="str">
        <f t="shared" si="36"/>
        <v/>
      </c>
      <c r="FU46" s="194" t="str">
        <f t="shared" si="37"/>
        <v/>
      </c>
      <c r="FV46" s="194" t="str">
        <f t="shared" si="345"/>
        <v/>
      </c>
      <c r="FW46" s="194" t="str">
        <f t="shared" si="39"/>
        <v/>
      </c>
      <c r="FX46" s="194" t="str">
        <f t="shared" si="344"/>
        <v/>
      </c>
      <c r="FY46" s="194" t="str">
        <f t="shared" si="40"/>
        <v/>
      </c>
      <c r="FZ46" s="194" t="str">
        <f t="shared" si="41"/>
        <v/>
      </c>
      <c r="GA46" s="194" t="str">
        <f t="shared" si="42"/>
        <v/>
      </c>
      <c r="GB46" s="194" t="str">
        <f t="shared" si="346"/>
        <v/>
      </c>
      <c r="GC46" s="194" t="str">
        <f t="shared" si="44"/>
        <v/>
      </c>
      <c r="GD46" s="194" t="str">
        <f t="shared" si="45"/>
        <v/>
      </c>
      <c r="GE46" s="194" t="str">
        <f t="shared" si="46"/>
        <v/>
      </c>
      <c r="GF46" s="194" t="str">
        <f t="shared" si="47"/>
        <v/>
      </c>
      <c r="GG46" s="194" t="str">
        <f t="shared" si="48"/>
        <v/>
      </c>
      <c r="GH46" s="194" t="str">
        <f t="shared" si="347"/>
        <v/>
      </c>
      <c r="GI46" s="194" t="str">
        <f t="shared" si="50"/>
        <v/>
      </c>
      <c r="GJ46" s="194" t="str">
        <f t="shared" si="51"/>
        <v/>
      </c>
      <c r="GK46" s="194" t="str">
        <f t="shared" si="52"/>
        <v/>
      </c>
      <c r="GL46" s="194" t="str">
        <f t="shared" si="53"/>
        <v/>
      </c>
      <c r="GM46" s="194" t="str">
        <f t="shared" si="54"/>
        <v/>
      </c>
      <c r="GN46" s="194" t="str">
        <f t="shared" si="348"/>
        <v/>
      </c>
      <c r="GO46" s="194" t="str">
        <f t="shared" si="56"/>
        <v/>
      </c>
      <c r="GP46" s="194" t="str">
        <f t="shared" si="57"/>
        <v/>
      </c>
      <c r="GQ46" s="194" t="str">
        <f t="shared" si="58"/>
        <v/>
      </c>
      <c r="GR46" s="194" t="str">
        <f t="shared" si="59"/>
        <v/>
      </c>
      <c r="GS46" s="194" t="str">
        <f t="shared" si="60"/>
        <v/>
      </c>
      <c r="GT46" s="194" t="str">
        <f t="shared" si="349"/>
        <v/>
      </c>
      <c r="GU46" s="194" t="str">
        <f t="shared" si="62"/>
        <v/>
      </c>
      <c r="GV46" s="194" t="str">
        <f t="shared" si="63"/>
        <v/>
      </c>
      <c r="GW46" s="194" t="str">
        <f t="shared" si="64"/>
        <v/>
      </c>
      <c r="GX46" s="194" t="str">
        <f t="shared" si="65"/>
        <v/>
      </c>
      <c r="GY46" s="194" t="str">
        <f t="shared" si="66"/>
        <v/>
      </c>
      <c r="GZ46" s="194" t="str">
        <f t="shared" si="350"/>
        <v/>
      </c>
      <c r="HA46" s="194" t="str">
        <f t="shared" si="68"/>
        <v/>
      </c>
      <c r="HB46" s="194" t="str">
        <f t="shared" si="69"/>
        <v/>
      </c>
      <c r="HC46" s="194" t="str">
        <f t="shared" si="70"/>
        <v/>
      </c>
      <c r="HD46" s="194" t="str">
        <f t="shared" si="71"/>
        <v/>
      </c>
      <c r="HE46" s="194" t="str">
        <f t="shared" si="72"/>
        <v/>
      </c>
      <c r="HF46" s="194" t="str">
        <f t="shared" si="351"/>
        <v/>
      </c>
      <c r="HG46" s="194" t="str">
        <f t="shared" si="74"/>
        <v/>
      </c>
      <c r="HH46" s="194" t="str">
        <f t="shared" si="75"/>
        <v/>
      </c>
      <c r="HI46" s="194" t="str">
        <f t="shared" si="76"/>
        <v/>
      </c>
      <c r="HJ46" s="194" t="str">
        <f t="shared" si="77"/>
        <v/>
      </c>
      <c r="HK46" s="194" t="str">
        <f t="shared" si="78"/>
        <v/>
      </c>
      <c r="HL46" s="194" t="str">
        <f t="shared" si="352"/>
        <v/>
      </c>
      <c r="HM46" s="194" t="str">
        <f t="shared" si="80"/>
        <v/>
      </c>
      <c r="HN46" s="194" t="str">
        <f t="shared" si="81"/>
        <v/>
      </c>
      <c r="HO46" s="194" t="str">
        <f t="shared" si="82"/>
        <v/>
      </c>
      <c r="HP46" s="194" t="str">
        <f t="shared" si="83"/>
        <v/>
      </c>
      <c r="HQ46" s="194" t="str">
        <f t="shared" si="84"/>
        <v/>
      </c>
      <c r="HR46" s="194" t="str">
        <f t="shared" si="353"/>
        <v/>
      </c>
      <c r="HS46" s="194" t="str">
        <f t="shared" si="86"/>
        <v/>
      </c>
      <c r="HT46" s="194" t="str">
        <f t="shared" si="87"/>
        <v/>
      </c>
      <c r="HU46" s="194" t="str">
        <f t="shared" si="88"/>
        <v/>
      </c>
      <c r="HV46" s="194" t="str">
        <f t="shared" si="89"/>
        <v/>
      </c>
      <c r="HW46" s="194" t="str">
        <f t="shared" si="90"/>
        <v/>
      </c>
      <c r="HX46" s="194" t="str">
        <f t="shared" si="354"/>
        <v/>
      </c>
      <c r="HY46" s="194" t="str">
        <f t="shared" si="92"/>
        <v/>
      </c>
      <c r="HZ46" s="194" t="str">
        <f t="shared" si="93"/>
        <v/>
      </c>
      <c r="IA46" s="194" t="str">
        <f t="shared" si="94"/>
        <v/>
      </c>
      <c r="IB46" s="194" t="str">
        <f t="shared" si="95"/>
        <v/>
      </c>
      <c r="IC46" s="194" t="str">
        <f t="shared" si="96"/>
        <v/>
      </c>
      <c r="ID46" s="194" t="str">
        <f t="shared" si="355"/>
        <v/>
      </c>
      <c r="IE46" s="194" t="str">
        <f t="shared" si="98"/>
        <v/>
      </c>
      <c r="IF46" s="194" t="str">
        <f t="shared" si="99"/>
        <v/>
      </c>
      <c r="IG46" s="194" t="str">
        <f t="shared" si="100"/>
        <v/>
      </c>
      <c r="IH46" s="194" t="str">
        <f t="shared" si="101"/>
        <v/>
      </c>
      <c r="II46" s="194" t="str">
        <f t="shared" si="102"/>
        <v/>
      </c>
      <c r="IJ46" s="194" t="str">
        <f t="shared" si="356"/>
        <v/>
      </c>
      <c r="IK46" s="194" t="str">
        <f t="shared" si="104"/>
        <v/>
      </c>
      <c r="IL46" s="194" t="str">
        <f t="shared" si="105"/>
        <v/>
      </c>
      <c r="IM46" s="194" t="str">
        <f t="shared" si="106"/>
        <v/>
      </c>
      <c r="IN46" s="194" t="str">
        <f t="shared" si="107"/>
        <v/>
      </c>
      <c r="IO46" s="194" t="str">
        <f t="shared" si="108"/>
        <v/>
      </c>
      <c r="IP46" s="194" t="str">
        <f t="shared" si="357"/>
        <v/>
      </c>
      <c r="IQ46" s="194" t="str">
        <f t="shared" si="110"/>
        <v/>
      </c>
      <c r="IR46" s="194" t="str">
        <f t="shared" si="111"/>
        <v/>
      </c>
      <c r="IS46" s="194" t="str">
        <f t="shared" si="112"/>
        <v/>
      </c>
      <c r="IT46" s="194" t="str">
        <f t="shared" si="113"/>
        <v/>
      </c>
      <c r="IU46" s="194" t="str">
        <f t="shared" si="114"/>
        <v/>
      </c>
      <c r="IV46" s="194" t="str">
        <f t="shared" si="358"/>
        <v/>
      </c>
      <c r="IW46" s="194" t="str">
        <f t="shared" si="364"/>
        <v/>
      </c>
      <c r="IX46" s="194" t="str">
        <f t="shared" si="365"/>
        <v/>
      </c>
      <c r="IY46" s="194" t="str">
        <f t="shared" si="366"/>
        <v/>
      </c>
      <c r="IZ46" s="194" t="str">
        <f t="shared" si="367"/>
        <v/>
      </c>
      <c r="JA46" s="194" t="str">
        <f t="shared" si="368"/>
        <v/>
      </c>
      <c r="JB46" s="194" t="str">
        <f t="shared" si="369"/>
        <v/>
      </c>
      <c r="JC46" s="194" t="str">
        <f t="shared" si="370"/>
        <v/>
      </c>
      <c r="JD46" s="194" t="str">
        <f t="shared" si="371"/>
        <v/>
      </c>
      <c r="JE46" s="194" t="str">
        <f t="shared" si="372"/>
        <v/>
      </c>
      <c r="JF46" s="194" t="str">
        <f t="shared" si="373"/>
        <v/>
      </c>
      <c r="JG46" s="194" t="str">
        <f t="shared" si="374"/>
        <v/>
      </c>
      <c r="JH46" s="194" t="str">
        <f t="shared" si="375"/>
        <v/>
      </c>
      <c r="JI46" s="194" t="str">
        <f t="shared" si="375"/>
        <v/>
      </c>
      <c r="JJ46" s="194" t="str">
        <f t="shared" si="375"/>
        <v/>
      </c>
      <c r="JK46" s="194" t="str">
        <f t="shared" si="375"/>
        <v/>
      </c>
      <c r="JL46" s="194" t="str">
        <f t="shared" si="375"/>
        <v/>
      </c>
      <c r="JM46" s="194" t="str">
        <f t="shared" si="375"/>
        <v/>
      </c>
      <c r="JN46" s="194" t="str">
        <f t="shared" si="376"/>
        <v/>
      </c>
      <c r="JO46" s="194" t="str">
        <f t="shared" si="376"/>
        <v/>
      </c>
      <c r="JP46" s="194" t="str">
        <f t="shared" si="376"/>
        <v/>
      </c>
      <c r="JQ46" s="194" t="str">
        <f t="shared" si="376"/>
        <v/>
      </c>
      <c r="JR46" s="194" t="str">
        <f t="shared" si="376"/>
        <v/>
      </c>
      <c r="JS46" s="194" t="str">
        <f t="shared" si="376"/>
        <v/>
      </c>
      <c r="JT46" s="194" t="str">
        <f t="shared" si="377"/>
        <v/>
      </c>
      <c r="JU46" s="194" t="str">
        <f t="shared" si="377"/>
        <v/>
      </c>
      <c r="JV46" s="194" t="str">
        <f t="shared" si="377"/>
        <v/>
      </c>
      <c r="JW46" s="194" t="str">
        <f t="shared" si="377"/>
        <v/>
      </c>
      <c r="JX46" s="194" t="str">
        <f t="shared" si="377"/>
        <v/>
      </c>
      <c r="JY46" s="194" t="str">
        <f t="shared" si="377"/>
        <v/>
      </c>
      <c r="JZ46" s="194" t="str">
        <f t="shared" si="378"/>
        <v/>
      </c>
      <c r="KA46" s="194" t="str">
        <f t="shared" si="378"/>
        <v/>
      </c>
      <c r="KB46" s="194" t="str">
        <f t="shared" si="378"/>
        <v/>
      </c>
      <c r="KC46" s="194" t="str">
        <f t="shared" si="378"/>
        <v/>
      </c>
      <c r="KD46" s="194" t="str">
        <f t="shared" si="378"/>
        <v/>
      </c>
      <c r="KE46" s="194" t="str">
        <f t="shared" si="378"/>
        <v/>
      </c>
      <c r="KF46" s="194" t="str">
        <f t="shared" si="151"/>
        <v/>
      </c>
      <c r="KG46" s="194">
        <f>SUM(LE46:LX46)/COUNTA(RefKI3KI4!$B$5:$B$24)</f>
        <v>0</v>
      </c>
      <c r="KH46" s="232">
        <f t="shared" si="198"/>
        <v>0</v>
      </c>
      <c r="KI46" s="340" t="str">
        <f t="shared" si="199"/>
        <v>ok</v>
      </c>
      <c r="KJ46" s="340" t="str">
        <f t="shared" si="200"/>
        <v>ok</v>
      </c>
      <c r="KK46" s="340" t="str">
        <f t="shared" si="201"/>
        <v/>
      </c>
      <c r="KL46" s="340" t="str">
        <f t="shared" si="202"/>
        <v/>
      </c>
      <c r="KM46" s="340" t="str">
        <f t="shared" si="203"/>
        <v/>
      </c>
      <c r="KN46" s="340" t="str">
        <f t="shared" si="204"/>
        <v/>
      </c>
      <c r="KO46" s="340" t="str">
        <f t="shared" si="205"/>
        <v/>
      </c>
      <c r="KP46" s="340" t="str">
        <f t="shared" si="206"/>
        <v/>
      </c>
      <c r="KQ46" s="340" t="str">
        <f t="shared" si="207"/>
        <v/>
      </c>
      <c r="KR46" s="340" t="str">
        <f t="shared" si="208"/>
        <v/>
      </c>
      <c r="KS46" s="340" t="str">
        <f t="shared" si="209"/>
        <v/>
      </c>
      <c r="KT46" s="340" t="str">
        <f t="shared" si="210"/>
        <v/>
      </c>
      <c r="KU46" s="340" t="str">
        <f t="shared" si="211"/>
        <v/>
      </c>
      <c r="KV46" s="340" t="str">
        <f t="shared" si="212"/>
        <v/>
      </c>
      <c r="KW46" s="340" t="str">
        <f t="shared" si="213"/>
        <v/>
      </c>
      <c r="KX46" s="340" t="str">
        <f t="shared" si="214"/>
        <v/>
      </c>
      <c r="KY46" s="340" t="str">
        <f t="shared" si="215"/>
        <v/>
      </c>
      <c r="KZ46" s="340" t="str">
        <f t="shared" si="216"/>
        <v/>
      </c>
      <c r="LA46" s="340" t="str">
        <f t="shared" si="217"/>
        <v/>
      </c>
      <c r="LB46" s="340" t="str">
        <f t="shared" si="218"/>
        <v/>
      </c>
      <c r="LC46" s="340">
        <f t="shared" si="219"/>
        <v>0</v>
      </c>
      <c r="LD46" s="228">
        <v>38</v>
      </c>
      <c r="LE46" s="229" t="str">
        <f t="shared" si="220"/>
        <v/>
      </c>
      <c r="LF46" s="229" t="str">
        <f t="shared" si="221"/>
        <v/>
      </c>
      <c r="LG46" s="229" t="str">
        <f t="shared" si="222"/>
        <v/>
      </c>
      <c r="LH46" s="229" t="str">
        <f t="shared" si="223"/>
        <v/>
      </c>
      <c r="LI46" s="229" t="str">
        <f t="shared" si="224"/>
        <v/>
      </c>
      <c r="LJ46" s="229" t="str">
        <f t="shared" si="225"/>
        <v/>
      </c>
      <c r="LK46" s="229" t="str">
        <f t="shared" si="226"/>
        <v/>
      </c>
      <c r="LL46" s="229" t="str">
        <f t="shared" si="227"/>
        <v/>
      </c>
      <c r="LM46" s="229" t="str">
        <f t="shared" si="228"/>
        <v/>
      </c>
      <c r="LN46" s="229" t="str">
        <f t="shared" si="229"/>
        <v/>
      </c>
      <c r="LO46" s="229" t="str">
        <f t="shared" si="230"/>
        <v/>
      </c>
      <c r="LP46" s="229" t="str">
        <f t="shared" si="231"/>
        <v/>
      </c>
      <c r="LQ46" s="229" t="str">
        <f t="shared" si="232"/>
        <v/>
      </c>
      <c r="LR46" s="229" t="str">
        <f t="shared" si="233"/>
        <v/>
      </c>
      <c r="LS46" s="229" t="str">
        <f t="shared" si="234"/>
        <v/>
      </c>
      <c r="LT46" s="229" t="str">
        <f t="shared" si="235"/>
        <v/>
      </c>
      <c r="LU46" s="229" t="str">
        <f t="shared" si="236"/>
        <v/>
      </c>
      <c r="LV46" s="229" t="str">
        <f t="shared" si="237"/>
        <v/>
      </c>
      <c r="LW46" s="229" t="str">
        <f t="shared" si="238"/>
        <v/>
      </c>
      <c r="LX46" s="229" t="str">
        <f t="shared" si="239"/>
        <v/>
      </c>
      <c r="LY46" s="231" t="str">
        <f t="shared" si="240"/>
        <v/>
      </c>
      <c r="LZ46" s="231" t="str">
        <f t="shared" si="241"/>
        <v/>
      </c>
      <c r="MA46" s="231" t="str">
        <f t="shared" si="242"/>
        <v/>
      </c>
      <c r="MB46" s="231" t="str">
        <f t="shared" si="243"/>
        <v/>
      </c>
      <c r="MC46" s="231" t="str">
        <f t="shared" si="244"/>
        <v/>
      </c>
      <c r="MD46" s="231" t="str">
        <f t="shared" si="245"/>
        <v/>
      </c>
      <c r="ME46" s="231" t="str">
        <f t="shared" si="246"/>
        <v/>
      </c>
      <c r="MF46" s="231" t="str">
        <f t="shared" si="247"/>
        <v/>
      </c>
      <c r="MG46" s="231" t="str">
        <f t="shared" si="248"/>
        <v/>
      </c>
      <c r="MH46" s="231" t="str">
        <f t="shared" si="249"/>
        <v/>
      </c>
      <c r="MI46" s="231" t="str">
        <f t="shared" si="250"/>
        <v/>
      </c>
      <c r="MJ46" s="231" t="str">
        <f t="shared" si="251"/>
        <v/>
      </c>
      <c r="MK46" s="231" t="str">
        <f t="shared" si="252"/>
        <v/>
      </c>
      <c r="ML46" s="231" t="str">
        <f t="shared" si="253"/>
        <v/>
      </c>
      <c r="MM46" s="231" t="str">
        <f t="shared" si="254"/>
        <v/>
      </c>
      <c r="MN46" s="231" t="str">
        <f t="shared" si="255"/>
        <v/>
      </c>
      <c r="MO46" s="231" t="str">
        <f t="shared" si="256"/>
        <v/>
      </c>
      <c r="MP46" s="231" t="str">
        <f t="shared" si="257"/>
        <v/>
      </c>
      <c r="MQ46" s="231" t="str">
        <f t="shared" si="258"/>
        <v/>
      </c>
      <c r="MR46" s="231" t="str">
        <f t="shared" si="259"/>
        <v/>
      </c>
      <c r="MS46" s="231" t="str">
        <f t="shared" si="359"/>
        <v/>
      </c>
      <c r="MT46" s="232" t="str">
        <f>IF(MS46="","",IF(MS46&gt;=KONVERSI!$A$5,KONVERSI!$E$5,IF(MS46&gt;=KONVERSI!$A$6,KONVERSI!$E$6,IF(MS46&gt;=KONVERSI!$A$7,KONVERSI!$E$7,KONVERSI!$E$8))))</f>
        <v/>
      </c>
      <c r="MU46" s="233" t="str">
        <f t="shared" si="360"/>
        <v/>
      </c>
      <c r="MV46" s="234" t="str">
        <f t="shared" si="260"/>
        <v/>
      </c>
      <c r="MW46" s="232" t="str">
        <f>IF(MV46="","",IF(MV46&gt;=KONVERSI!$A$5,KONVERSI!$E$5,IF(MV46&gt;=KONVERSI!$A$6,KONVERSI!$E$6,IF(MV46&gt;=KONVERSI!$A$7,KONVERSI!$E$7,KONVERSI!$E$8))))</f>
        <v/>
      </c>
      <c r="MX46" s="134" t="str">
        <f>IF(FI46&lt;$FN$4," "&amp;KONVERSI!$C$18&amp;INDEX($LY$8:$MR$8,MATCH(MV46,LY46:MR46,0))&amp;".",IF(KG46=0,"",IF(MV46&lt;&gt;0,MU46&amp;MW46&amp;".",MU46&amp;".")))</f>
        <v/>
      </c>
      <c r="MY46" s="235" t="str">
        <f t="shared" si="261"/>
        <v/>
      </c>
      <c r="MZ46" s="235" t="str">
        <f t="shared" si="262"/>
        <v/>
      </c>
      <c r="NA46" s="235" t="str">
        <f t="shared" si="263"/>
        <v/>
      </c>
      <c r="NB46" s="235" t="str">
        <f t="shared" si="264"/>
        <v/>
      </c>
      <c r="NC46" s="235" t="str">
        <f t="shared" si="265"/>
        <v/>
      </c>
      <c r="ND46" s="235" t="str">
        <f t="shared" si="266"/>
        <v/>
      </c>
      <c r="NE46" s="235" t="str">
        <f t="shared" si="267"/>
        <v/>
      </c>
      <c r="NF46" s="235" t="str">
        <f t="shared" si="268"/>
        <v/>
      </c>
      <c r="NG46" s="235" t="str">
        <f t="shared" si="269"/>
        <v/>
      </c>
      <c r="NH46" s="235" t="str">
        <f t="shared" si="270"/>
        <v/>
      </c>
      <c r="NI46" s="235" t="str">
        <f t="shared" si="271"/>
        <v/>
      </c>
      <c r="NJ46" s="235" t="str">
        <f t="shared" si="272"/>
        <v/>
      </c>
      <c r="NK46" s="235" t="str">
        <f t="shared" si="273"/>
        <v/>
      </c>
      <c r="NL46" s="235" t="str">
        <f t="shared" si="274"/>
        <v/>
      </c>
      <c r="NM46" s="235" t="str">
        <f t="shared" si="275"/>
        <v/>
      </c>
      <c r="NN46" s="235" t="str">
        <f t="shared" si="276"/>
        <v/>
      </c>
      <c r="NO46" s="235" t="str">
        <f t="shared" si="277"/>
        <v/>
      </c>
      <c r="NP46" s="235" t="str">
        <f t="shared" si="278"/>
        <v/>
      </c>
      <c r="NQ46" s="235" t="str">
        <f t="shared" si="279"/>
        <v/>
      </c>
      <c r="NR46" s="235" t="str">
        <f t="shared" si="280"/>
        <v/>
      </c>
      <c r="NS46" s="134" t="str">
        <f t="shared" si="281"/>
        <v/>
      </c>
      <c r="NT46" s="134" t="str">
        <f t="shared" si="282"/>
        <v/>
      </c>
      <c r="NU46" s="134" t="str">
        <f t="shared" si="283"/>
        <v/>
      </c>
      <c r="NV46" s="134" t="str">
        <f t="shared" si="284"/>
        <v/>
      </c>
      <c r="NW46" s="134" t="str">
        <f t="shared" si="285"/>
        <v/>
      </c>
      <c r="NX46" s="134" t="str">
        <f t="shared" si="286"/>
        <v/>
      </c>
      <c r="NY46" s="134" t="str">
        <f t="shared" si="287"/>
        <v/>
      </c>
      <c r="NZ46" s="134" t="str">
        <f t="shared" si="288"/>
        <v/>
      </c>
      <c r="OA46" s="134" t="str">
        <f t="shared" si="289"/>
        <v/>
      </c>
      <c r="OB46" s="134" t="str">
        <f t="shared" si="290"/>
        <v/>
      </c>
      <c r="OC46" s="134" t="str">
        <f t="shared" si="291"/>
        <v/>
      </c>
      <c r="OD46" s="134" t="str">
        <f t="shared" si="292"/>
        <v/>
      </c>
      <c r="OE46" s="134" t="str">
        <f t="shared" si="293"/>
        <v/>
      </c>
      <c r="OF46" s="134" t="str">
        <f t="shared" si="294"/>
        <v/>
      </c>
      <c r="OG46" s="134" t="str">
        <f t="shared" si="295"/>
        <v/>
      </c>
      <c r="OH46" s="134" t="str">
        <f t="shared" si="296"/>
        <v/>
      </c>
      <c r="OI46" s="134" t="str">
        <f t="shared" si="297"/>
        <v/>
      </c>
      <c r="OJ46" s="134" t="str">
        <f t="shared" si="298"/>
        <v/>
      </c>
      <c r="OK46" s="134" t="str">
        <f t="shared" si="299"/>
        <v/>
      </c>
      <c r="OL46" s="134" t="str">
        <f t="shared" si="300"/>
        <v/>
      </c>
      <c r="OM46" s="134" t="str">
        <f t="shared" si="301"/>
        <v/>
      </c>
      <c r="ON46" s="134" t="str">
        <f t="shared" si="302"/>
        <v>  </v>
      </c>
      <c r="OO46" s="236">
        <f t="shared" si="361"/>
        <v>0</v>
      </c>
      <c r="OP46" s="235" t="str">
        <f t="shared" si="303"/>
        <v/>
      </c>
      <c r="OQ46" s="235" t="str">
        <f t="shared" si="304"/>
        <v/>
      </c>
      <c r="OR46" s="235" t="str">
        <f t="shared" si="305"/>
        <v/>
      </c>
      <c r="OS46" s="235" t="str">
        <f t="shared" si="306"/>
        <v/>
      </c>
      <c r="OT46" s="235" t="str">
        <f t="shared" si="307"/>
        <v/>
      </c>
      <c r="OU46" s="235" t="str">
        <f t="shared" si="308"/>
        <v/>
      </c>
      <c r="OV46" s="235" t="str">
        <f t="shared" si="309"/>
        <v/>
      </c>
      <c r="OW46" s="235" t="str">
        <f t="shared" si="310"/>
        <v/>
      </c>
      <c r="OX46" s="235" t="str">
        <f t="shared" si="311"/>
        <v/>
      </c>
      <c r="OY46" s="235" t="str">
        <f t="shared" si="312"/>
        <v/>
      </c>
      <c r="OZ46" s="235" t="str">
        <f t="shared" si="313"/>
        <v/>
      </c>
      <c r="PA46" s="235" t="str">
        <f t="shared" si="314"/>
        <v/>
      </c>
      <c r="PB46" s="235" t="str">
        <f t="shared" si="315"/>
        <v/>
      </c>
      <c r="PC46" s="235" t="str">
        <f t="shared" si="316"/>
        <v/>
      </c>
      <c r="PD46" s="235" t="str">
        <f t="shared" si="317"/>
        <v/>
      </c>
      <c r="PE46" s="235" t="str">
        <f t="shared" si="318"/>
        <v/>
      </c>
      <c r="PF46" s="235" t="str">
        <f t="shared" si="319"/>
        <v/>
      </c>
      <c r="PG46" s="235" t="str">
        <f t="shared" si="320"/>
        <v/>
      </c>
      <c r="PH46" s="235" t="str">
        <f t="shared" si="321"/>
        <v/>
      </c>
      <c r="PI46" s="235" t="str">
        <f t="shared" si="322"/>
        <v/>
      </c>
      <c r="PJ46" s="134" t="str">
        <f t="shared" si="323"/>
        <v/>
      </c>
      <c r="PK46" s="134" t="str">
        <f t="shared" si="324"/>
        <v/>
      </c>
      <c r="PL46" s="134" t="str">
        <f t="shared" si="325"/>
        <v/>
      </c>
      <c r="PM46" s="134" t="str">
        <f t="shared" si="326"/>
        <v/>
      </c>
      <c r="PN46" s="134" t="str">
        <f t="shared" si="327"/>
        <v/>
      </c>
      <c r="PO46" s="134" t="str">
        <f t="shared" si="328"/>
        <v/>
      </c>
      <c r="PP46" s="134" t="str">
        <f t="shared" si="329"/>
        <v/>
      </c>
      <c r="PQ46" s="134" t="str">
        <f t="shared" si="330"/>
        <v/>
      </c>
      <c r="PR46" s="134" t="str">
        <f t="shared" si="331"/>
        <v/>
      </c>
      <c r="PS46" s="134" t="str">
        <f t="shared" si="332"/>
        <v/>
      </c>
      <c r="PT46" s="134" t="str">
        <f t="shared" si="333"/>
        <v/>
      </c>
      <c r="PU46" s="134" t="str">
        <f t="shared" si="334"/>
        <v/>
      </c>
      <c r="PV46" s="134" t="str">
        <f t="shared" si="335"/>
        <v/>
      </c>
      <c r="PW46" s="134" t="str">
        <f t="shared" si="336"/>
        <v/>
      </c>
      <c r="PX46" s="134" t="str">
        <f t="shared" si="337"/>
        <v/>
      </c>
      <c r="PY46" s="134" t="str">
        <f t="shared" si="338"/>
        <v/>
      </c>
      <c r="PZ46" s="134" t="str">
        <f t="shared" si="339"/>
        <v/>
      </c>
      <c r="QA46" s="134" t="str">
        <f t="shared" si="340"/>
        <v/>
      </c>
      <c r="QB46" s="134" t="str">
        <f t="shared" si="341"/>
        <v/>
      </c>
      <c r="QC46" s="134" t="str">
        <f t="shared" si="342"/>
        <v/>
      </c>
      <c r="QD46" s="134" t="str">
        <f>IF(MT46=MW46,"",IF(MV46="","",IF(MV46&gt;=KONVERSI!$A$7,'KI3'!MW46&amp;" dalam"&amp;PJ46&amp;PK46&amp;PL46&amp;PM46&amp;PN46&amp;PO46&amp;PP46&amp;PQ46&amp;PR46&amp;PS46&amp;PT46&amp;PU46&amp;PV46&amp;PW46&amp;PX46&amp;PY46&amp;PZ46&amp;QA46&amp;QB46&amp;QC46,KONVERSI!$C$18&amp;" dalam"&amp;PJ46&amp;PK46&amp;PL46&amp;PM46&amp;PN46&amp;PO46&amp;PP46&amp;PQ46&amp;PR46&amp;PS46&amp;PT46&amp;PU46&amp;PV46&amp;PW46&amp;PX46&amp;PY46&amp;PZ46&amp;QA46&amp;QB46&amp;QC46)))</f>
        <v/>
      </c>
      <c r="QE46" s="134" t="str">
        <f t="shared" si="343"/>
        <v/>
      </c>
      <c r="QF46" s="236">
        <f t="shared" si="362"/>
        <v>0</v>
      </c>
      <c r="QG46" s="134" t="str">
        <f t="shared" si="363"/>
        <v/>
      </c>
    </row>
    <row r="47" ht="27.6" customHeight="1" spans="1:449">
      <c r="A47" s="136"/>
      <c r="B47" s="177">
        <v>39</v>
      </c>
      <c r="C47" s="178">
        <f>siswa!C43</f>
        <v>0</v>
      </c>
      <c r="D47" s="174">
        <f>siswa!D43</f>
        <v>0</v>
      </c>
      <c r="E47" s="181"/>
      <c r="F47" s="176"/>
      <c r="G47" s="176"/>
      <c r="H47" s="176"/>
      <c r="I47" s="176"/>
      <c r="J47" s="176"/>
      <c r="K47" s="176"/>
      <c r="L47" s="223" t="str">
        <f t="shared" si="174"/>
        <v/>
      </c>
      <c r="M47" s="181"/>
      <c r="N47" s="176"/>
      <c r="O47" s="176"/>
      <c r="P47" s="176"/>
      <c r="Q47" s="176"/>
      <c r="R47" s="176"/>
      <c r="S47" s="176"/>
      <c r="T47" s="223" t="str">
        <f t="shared" si="175"/>
        <v/>
      </c>
      <c r="U47" s="181"/>
      <c r="V47" s="176"/>
      <c r="W47" s="176"/>
      <c r="X47" s="176"/>
      <c r="Y47" s="176"/>
      <c r="Z47" s="176"/>
      <c r="AA47" s="176"/>
      <c r="AB47" s="223">
        <f t="shared" si="176"/>
        <v>0</v>
      </c>
      <c r="AC47" s="181"/>
      <c r="AD47" s="176"/>
      <c r="AE47" s="176"/>
      <c r="AF47" s="248"/>
      <c r="AG47" s="176"/>
      <c r="AH47" s="176"/>
      <c r="AI47" s="176"/>
      <c r="AJ47" s="223">
        <f t="shared" si="177"/>
        <v>0</v>
      </c>
      <c r="AK47" s="181"/>
      <c r="AL47" s="176"/>
      <c r="AM47" s="176"/>
      <c r="AN47" s="176"/>
      <c r="AO47" s="176"/>
      <c r="AP47" s="176"/>
      <c r="AQ47" s="176"/>
      <c r="AR47" s="223">
        <f t="shared" si="178"/>
        <v>0</v>
      </c>
      <c r="AS47" s="181"/>
      <c r="AT47" s="176"/>
      <c r="AU47" s="176"/>
      <c r="AV47" s="176"/>
      <c r="AW47" s="176"/>
      <c r="AX47" s="176"/>
      <c r="AY47" s="176"/>
      <c r="AZ47" s="223">
        <f t="shared" si="179"/>
        <v>0</v>
      </c>
      <c r="BA47" s="181"/>
      <c r="BB47" s="176"/>
      <c r="BC47" s="176"/>
      <c r="BD47" s="176"/>
      <c r="BE47" s="176"/>
      <c r="BF47" s="176"/>
      <c r="BG47" s="176"/>
      <c r="BH47" s="223">
        <f t="shared" si="180"/>
        <v>0</v>
      </c>
      <c r="BI47" s="181"/>
      <c r="BJ47" s="176"/>
      <c r="BK47" s="176"/>
      <c r="BL47" s="176"/>
      <c r="BM47" s="176"/>
      <c r="BN47" s="176"/>
      <c r="BO47" s="176"/>
      <c r="BP47" s="223">
        <f t="shared" si="181"/>
        <v>0</v>
      </c>
      <c r="BQ47" s="181"/>
      <c r="BR47" s="176"/>
      <c r="BS47" s="176"/>
      <c r="BT47" s="176"/>
      <c r="BU47" s="176"/>
      <c r="BV47" s="176"/>
      <c r="BW47" s="176"/>
      <c r="BX47" s="223">
        <f t="shared" si="182"/>
        <v>0</v>
      </c>
      <c r="BY47" s="181"/>
      <c r="BZ47" s="176"/>
      <c r="CA47" s="176"/>
      <c r="CB47" s="176"/>
      <c r="CC47" s="176"/>
      <c r="CD47" s="176"/>
      <c r="CE47" s="176"/>
      <c r="CF47" s="223">
        <f t="shared" si="183"/>
        <v>0</v>
      </c>
      <c r="CG47" s="181"/>
      <c r="CH47" s="176"/>
      <c r="CI47" s="176"/>
      <c r="CJ47" s="176"/>
      <c r="CK47" s="176"/>
      <c r="CL47" s="176"/>
      <c r="CM47" s="176"/>
      <c r="CN47" s="223">
        <f t="shared" si="184"/>
        <v>0</v>
      </c>
      <c r="CO47" s="181"/>
      <c r="CP47" s="176"/>
      <c r="CQ47" s="176"/>
      <c r="CR47" s="176"/>
      <c r="CS47" s="176"/>
      <c r="CT47" s="176"/>
      <c r="CU47" s="176"/>
      <c r="CV47" s="223">
        <f t="shared" si="185"/>
        <v>0</v>
      </c>
      <c r="CW47" s="181"/>
      <c r="CX47" s="176"/>
      <c r="CY47" s="176"/>
      <c r="CZ47" s="176"/>
      <c r="DA47" s="176"/>
      <c r="DB47" s="176"/>
      <c r="DC47" s="176"/>
      <c r="DD47" s="223">
        <f t="shared" si="186"/>
        <v>0</v>
      </c>
      <c r="DE47" s="181"/>
      <c r="DF47" s="176"/>
      <c r="DG47" s="176"/>
      <c r="DH47" s="176"/>
      <c r="DI47" s="176"/>
      <c r="DJ47" s="176"/>
      <c r="DK47" s="176"/>
      <c r="DL47" s="223">
        <f t="shared" si="187"/>
        <v>0</v>
      </c>
      <c r="DM47" s="181"/>
      <c r="DN47" s="176"/>
      <c r="DO47" s="176"/>
      <c r="DP47" s="176"/>
      <c r="DQ47" s="176"/>
      <c r="DR47" s="176"/>
      <c r="DS47" s="176"/>
      <c r="DT47" s="223">
        <f t="shared" si="188"/>
        <v>0</v>
      </c>
      <c r="DU47" s="181"/>
      <c r="DV47" s="176"/>
      <c r="DW47" s="176"/>
      <c r="DX47" s="176"/>
      <c r="DY47" s="176"/>
      <c r="DZ47" s="176"/>
      <c r="EA47" s="176"/>
      <c r="EB47" s="223">
        <f t="shared" si="189"/>
        <v>0</v>
      </c>
      <c r="EC47" s="181"/>
      <c r="ED47" s="176"/>
      <c r="EE47" s="176"/>
      <c r="EF47" s="176"/>
      <c r="EG47" s="176"/>
      <c r="EH47" s="176"/>
      <c r="EI47" s="176"/>
      <c r="EJ47" s="223">
        <f t="shared" si="190"/>
        <v>0</v>
      </c>
      <c r="EK47" s="181"/>
      <c r="EL47" s="176"/>
      <c r="EM47" s="176"/>
      <c r="EN47" s="176"/>
      <c r="EO47" s="176"/>
      <c r="EP47" s="176"/>
      <c r="EQ47" s="176"/>
      <c r="ER47" s="223">
        <f t="shared" si="191"/>
        <v>0</v>
      </c>
      <c r="ES47" s="181"/>
      <c r="ET47" s="176"/>
      <c r="EU47" s="176"/>
      <c r="EV47" s="176"/>
      <c r="EW47" s="176"/>
      <c r="EX47" s="176"/>
      <c r="EY47" s="176"/>
      <c r="EZ47" s="223">
        <f t="shared" si="192"/>
        <v>0</v>
      </c>
      <c r="FA47" s="181"/>
      <c r="FB47" s="176"/>
      <c r="FC47" s="176"/>
      <c r="FD47" s="176"/>
      <c r="FE47" s="176"/>
      <c r="FF47" s="176"/>
      <c r="FG47" s="176"/>
      <c r="FH47" s="223">
        <f t="shared" si="193"/>
        <v>0</v>
      </c>
      <c r="FI47" s="291" t="str">
        <f t="shared" si="194"/>
        <v/>
      </c>
      <c r="FJ47" s="250"/>
      <c r="FK47" s="250"/>
      <c r="FL47" s="291" t="str">
        <f t="shared" si="195"/>
        <v/>
      </c>
      <c r="FM47" s="312" t="str">
        <f>IFERROR(IF(FL47="","",IF(FL47&gt;=KONVERSI!$A$5,KONVERSI!$D$5,IF(FL47&gt;=KONVERSI!$A$6,KONVERSI!$D$6,IF(FL47&gt;=KONVERSI!$A$7,KONVERSI!$D$7,KONVERSI!$D$8)))),"")</f>
        <v/>
      </c>
      <c r="FN47" s="232" t="str">
        <f t="shared" si="196"/>
        <v/>
      </c>
      <c r="FO47" s="313"/>
      <c r="FP47" s="314">
        <f t="shared" si="197"/>
        <v>0</v>
      </c>
      <c r="FQ47" s="194" t="str">
        <f t="shared" si="33"/>
        <v/>
      </c>
      <c r="FR47" s="194" t="str">
        <f t="shared" si="34"/>
        <v/>
      </c>
      <c r="FS47" s="194" t="str">
        <f t="shared" si="35"/>
        <v/>
      </c>
      <c r="FT47" s="194" t="str">
        <f t="shared" si="36"/>
        <v/>
      </c>
      <c r="FU47" s="194" t="str">
        <f t="shared" si="37"/>
        <v/>
      </c>
      <c r="FV47" s="194" t="str">
        <f t="shared" si="345"/>
        <v/>
      </c>
      <c r="FW47" s="194" t="str">
        <f t="shared" si="39"/>
        <v/>
      </c>
      <c r="FX47" s="194" t="str">
        <f t="shared" si="344"/>
        <v/>
      </c>
      <c r="FY47" s="194" t="str">
        <f t="shared" si="40"/>
        <v/>
      </c>
      <c r="FZ47" s="194" t="str">
        <f t="shared" si="41"/>
        <v/>
      </c>
      <c r="GA47" s="194" t="str">
        <f t="shared" si="42"/>
        <v/>
      </c>
      <c r="GB47" s="194" t="str">
        <f t="shared" si="346"/>
        <v/>
      </c>
      <c r="GC47" s="194" t="str">
        <f t="shared" si="44"/>
        <v/>
      </c>
      <c r="GD47" s="194" t="str">
        <f t="shared" si="45"/>
        <v/>
      </c>
      <c r="GE47" s="194" t="str">
        <f t="shared" si="46"/>
        <v/>
      </c>
      <c r="GF47" s="194" t="str">
        <f t="shared" si="47"/>
        <v/>
      </c>
      <c r="GG47" s="194" t="str">
        <f t="shared" si="48"/>
        <v/>
      </c>
      <c r="GH47" s="194" t="str">
        <f t="shared" si="347"/>
        <v/>
      </c>
      <c r="GI47" s="194" t="str">
        <f t="shared" si="50"/>
        <v/>
      </c>
      <c r="GJ47" s="194" t="str">
        <f t="shared" si="51"/>
        <v/>
      </c>
      <c r="GK47" s="194" t="str">
        <f t="shared" si="52"/>
        <v/>
      </c>
      <c r="GL47" s="194" t="str">
        <f t="shared" si="53"/>
        <v/>
      </c>
      <c r="GM47" s="194" t="str">
        <f t="shared" si="54"/>
        <v/>
      </c>
      <c r="GN47" s="194" t="str">
        <f t="shared" si="348"/>
        <v/>
      </c>
      <c r="GO47" s="194" t="str">
        <f t="shared" si="56"/>
        <v/>
      </c>
      <c r="GP47" s="194" t="str">
        <f t="shared" si="57"/>
        <v/>
      </c>
      <c r="GQ47" s="194" t="str">
        <f t="shared" si="58"/>
        <v/>
      </c>
      <c r="GR47" s="194" t="str">
        <f t="shared" si="59"/>
        <v/>
      </c>
      <c r="GS47" s="194" t="str">
        <f t="shared" si="60"/>
        <v/>
      </c>
      <c r="GT47" s="194" t="str">
        <f t="shared" si="349"/>
        <v/>
      </c>
      <c r="GU47" s="194" t="str">
        <f t="shared" si="62"/>
        <v/>
      </c>
      <c r="GV47" s="194" t="str">
        <f t="shared" si="63"/>
        <v/>
      </c>
      <c r="GW47" s="194" t="str">
        <f t="shared" si="64"/>
        <v/>
      </c>
      <c r="GX47" s="194" t="str">
        <f t="shared" si="65"/>
        <v/>
      </c>
      <c r="GY47" s="194" t="str">
        <f t="shared" si="66"/>
        <v/>
      </c>
      <c r="GZ47" s="194" t="str">
        <f t="shared" si="350"/>
        <v/>
      </c>
      <c r="HA47" s="194" t="str">
        <f t="shared" si="68"/>
        <v/>
      </c>
      <c r="HB47" s="194" t="str">
        <f t="shared" si="69"/>
        <v/>
      </c>
      <c r="HC47" s="194" t="str">
        <f t="shared" si="70"/>
        <v/>
      </c>
      <c r="HD47" s="194" t="str">
        <f t="shared" si="71"/>
        <v/>
      </c>
      <c r="HE47" s="194" t="str">
        <f t="shared" si="72"/>
        <v/>
      </c>
      <c r="HF47" s="194" t="str">
        <f t="shared" si="351"/>
        <v/>
      </c>
      <c r="HG47" s="194" t="str">
        <f t="shared" si="74"/>
        <v/>
      </c>
      <c r="HH47" s="194" t="str">
        <f t="shared" si="75"/>
        <v/>
      </c>
      <c r="HI47" s="194" t="str">
        <f t="shared" si="76"/>
        <v/>
      </c>
      <c r="HJ47" s="194" t="str">
        <f t="shared" si="77"/>
        <v/>
      </c>
      <c r="HK47" s="194" t="str">
        <f t="shared" si="78"/>
        <v/>
      </c>
      <c r="HL47" s="194" t="str">
        <f t="shared" si="352"/>
        <v/>
      </c>
      <c r="HM47" s="194" t="str">
        <f t="shared" si="80"/>
        <v/>
      </c>
      <c r="HN47" s="194" t="str">
        <f t="shared" si="81"/>
        <v/>
      </c>
      <c r="HO47" s="194" t="str">
        <f t="shared" si="82"/>
        <v/>
      </c>
      <c r="HP47" s="194" t="str">
        <f t="shared" si="83"/>
        <v/>
      </c>
      <c r="HQ47" s="194" t="str">
        <f t="shared" si="84"/>
        <v/>
      </c>
      <c r="HR47" s="194" t="str">
        <f t="shared" si="353"/>
        <v/>
      </c>
      <c r="HS47" s="194" t="str">
        <f t="shared" si="86"/>
        <v/>
      </c>
      <c r="HT47" s="194" t="str">
        <f t="shared" si="87"/>
        <v/>
      </c>
      <c r="HU47" s="194" t="str">
        <f t="shared" si="88"/>
        <v/>
      </c>
      <c r="HV47" s="194" t="str">
        <f t="shared" si="89"/>
        <v/>
      </c>
      <c r="HW47" s="194" t="str">
        <f t="shared" si="90"/>
        <v/>
      </c>
      <c r="HX47" s="194" t="str">
        <f t="shared" si="354"/>
        <v/>
      </c>
      <c r="HY47" s="194" t="str">
        <f t="shared" si="92"/>
        <v/>
      </c>
      <c r="HZ47" s="194" t="str">
        <f t="shared" si="93"/>
        <v/>
      </c>
      <c r="IA47" s="194" t="str">
        <f t="shared" si="94"/>
        <v/>
      </c>
      <c r="IB47" s="194" t="str">
        <f t="shared" si="95"/>
        <v/>
      </c>
      <c r="IC47" s="194" t="str">
        <f t="shared" si="96"/>
        <v/>
      </c>
      <c r="ID47" s="194" t="str">
        <f t="shared" si="355"/>
        <v/>
      </c>
      <c r="IE47" s="194" t="str">
        <f t="shared" si="98"/>
        <v/>
      </c>
      <c r="IF47" s="194" t="str">
        <f t="shared" si="99"/>
        <v/>
      </c>
      <c r="IG47" s="194" t="str">
        <f t="shared" si="100"/>
        <v/>
      </c>
      <c r="IH47" s="194" t="str">
        <f t="shared" si="101"/>
        <v/>
      </c>
      <c r="II47" s="194" t="str">
        <f t="shared" si="102"/>
        <v/>
      </c>
      <c r="IJ47" s="194" t="str">
        <f t="shared" si="356"/>
        <v/>
      </c>
      <c r="IK47" s="194" t="str">
        <f t="shared" si="104"/>
        <v/>
      </c>
      <c r="IL47" s="194" t="str">
        <f t="shared" si="105"/>
        <v/>
      </c>
      <c r="IM47" s="194" t="str">
        <f t="shared" si="106"/>
        <v/>
      </c>
      <c r="IN47" s="194" t="str">
        <f t="shared" si="107"/>
        <v/>
      </c>
      <c r="IO47" s="194" t="str">
        <f t="shared" si="108"/>
        <v/>
      </c>
      <c r="IP47" s="194" t="str">
        <f t="shared" si="357"/>
        <v/>
      </c>
      <c r="IQ47" s="194" t="str">
        <f t="shared" si="110"/>
        <v/>
      </c>
      <c r="IR47" s="194" t="str">
        <f t="shared" si="111"/>
        <v/>
      </c>
      <c r="IS47" s="194" t="str">
        <f t="shared" si="112"/>
        <v/>
      </c>
      <c r="IT47" s="194" t="str">
        <f t="shared" si="113"/>
        <v/>
      </c>
      <c r="IU47" s="194" t="str">
        <f t="shared" si="114"/>
        <v/>
      </c>
      <c r="IV47" s="194" t="str">
        <f t="shared" si="358"/>
        <v/>
      </c>
      <c r="IW47" s="194" t="str">
        <f t="shared" si="364"/>
        <v/>
      </c>
      <c r="IX47" s="194" t="str">
        <f t="shared" si="365"/>
        <v/>
      </c>
      <c r="IY47" s="194" t="str">
        <f t="shared" si="366"/>
        <v/>
      </c>
      <c r="IZ47" s="194" t="str">
        <f t="shared" si="367"/>
        <v/>
      </c>
      <c r="JA47" s="194" t="str">
        <f t="shared" si="368"/>
        <v/>
      </c>
      <c r="JB47" s="194" t="str">
        <f t="shared" si="369"/>
        <v/>
      </c>
      <c r="JC47" s="194" t="str">
        <f t="shared" si="370"/>
        <v/>
      </c>
      <c r="JD47" s="194" t="str">
        <f t="shared" si="371"/>
        <v/>
      </c>
      <c r="JE47" s="194" t="str">
        <f t="shared" si="372"/>
        <v/>
      </c>
      <c r="JF47" s="194" t="str">
        <f t="shared" si="373"/>
        <v/>
      </c>
      <c r="JG47" s="194" t="str">
        <f t="shared" si="374"/>
        <v/>
      </c>
      <c r="JH47" s="194" t="str">
        <f t="shared" ref="JH47:JH58" si="379">IF($IW$6="","",IF(EB47="","",EB47))</f>
        <v/>
      </c>
      <c r="JI47" s="194" t="str">
        <f t="shared" ref="JI47:JI58" si="380">IF($IW$6="","",IF(EC47="","",EC47))</f>
        <v/>
      </c>
      <c r="JJ47" s="194" t="str">
        <f t="shared" ref="JJ47:JJ58" si="381">IF($IW$6="","",IF(ED47="","",ED47))</f>
        <v/>
      </c>
      <c r="JK47" s="194" t="str">
        <f t="shared" ref="JK47:JK58" si="382">IF($IW$6="","",IF(EE47="","",EE47))</f>
        <v/>
      </c>
      <c r="JL47" s="194" t="str">
        <f t="shared" ref="JL47:JL58" si="383">IF($IW$6="","",IF(EF47="","",EF47))</f>
        <v/>
      </c>
      <c r="JM47" s="194" t="str">
        <f t="shared" ref="JM47:JM58" si="384">IF($IW$6="","",IF(EG47="","",EG47))</f>
        <v/>
      </c>
      <c r="JN47" s="194" t="str">
        <f t="shared" ref="JN47:JN58" si="385">IF($IW$6="","",IF(EJ47="","",EJ47))</f>
        <v/>
      </c>
      <c r="JO47" s="194" t="str">
        <f t="shared" ref="JO47:JO58" si="386">IF($IW$6="","",IF(EK47="","",EK47))</f>
        <v/>
      </c>
      <c r="JP47" s="194" t="str">
        <f t="shared" ref="JP47:JP58" si="387">IF($IW$6="","",IF(EL47="","",EL47))</f>
        <v/>
      </c>
      <c r="JQ47" s="194" t="str">
        <f t="shared" ref="JQ47:JQ58" si="388">IF($IW$6="","",IF(EM47="","",EM47))</f>
        <v/>
      </c>
      <c r="JR47" s="194" t="str">
        <f t="shared" ref="JR47:JR58" si="389">IF($IW$6="","",IF(EN47="","",EN47))</f>
        <v/>
      </c>
      <c r="JS47" s="194" t="str">
        <f t="shared" ref="JS47:JS58" si="390">IF($IW$6="","",IF(EO47="","",EO47))</f>
        <v/>
      </c>
      <c r="JT47" s="194" t="str">
        <f t="shared" ref="JT47:JT58" si="391">IF($IW$6="","",IF(ER47="","",ER47))</f>
        <v/>
      </c>
      <c r="JU47" s="194" t="str">
        <f t="shared" ref="JU47:JU58" si="392">IF($IW$6="","",IF(ES47="","",ES47))</f>
        <v/>
      </c>
      <c r="JV47" s="194" t="str">
        <f t="shared" ref="JV47:JV58" si="393">IF($IW$6="","",IF(ET47="","",ET47))</f>
        <v/>
      </c>
      <c r="JW47" s="194" t="str">
        <f t="shared" ref="JW47:JW58" si="394">IF($IW$6="","",IF(EU47="","",EU47))</f>
        <v/>
      </c>
      <c r="JX47" s="194" t="str">
        <f t="shared" ref="JX47:JX58" si="395">IF($IW$6="","",IF(EV47="","",EV47))</f>
        <v/>
      </c>
      <c r="JY47" s="194" t="str">
        <f t="shared" ref="JY47:JY58" si="396">IF($IW$6="","",IF(EW47="","",EW47))</f>
        <v/>
      </c>
      <c r="JZ47" s="194" t="str">
        <f t="shared" ref="JZ47:JZ58" si="397">IF($IW$6="","",IF(EZ47="","",EZ47))</f>
        <v/>
      </c>
      <c r="KA47" s="194" t="str">
        <f t="shared" ref="KA47:KA58" si="398">IF($IW$6="","",IF(FA47="","",FA47))</f>
        <v/>
      </c>
      <c r="KB47" s="194" t="str">
        <f t="shared" ref="KB47:KB58" si="399">IF($IW$6="","",IF(FB47="","",FB47))</f>
        <v/>
      </c>
      <c r="KC47" s="194" t="str">
        <f t="shared" ref="KC47:KC58" si="400">IF($IW$6="","",IF(FC47="","",FC47))</f>
        <v/>
      </c>
      <c r="KD47" s="194" t="str">
        <f t="shared" ref="KD47:KD58" si="401">IF($IW$6="","",IF(FD47="","",FD47))</f>
        <v/>
      </c>
      <c r="KE47" s="194" t="str">
        <f t="shared" ref="KE47:KE58" si="402">IF($IW$6="","",IF(FE47="","",FE47))</f>
        <v/>
      </c>
      <c r="KF47" s="194" t="str">
        <f t="shared" ref="KF47:KF58" si="403">IF($IW$6="","",IF(FH47="","",FH47))</f>
        <v/>
      </c>
      <c r="KG47" s="194">
        <f>SUM(LE47:LX47)/COUNTA(RefKI3KI4!$B$5:$B$24)</f>
        <v>0</v>
      </c>
      <c r="KH47" s="232">
        <f t="shared" si="198"/>
        <v>0</v>
      </c>
      <c r="KI47" s="340" t="str">
        <f t="shared" si="199"/>
        <v>ok</v>
      </c>
      <c r="KJ47" s="340" t="str">
        <f t="shared" si="200"/>
        <v>ok</v>
      </c>
      <c r="KK47" s="340" t="str">
        <f t="shared" si="201"/>
        <v/>
      </c>
      <c r="KL47" s="340" t="str">
        <f t="shared" si="202"/>
        <v/>
      </c>
      <c r="KM47" s="340" t="str">
        <f t="shared" si="203"/>
        <v/>
      </c>
      <c r="KN47" s="340" t="str">
        <f t="shared" si="204"/>
        <v/>
      </c>
      <c r="KO47" s="340" t="str">
        <f t="shared" si="205"/>
        <v/>
      </c>
      <c r="KP47" s="340" t="str">
        <f t="shared" si="206"/>
        <v/>
      </c>
      <c r="KQ47" s="340" t="str">
        <f t="shared" si="207"/>
        <v/>
      </c>
      <c r="KR47" s="340" t="str">
        <f t="shared" si="208"/>
        <v/>
      </c>
      <c r="KS47" s="340" t="str">
        <f t="shared" si="209"/>
        <v/>
      </c>
      <c r="KT47" s="340" t="str">
        <f t="shared" si="210"/>
        <v/>
      </c>
      <c r="KU47" s="340" t="str">
        <f t="shared" si="211"/>
        <v/>
      </c>
      <c r="KV47" s="340" t="str">
        <f t="shared" si="212"/>
        <v/>
      </c>
      <c r="KW47" s="340" t="str">
        <f t="shared" si="213"/>
        <v/>
      </c>
      <c r="KX47" s="340" t="str">
        <f t="shared" si="214"/>
        <v/>
      </c>
      <c r="KY47" s="340" t="str">
        <f t="shared" si="215"/>
        <v/>
      </c>
      <c r="KZ47" s="340" t="str">
        <f t="shared" si="216"/>
        <v/>
      </c>
      <c r="LA47" s="340" t="str">
        <f t="shared" si="217"/>
        <v/>
      </c>
      <c r="LB47" s="340" t="str">
        <f t="shared" si="218"/>
        <v/>
      </c>
      <c r="LC47" s="340">
        <f t="shared" si="219"/>
        <v>0</v>
      </c>
      <c r="LD47" s="228">
        <v>39</v>
      </c>
      <c r="LE47" s="229" t="str">
        <f t="shared" si="220"/>
        <v/>
      </c>
      <c r="LF47" s="229" t="str">
        <f t="shared" si="221"/>
        <v/>
      </c>
      <c r="LG47" s="229" t="str">
        <f t="shared" si="222"/>
        <v/>
      </c>
      <c r="LH47" s="229" t="str">
        <f t="shared" si="223"/>
        <v/>
      </c>
      <c r="LI47" s="229" t="str">
        <f t="shared" si="224"/>
        <v/>
      </c>
      <c r="LJ47" s="229" t="str">
        <f t="shared" si="225"/>
        <v/>
      </c>
      <c r="LK47" s="229" t="str">
        <f t="shared" si="226"/>
        <v/>
      </c>
      <c r="LL47" s="229" t="str">
        <f t="shared" si="227"/>
        <v/>
      </c>
      <c r="LM47" s="229" t="str">
        <f t="shared" si="228"/>
        <v/>
      </c>
      <c r="LN47" s="229" t="str">
        <f t="shared" si="229"/>
        <v/>
      </c>
      <c r="LO47" s="229" t="str">
        <f t="shared" si="230"/>
        <v/>
      </c>
      <c r="LP47" s="229" t="str">
        <f t="shared" si="231"/>
        <v/>
      </c>
      <c r="LQ47" s="229" t="str">
        <f t="shared" si="232"/>
        <v/>
      </c>
      <c r="LR47" s="229" t="str">
        <f t="shared" si="233"/>
        <v/>
      </c>
      <c r="LS47" s="229" t="str">
        <f t="shared" si="234"/>
        <v/>
      </c>
      <c r="LT47" s="229" t="str">
        <f t="shared" si="235"/>
        <v/>
      </c>
      <c r="LU47" s="229" t="str">
        <f t="shared" si="236"/>
        <v/>
      </c>
      <c r="LV47" s="229" t="str">
        <f t="shared" si="237"/>
        <v/>
      </c>
      <c r="LW47" s="229" t="str">
        <f t="shared" si="238"/>
        <v/>
      </c>
      <c r="LX47" s="229" t="str">
        <f t="shared" si="239"/>
        <v/>
      </c>
      <c r="LY47" s="231" t="str">
        <f t="shared" si="240"/>
        <v/>
      </c>
      <c r="LZ47" s="231" t="str">
        <f t="shared" si="241"/>
        <v/>
      </c>
      <c r="MA47" s="231" t="str">
        <f t="shared" si="242"/>
        <v/>
      </c>
      <c r="MB47" s="231" t="str">
        <f t="shared" si="243"/>
        <v/>
      </c>
      <c r="MC47" s="231" t="str">
        <f t="shared" si="244"/>
        <v/>
      </c>
      <c r="MD47" s="231" t="str">
        <f t="shared" si="245"/>
        <v/>
      </c>
      <c r="ME47" s="231" t="str">
        <f t="shared" si="246"/>
        <v/>
      </c>
      <c r="MF47" s="231" t="str">
        <f t="shared" si="247"/>
        <v/>
      </c>
      <c r="MG47" s="231" t="str">
        <f t="shared" si="248"/>
        <v/>
      </c>
      <c r="MH47" s="231" t="str">
        <f t="shared" si="249"/>
        <v/>
      </c>
      <c r="MI47" s="231" t="str">
        <f t="shared" si="250"/>
        <v/>
      </c>
      <c r="MJ47" s="231" t="str">
        <f t="shared" si="251"/>
        <v/>
      </c>
      <c r="MK47" s="231" t="str">
        <f t="shared" si="252"/>
        <v/>
      </c>
      <c r="ML47" s="231" t="str">
        <f t="shared" si="253"/>
        <v/>
      </c>
      <c r="MM47" s="231" t="str">
        <f t="shared" si="254"/>
        <v/>
      </c>
      <c r="MN47" s="231" t="str">
        <f t="shared" si="255"/>
        <v/>
      </c>
      <c r="MO47" s="231" t="str">
        <f t="shared" si="256"/>
        <v/>
      </c>
      <c r="MP47" s="231" t="str">
        <f t="shared" si="257"/>
        <v/>
      </c>
      <c r="MQ47" s="231" t="str">
        <f t="shared" si="258"/>
        <v/>
      </c>
      <c r="MR47" s="231" t="str">
        <f t="shared" si="259"/>
        <v/>
      </c>
      <c r="MS47" s="231" t="str">
        <f t="shared" si="359"/>
        <v/>
      </c>
      <c r="MT47" s="232" t="str">
        <f>IF(MS47="","",IF(MS47&gt;=KONVERSI!$A$5,KONVERSI!$E$5,IF(MS47&gt;=KONVERSI!$A$6,KONVERSI!$E$6,IF(MS47&gt;=KONVERSI!$A$7,KONVERSI!$E$7,KONVERSI!$E$8))))</f>
        <v/>
      </c>
      <c r="MU47" s="233" t="str">
        <f t="shared" si="360"/>
        <v/>
      </c>
      <c r="MV47" s="234" t="str">
        <f t="shared" si="260"/>
        <v/>
      </c>
      <c r="MW47" s="232" t="str">
        <f>IF(MV47="","",IF(MV47&gt;=KONVERSI!$A$5,KONVERSI!$E$5,IF(MV47&gt;=KONVERSI!$A$6,KONVERSI!$E$6,IF(MV47&gt;=KONVERSI!$A$7,KONVERSI!$E$7,KONVERSI!$E$8))))</f>
        <v/>
      </c>
      <c r="MX47" s="134" t="str">
        <f>IF(FI47&lt;$FN$4," "&amp;KONVERSI!$C$18&amp;INDEX($LY$8:$MR$8,MATCH(MV47,LY47:MR47,0))&amp;".",IF(KG47=0,"",IF(MV47&lt;&gt;0,MU47&amp;MW47&amp;".",MU47&amp;".")))</f>
        <v/>
      </c>
      <c r="MY47" s="235" t="str">
        <f t="shared" si="261"/>
        <v/>
      </c>
      <c r="MZ47" s="235" t="str">
        <f t="shared" si="262"/>
        <v/>
      </c>
      <c r="NA47" s="235" t="str">
        <f t="shared" si="263"/>
        <v/>
      </c>
      <c r="NB47" s="235" t="str">
        <f t="shared" si="264"/>
        <v/>
      </c>
      <c r="NC47" s="235" t="str">
        <f t="shared" si="265"/>
        <v/>
      </c>
      <c r="ND47" s="235" t="str">
        <f t="shared" si="266"/>
        <v/>
      </c>
      <c r="NE47" s="235" t="str">
        <f t="shared" si="267"/>
        <v/>
      </c>
      <c r="NF47" s="235" t="str">
        <f t="shared" si="268"/>
        <v/>
      </c>
      <c r="NG47" s="235" t="str">
        <f t="shared" si="269"/>
        <v/>
      </c>
      <c r="NH47" s="235" t="str">
        <f t="shared" si="270"/>
        <v/>
      </c>
      <c r="NI47" s="235" t="str">
        <f t="shared" si="271"/>
        <v/>
      </c>
      <c r="NJ47" s="235" t="str">
        <f t="shared" si="272"/>
        <v/>
      </c>
      <c r="NK47" s="235" t="str">
        <f t="shared" si="273"/>
        <v/>
      </c>
      <c r="NL47" s="235" t="str">
        <f t="shared" si="274"/>
        <v/>
      </c>
      <c r="NM47" s="235" t="str">
        <f t="shared" si="275"/>
        <v/>
      </c>
      <c r="NN47" s="235" t="str">
        <f t="shared" si="276"/>
        <v/>
      </c>
      <c r="NO47" s="235" t="str">
        <f t="shared" si="277"/>
        <v/>
      </c>
      <c r="NP47" s="235" t="str">
        <f t="shared" si="278"/>
        <v/>
      </c>
      <c r="NQ47" s="235" t="str">
        <f t="shared" si="279"/>
        <v/>
      </c>
      <c r="NR47" s="235" t="str">
        <f t="shared" si="280"/>
        <v/>
      </c>
      <c r="NS47" s="134" t="str">
        <f t="shared" si="281"/>
        <v/>
      </c>
      <c r="NT47" s="134" t="str">
        <f t="shared" si="282"/>
        <v/>
      </c>
      <c r="NU47" s="134" t="str">
        <f t="shared" si="283"/>
        <v/>
      </c>
      <c r="NV47" s="134" t="str">
        <f t="shared" si="284"/>
        <v/>
      </c>
      <c r="NW47" s="134" t="str">
        <f t="shared" si="285"/>
        <v/>
      </c>
      <c r="NX47" s="134" t="str">
        <f t="shared" si="286"/>
        <v/>
      </c>
      <c r="NY47" s="134" t="str">
        <f t="shared" si="287"/>
        <v/>
      </c>
      <c r="NZ47" s="134" t="str">
        <f t="shared" si="288"/>
        <v/>
      </c>
      <c r="OA47" s="134" t="str">
        <f t="shared" si="289"/>
        <v/>
      </c>
      <c r="OB47" s="134" t="str">
        <f t="shared" si="290"/>
        <v/>
      </c>
      <c r="OC47" s="134" t="str">
        <f t="shared" si="291"/>
        <v/>
      </c>
      <c r="OD47" s="134" t="str">
        <f t="shared" si="292"/>
        <v/>
      </c>
      <c r="OE47" s="134" t="str">
        <f t="shared" si="293"/>
        <v/>
      </c>
      <c r="OF47" s="134" t="str">
        <f t="shared" si="294"/>
        <v/>
      </c>
      <c r="OG47" s="134" t="str">
        <f t="shared" si="295"/>
        <v/>
      </c>
      <c r="OH47" s="134" t="str">
        <f t="shared" si="296"/>
        <v/>
      </c>
      <c r="OI47" s="134" t="str">
        <f t="shared" si="297"/>
        <v/>
      </c>
      <c r="OJ47" s="134" t="str">
        <f t="shared" si="298"/>
        <v/>
      </c>
      <c r="OK47" s="134" t="str">
        <f t="shared" si="299"/>
        <v/>
      </c>
      <c r="OL47" s="134" t="str">
        <f t="shared" si="300"/>
        <v/>
      </c>
      <c r="OM47" s="134" t="str">
        <f t="shared" si="301"/>
        <v/>
      </c>
      <c r="ON47" s="134" t="str">
        <f t="shared" si="302"/>
        <v>  </v>
      </c>
      <c r="OO47" s="236">
        <f t="shared" si="361"/>
        <v>0</v>
      </c>
      <c r="OP47" s="235" t="str">
        <f t="shared" si="303"/>
        <v/>
      </c>
      <c r="OQ47" s="235" t="str">
        <f t="shared" si="304"/>
        <v/>
      </c>
      <c r="OR47" s="235" t="str">
        <f t="shared" si="305"/>
        <v/>
      </c>
      <c r="OS47" s="235" t="str">
        <f t="shared" si="306"/>
        <v/>
      </c>
      <c r="OT47" s="235" t="str">
        <f t="shared" si="307"/>
        <v/>
      </c>
      <c r="OU47" s="235" t="str">
        <f t="shared" si="308"/>
        <v/>
      </c>
      <c r="OV47" s="235" t="str">
        <f t="shared" si="309"/>
        <v/>
      </c>
      <c r="OW47" s="235" t="str">
        <f t="shared" si="310"/>
        <v/>
      </c>
      <c r="OX47" s="235" t="str">
        <f t="shared" si="311"/>
        <v/>
      </c>
      <c r="OY47" s="235" t="str">
        <f t="shared" si="312"/>
        <v/>
      </c>
      <c r="OZ47" s="235" t="str">
        <f t="shared" si="313"/>
        <v/>
      </c>
      <c r="PA47" s="235" t="str">
        <f t="shared" si="314"/>
        <v/>
      </c>
      <c r="PB47" s="235" t="str">
        <f t="shared" si="315"/>
        <v/>
      </c>
      <c r="PC47" s="235" t="str">
        <f t="shared" si="316"/>
        <v/>
      </c>
      <c r="PD47" s="235" t="str">
        <f t="shared" si="317"/>
        <v/>
      </c>
      <c r="PE47" s="235" t="str">
        <f t="shared" si="318"/>
        <v/>
      </c>
      <c r="PF47" s="235" t="str">
        <f t="shared" si="319"/>
        <v/>
      </c>
      <c r="PG47" s="235" t="str">
        <f t="shared" si="320"/>
        <v/>
      </c>
      <c r="PH47" s="235" t="str">
        <f t="shared" si="321"/>
        <v/>
      </c>
      <c r="PI47" s="235" t="str">
        <f t="shared" si="322"/>
        <v/>
      </c>
      <c r="PJ47" s="134" t="str">
        <f t="shared" si="323"/>
        <v/>
      </c>
      <c r="PK47" s="134" t="str">
        <f t="shared" si="324"/>
        <v/>
      </c>
      <c r="PL47" s="134" t="str">
        <f t="shared" si="325"/>
        <v/>
      </c>
      <c r="PM47" s="134" t="str">
        <f t="shared" si="326"/>
        <v/>
      </c>
      <c r="PN47" s="134" t="str">
        <f t="shared" si="327"/>
        <v/>
      </c>
      <c r="PO47" s="134" t="str">
        <f t="shared" si="328"/>
        <v/>
      </c>
      <c r="PP47" s="134" t="str">
        <f t="shared" si="329"/>
        <v/>
      </c>
      <c r="PQ47" s="134" t="str">
        <f t="shared" si="330"/>
        <v/>
      </c>
      <c r="PR47" s="134" t="str">
        <f t="shared" si="331"/>
        <v/>
      </c>
      <c r="PS47" s="134" t="str">
        <f t="shared" si="332"/>
        <v/>
      </c>
      <c r="PT47" s="134" t="str">
        <f t="shared" si="333"/>
        <v/>
      </c>
      <c r="PU47" s="134" t="str">
        <f t="shared" si="334"/>
        <v/>
      </c>
      <c r="PV47" s="134" t="str">
        <f t="shared" si="335"/>
        <v/>
      </c>
      <c r="PW47" s="134" t="str">
        <f t="shared" si="336"/>
        <v/>
      </c>
      <c r="PX47" s="134" t="str">
        <f t="shared" si="337"/>
        <v/>
      </c>
      <c r="PY47" s="134" t="str">
        <f t="shared" si="338"/>
        <v/>
      </c>
      <c r="PZ47" s="134" t="str">
        <f t="shared" si="339"/>
        <v/>
      </c>
      <c r="QA47" s="134" t="str">
        <f t="shared" si="340"/>
        <v/>
      </c>
      <c r="QB47" s="134" t="str">
        <f t="shared" si="341"/>
        <v/>
      </c>
      <c r="QC47" s="134" t="str">
        <f t="shared" si="342"/>
        <v/>
      </c>
      <c r="QD47" s="134" t="str">
        <f>IF(MT47=MW47,"",IF(MV47="","",IF(MV47&gt;=KONVERSI!$A$7,'KI3'!MW47&amp;" dalam"&amp;PJ47&amp;PK47&amp;PL47&amp;PM47&amp;PN47&amp;PO47&amp;PP47&amp;PQ47&amp;PR47&amp;PS47&amp;PT47&amp;PU47&amp;PV47&amp;PW47&amp;PX47&amp;PY47&amp;PZ47&amp;QA47&amp;QB47&amp;QC47,KONVERSI!$C$18&amp;" dalam"&amp;PJ47&amp;PK47&amp;PL47&amp;PM47&amp;PN47&amp;PO47&amp;PP47&amp;PQ47&amp;PR47&amp;PS47&amp;PT47&amp;PU47&amp;PV47&amp;PW47&amp;PX47&amp;PY47&amp;PZ47&amp;QA47&amp;QB47&amp;QC47)))</f>
        <v/>
      </c>
      <c r="QE47" s="134" t="str">
        <f t="shared" si="343"/>
        <v/>
      </c>
      <c r="QF47" s="236">
        <f t="shared" si="362"/>
        <v>0</v>
      </c>
      <c r="QG47" s="134" t="str">
        <f t="shared" si="363"/>
        <v/>
      </c>
    </row>
    <row r="48" ht="27.6" customHeight="1" spans="1:449">
      <c r="A48" s="136"/>
      <c r="B48" s="177">
        <v>40</v>
      </c>
      <c r="C48" s="178">
        <f>siswa!C44</f>
        <v>0</v>
      </c>
      <c r="D48" s="174">
        <f>siswa!D44</f>
        <v>0</v>
      </c>
      <c r="E48" s="181"/>
      <c r="F48" s="176"/>
      <c r="G48" s="176"/>
      <c r="H48" s="176"/>
      <c r="I48" s="176"/>
      <c r="J48" s="176"/>
      <c r="K48" s="176"/>
      <c r="L48" s="223" t="str">
        <f t="shared" si="174"/>
        <v/>
      </c>
      <c r="M48" s="181"/>
      <c r="N48" s="176"/>
      <c r="O48" s="176"/>
      <c r="P48" s="176"/>
      <c r="Q48" s="176"/>
      <c r="R48" s="176"/>
      <c r="S48" s="176"/>
      <c r="T48" s="223" t="str">
        <f t="shared" si="175"/>
        <v/>
      </c>
      <c r="U48" s="181"/>
      <c r="V48" s="176"/>
      <c r="W48" s="176"/>
      <c r="X48" s="176"/>
      <c r="Y48" s="176"/>
      <c r="Z48" s="176"/>
      <c r="AA48" s="176"/>
      <c r="AB48" s="223">
        <f t="shared" si="176"/>
        <v>0</v>
      </c>
      <c r="AC48" s="181"/>
      <c r="AD48" s="176"/>
      <c r="AE48" s="176"/>
      <c r="AF48" s="176"/>
      <c r="AG48" s="176"/>
      <c r="AH48" s="176"/>
      <c r="AI48" s="176"/>
      <c r="AJ48" s="223">
        <f t="shared" si="177"/>
        <v>0</v>
      </c>
      <c r="AK48" s="181"/>
      <c r="AL48" s="176"/>
      <c r="AM48" s="176"/>
      <c r="AN48" s="176"/>
      <c r="AO48" s="176"/>
      <c r="AP48" s="176"/>
      <c r="AQ48" s="176"/>
      <c r="AR48" s="223">
        <f t="shared" si="178"/>
        <v>0</v>
      </c>
      <c r="AS48" s="181"/>
      <c r="AT48" s="176"/>
      <c r="AU48" s="176"/>
      <c r="AV48" s="176"/>
      <c r="AW48" s="176"/>
      <c r="AX48" s="176"/>
      <c r="AY48" s="176"/>
      <c r="AZ48" s="223">
        <f t="shared" si="179"/>
        <v>0</v>
      </c>
      <c r="BA48" s="181"/>
      <c r="BB48" s="176"/>
      <c r="BC48" s="176"/>
      <c r="BD48" s="176"/>
      <c r="BE48" s="176"/>
      <c r="BF48" s="176"/>
      <c r="BG48" s="176"/>
      <c r="BH48" s="223">
        <f t="shared" si="180"/>
        <v>0</v>
      </c>
      <c r="BI48" s="181"/>
      <c r="BJ48" s="176"/>
      <c r="BK48" s="176"/>
      <c r="BL48" s="176"/>
      <c r="BM48" s="176"/>
      <c r="BN48" s="176"/>
      <c r="BO48" s="176"/>
      <c r="BP48" s="223">
        <f t="shared" si="181"/>
        <v>0</v>
      </c>
      <c r="BQ48" s="181"/>
      <c r="BR48" s="176"/>
      <c r="BS48" s="176"/>
      <c r="BT48" s="176"/>
      <c r="BU48" s="176"/>
      <c r="BV48" s="176"/>
      <c r="BW48" s="176"/>
      <c r="BX48" s="223">
        <f t="shared" si="182"/>
        <v>0</v>
      </c>
      <c r="BY48" s="181"/>
      <c r="BZ48" s="176"/>
      <c r="CA48" s="176"/>
      <c r="CB48" s="176"/>
      <c r="CC48" s="176"/>
      <c r="CD48" s="176"/>
      <c r="CE48" s="176"/>
      <c r="CF48" s="223">
        <f t="shared" si="183"/>
        <v>0</v>
      </c>
      <c r="CG48" s="181"/>
      <c r="CH48" s="176"/>
      <c r="CI48" s="176"/>
      <c r="CJ48" s="176"/>
      <c r="CK48" s="176"/>
      <c r="CL48" s="176"/>
      <c r="CM48" s="176"/>
      <c r="CN48" s="223">
        <f t="shared" si="184"/>
        <v>0</v>
      </c>
      <c r="CO48" s="181"/>
      <c r="CP48" s="176"/>
      <c r="CQ48" s="176"/>
      <c r="CR48" s="176"/>
      <c r="CS48" s="176"/>
      <c r="CT48" s="176"/>
      <c r="CU48" s="176"/>
      <c r="CV48" s="223">
        <f t="shared" si="185"/>
        <v>0</v>
      </c>
      <c r="CW48" s="181"/>
      <c r="CX48" s="176"/>
      <c r="CY48" s="176"/>
      <c r="CZ48" s="176"/>
      <c r="DA48" s="176"/>
      <c r="DB48" s="176"/>
      <c r="DC48" s="176"/>
      <c r="DD48" s="223">
        <f t="shared" si="186"/>
        <v>0</v>
      </c>
      <c r="DE48" s="181"/>
      <c r="DF48" s="176"/>
      <c r="DG48" s="176"/>
      <c r="DH48" s="176"/>
      <c r="DI48" s="176"/>
      <c r="DJ48" s="176"/>
      <c r="DK48" s="176"/>
      <c r="DL48" s="223">
        <f t="shared" si="187"/>
        <v>0</v>
      </c>
      <c r="DM48" s="181"/>
      <c r="DN48" s="176"/>
      <c r="DO48" s="176"/>
      <c r="DP48" s="176"/>
      <c r="DQ48" s="176"/>
      <c r="DR48" s="176"/>
      <c r="DS48" s="176"/>
      <c r="DT48" s="223">
        <f t="shared" si="188"/>
        <v>0</v>
      </c>
      <c r="DU48" s="181"/>
      <c r="DV48" s="176"/>
      <c r="DW48" s="176"/>
      <c r="DX48" s="176"/>
      <c r="DY48" s="176"/>
      <c r="DZ48" s="176"/>
      <c r="EA48" s="176"/>
      <c r="EB48" s="223">
        <f t="shared" si="189"/>
        <v>0</v>
      </c>
      <c r="EC48" s="181"/>
      <c r="ED48" s="176"/>
      <c r="EE48" s="176"/>
      <c r="EF48" s="176"/>
      <c r="EG48" s="176"/>
      <c r="EH48" s="176"/>
      <c r="EI48" s="176"/>
      <c r="EJ48" s="223">
        <f t="shared" si="190"/>
        <v>0</v>
      </c>
      <c r="EK48" s="181"/>
      <c r="EL48" s="176"/>
      <c r="EM48" s="176"/>
      <c r="EN48" s="176"/>
      <c r="EO48" s="176"/>
      <c r="EP48" s="176"/>
      <c r="EQ48" s="176"/>
      <c r="ER48" s="223">
        <f t="shared" si="191"/>
        <v>0</v>
      </c>
      <c r="ES48" s="181"/>
      <c r="ET48" s="176"/>
      <c r="EU48" s="176"/>
      <c r="EV48" s="176"/>
      <c r="EW48" s="176"/>
      <c r="EX48" s="176"/>
      <c r="EY48" s="176"/>
      <c r="EZ48" s="223">
        <f t="shared" si="192"/>
        <v>0</v>
      </c>
      <c r="FA48" s="181"/>
      <c r="FB48" s="176"/>
      <c r="FC48" s="176"/>
      <c r="FD48" s="176"/>
      <c r="FE48" s="176"/>
      <c r="FF48" s="176"/>
      <c r="FG48" s="176"/>
      <c r="FH48" s="223">
        <f t="shared" si="193"/>
        <v>0</v>
      </c>
      <c r="FI48" s="291" t="str">
        <f t="shared" si="194"/>
        <v/>
      </c>
      <c r="FJ48" s="250"/>
      <c r="FK48" s="250"/>
      <c r="FL48" s="291" t="str">
        <f t="shared" si="195"/>
        <v/>
      </c>
      <c r="FM48" s="312" t="str">
        <f>IFERROR(IF(FL48="","",IF(FL48&gt;=KONVERSI!$A$5,KONVERSI!$D$5,IF(FL48&gt;=KONVERSI!$A$6,KONVERSI!$D$6,IF(FL48&gt;=KONVERSI!$A$7,KONVERSI!$D$7,KONVERSI!$D$8)))),"")</f>
        <v/>
      </c>
      <c r="FN48" s="232" t="str">
        <f t="shared" si="196"/>
        <v/>
      </c>
      <c r="FO48" s="313"/>
      <c r="FP48" s="314">
        <f t="shared" si="197"/>
        <v>0</v>
      </c>
      <c r="FQ48" s="194" t="str">
        <f t="shared" si="33"/>
        <v/>
      </c>
      <c r="FR48" s="194" t="str">
        <f t="shared" si="34"/>
        <v/>
      </c>
      <c r="FS48" s="194" t="str">
        <f t="shared" si="35"/>
        <v/>
      </c>
      <c r="FT48" s="194" t="str">
        <f t="shared" si="36"/>
        <v/>
      </c>
      <c r="FU48" s="194" t="str">
        <f t="shared" si="37"/>
        <v/>
      </c>
      <c r="FV48" s="194" t="str">
        <f t="shared" si="345"/>
        <v/>
      </c>
      <c r="FW48" s="194" t="str">
        <f t="shared" si="39"/>
        <v/>
      </c>
      <c r="FX48" s="194" t="str">
        <f t="shared" si="344"/>
        <v/>
      </c>
      <c r="FY48" s="194" t="str">
        <f t="shared" si="40"/>
        <v/>
      </c>
      <c r="FZ48" s="194" t="str">
        <f t="shared" si="41"/>
        <v/>
      </c>
      <c r="GA48" s="194" t="str">
        <f t="shared" si="42"/>
        <v/>
      </c>
      <c r="GB48" s="194" t="str">
        <f t="shared" si="346"/>
        <v/>
      </c>
      <c r="GC48" s="194" t="str">
        <f t="shared" si="44"/>
        <v/>
      </c>
      <c r="GD48" s="194" t="str">
        <f t="shared" si="45"/>
        <v/>
      </c>
      <c r="GE48" s="194" t="str">
        <f t="shared" si="46"/>
        <v/>
      </c>
      <c r="GF48" s="194" t="str">
        <f t="shared" si="47"/>
        <v/>
      </c>
      <c r="GG48" s="194" t="str">
        <f t="shared" si="48"/>
        <v/>
      </c>
      <c r="GH48" s="194" t="str">
        <f t="shared" si="347"/>
        <v/>
      </c>
      <c r="GI48" s="194" t="str">
        <f t="shared" si="50"/>
        <v/>
      </c>
      <c r="GJ48" s="194" t="str">
        <f t="shared" si="51"/>
        <v/>
      </c>
      <c r="GK48" s="194" t="str">
        <f t="shared" si="52"/>
        <v/>
      </c>
      <c r="GL48" s="194" t="str">
        <f t="shared" si="53"/>
        <v/>
      </c>
      <c r="GM48" s="194" t="str">
        <f t="shared" si="54"/>
        <v/>
      </c>
      <c r="GN48" s="194" t="str">
        <f t="shared" si="348"/>
        <v/>
      </c>
      <c r="GO48" s="194" t="str">
        <f t="shared" si="56"/>
        <v/>
      </c>
      <c r="GP48" s="194" t="str">
        <f t="shared" si="57"/>
        <v/>
      </c>
      <c r="GQ48" s="194" t="str">
        <f t="shared" si="58"/>
        <v/>
      </c>
      <c r="GR48" s="194" t="str">
        <f t="shared" si="59"/>
        <v/>
      </c>
      <c r="GS48" s="194" t="str">
        <f t="shared" si="60"/>
        <v/>
      </c>
      <c r="GT48" s="194" t="str">
        <f t="shared" si="349"/>
        <v/>
      </c>
      <c r="GU48" s="194" t="str">
        <f t="shared" si="62"/>
        <v/>
      </c>
      <c r="GV48" s="194" t="str">
        <f t="shared" si="63"/>
        <v/>
      </c>
      <c r="GW48" s="194" t="str">
        <f t="shared" si="64"/>
        <v/>
      </c>
      <c r="GX48" s="194" t="str">
        <f t="shared" si="65"/>
        <v/>
      </c>
      <c r="GY48" s="194" t="str">
        <f t="shared" si="66"/>
        <v/>
      </c>
      <c r="GZ48" s="194" t="str">
        <f t="shared" si="350"/>
        <v/>
      </c>
      <c r="HA48" s="194" t="str">
        <f t="shared" si="68"/>
        <v/>
      </c>
      <c r="HB48" s="194" t="str">
        <f t="shared" si="69"/>
        <v/>
      </c>
      <c r="HC48" s="194" t="str">
        <f t="shared" si="70"/>
        <v/>
      </c>
      <c r="HD48" s="194" t="str">
        <f t="shared" si="71"/>
        <v/>
      </c>
      <c r="HE48" s="194" t="str">
        <f t="shared" si="72"/>
        <v/>
      </c>
      <c r="HF48" s="194" t="str">
        <f t="shared" si="351"/>
        <v/>
      </c>
      <c r="HG48" s="194" t="str">
        <f t="shared" si="74"/>
        <v/>
      </c>
      <c r="HH48" s="194" t="str">
        <f t="shared" si="75"/>
        <v/>
      </c>
      <c r="HI48" s="194" t="str">
        <f t="shared" si="76"/>
        <v/>
      </c>
      <c r="HJ48" s="194" t="str">
        <f t="shared" si="77"/>
        <v/>
      </c>
      <c r="HK48" s="194" t="str">
        <f t="shared" si="78"/>
        <v/>
      </c>
      <c r="HL48" s="194" t="str">
        <f t="shared" si="352"/>
        <v/>
      </c>
      <c r="HM48" s="194" t="str">
        <f t="shared" si="80"/>
        <v/>
      </c>
      <c r="HN48" s="194" t="str">
        <f t="shared" si="81"/>
        <v/>
      </c>
      <c r="HO48" s="194" t="str">
        <f t="shared" si="82"/>
        <v/>
      </c>
      <c r="HP48" s="194" t="str">
        <f t="shared" si="83"/>
        <v/>
      </c>
      <c r="HQ48" s="194" t="str">
        <f t="shared" si="84"/>
        <v/>
      </c>
      <c r="HR48" s="194" t="str">
        <f t="shared" si="353"/>
        <v/>
      </c>
      <c r="HS48" s="194" t="str">
        <f t="shared" si="86"/>
        <v/>
      </c>
      <c r="HT48" s="194" t="str">
        <f t="shared" si="87"/>
        <v/>
      </c>
      <c r="HU48" s="194" t="str">
        <f t="shared" si="88"/>
        <v/>
      </c>
      <c r="HV48" s="194" t="str">
        <f t="shared" si="89"/>
        <v/>
      </c>
      <c r="HW48" s="194" t="str">
        <f t="shared" si="90"/>
        <v/>
      </c>
      <c r="HX48" s="194" t="str">
        <f t="shared" si="354"/>
        <v/>
      </c>
      <c r="HY48" s="194" t="str">
        <f t="shared" si="92"/>
        <v/>
      </c>
      <c r="HZ48" s="194" t="str">
        <f t="shared" si="93"/>
        <v/>
      </c>
      <c r="IA48" s="194" t="str">
        <f t="shared" si="94"/>
        <v/>
      </c>
      <c r="IB48" s="194" t="str">
        <f t="shared" si="95"/>
        <v/>
      </c>
      <c r="IC48" s="194" t="str">
        <f t="shared" si="96"/>
        <v/>
      </c>
      <c r="ID48" s="194" t="str">
        <f t="shared" si="355"/>
        <v/>
      </c>
      <c r="IE48" s="194" t="str">
        <f t="shared" si="98"/>
        <v/>
      </c>
      <c r="IF48" s="194" t="str">
        <f t="shared" si="99"/>
        <v/>
      </c>
      <c r="IG48" s="194" t="str">
        <f t="shared" si="100"/>
        <v/>
      </c>
      <c r="IH48" s="194" t="str">
        <f t="shared" si="101"/>
        <v/>
      </c>
      <c r="II48" s="194" t="str">
        <f t="shared" si="102"/>
        <v/>
      </c>
      <c r="IJ48" s="194" t="str">
        <f t="shared" si="356"/>
        <v/>
      </c>
      <c r="IK48" s="194" t="str">
        <f t="shared" si="104"/>
        <v/>
      </c>
      <c r="IL48" s="194" t="str">
        <f t="shared" si="105"/>
        <v/>
      </c>
      <c r="IM48" s="194" t="str">
        <f t="shared" si="106"/>
        <v/>
      </c>
      <c r="IN48" s="194" t="str">
        <f t="shared" si="107"/>
        <v/>
      </c>
      <c r="IO48" s="194" t="str">
        <f t="shared" si="108"/>
        <v/>
      </c>
      <c r="IP48" s="194" t="str">
        <f t="shared" si="357"/>
        <v/>
      </c>
      <c r="IQ48" s="194" t="str">
        <f t="shared" si="110"/>
        <v/>
      </c>
      <c r="IR48" s="194" t="str">
        <f t="shared" si="111"/>
        <v/>
      </c>
      <c r="IS48" s="194" t="str">
        <f t="shared" si="112"/>
        <v/>
      </c>
      <c r="IT48" s="194" t="str">
        <f t="shared" si="113"/>
        <v/>
      </c>
      <c r="IU48" s="194" t="str">
        <f t="shared" si="114"/>
        <v/>
      </c>
      <c r="IV48" s="194" t="str">
        <f t="shared" si="358"/>
        <v/>
      </c>
      <c r="IW48" s="194" t="str">
        <f t="shared" si="364"/>
        <v/>
      </c>
      <c r="IX48" s="194" t="str">
        <f t="shared" si="365"/>
        <v/>
      </c>
      <c r="IY48" s="194" t="str">
        <f t="shared" si="366"/>
        <v/>
      </c>
      <c r="IZ48" s="194" t="str">
        <f t="shared" si="367"/>
        <v/>
      </c>
      <c r="JA48" s="194" t="str">
        <f t="shared" si="368"/>
        <v/>
      </c>
      <c r="JB48" s="194" t="str">
        <f t="shared" si="369"/>
        <v/>
      </c>
      <c r="JC48" s="194" t="str">
        <f t="shared" si="370"/>
        <v/>
      </c>
      <c r="JD48" s="194" t="str">
        <f t="shared" si="371"/>
        <v/>
      </c>
      <c r="JE48" s="194" t="str">
        <f t="shared" si="372"/>
        <v/>
      </c>
      <c r="JF48" s="194" t="str">
        <f t="shared" si="373"/>
        <v/>
      </c>
      <c r="JG48" s="194" t="str">
        <f t="shared" si="374"/>
        <v/>
      </c>
      <c r="JH48" s="194" t="str">
        <f t="shared" si="379"/>
        <v/>
      </c>
      <c r="JI48" s="194" t="str">
        <f t="shared" si="380"/>
        <v/>
      </c>
      <c r="JJ48" s="194" t="str">
        <f t="shared" si="381"/>
        <v/>
      </c>
      <c r="JK48" s="194" t="str">
        <f t="shared" si="382"/>
        <v/>
      </c>
      <c r="JL48" s="194" t="str">
        <f t="shared" si="383"/>
        <v/>
      </c>
      <c r="JM48" s="194" t="str">
        <f t="shared" si="384"/>
        <v/>
      </c>
      <c r="JN48" s="194" t="str">
        <f t="shared" si="385"/>
        <v/>
      </c>
      <c r="JO48" s="194" t="str">
        <f t="shared" si="386"/>
        <v/>
      </c>
      <c r="JP48" s="194" t="str">
        <f t="shared" si="387"/>
        <v/>
      </c>
      <c r="JQ48" s="194" t="str">
        <f t="shared" si="388"/>
        <v/>
      </c>
      <c r="JR48" s="194" t="str">
        <f t="shared" si="389"/>
        <v/>
      </c>
      <c r="JS48" s="194" t="str">
        <f t="shared" si="390"/>
        <v/>
      </c>
      <c r="JT48" s="194" t="str">
        <f t="shared" si="391"/>
        <v/>
      </c>
      <c r="JU48" s="194" t="str">
        <f t="shared" si="392"/>
        <v/>
      </c>
      <c r="JV48" s="194" t="str">
        <f t="shared" si="393"/>
        <v/>
      </c>
      <c r="JW48" s="194" t="str">
        <f t="shared" si="394"/>
        <v/>
      </c>
      <c r="JX48" s="194" t="str">
        <f t="shared" si="395"/>
        <v/>
      </c>
      <c r="JY48" s="194" t="str">
        <f t="shared" si="396"/>
        <v/>
      </c>
      <c r="JZ48" s="194" t="str">
        <f t="shared" si="397"/>
        <v/>
      </c>
      <c r="KA48" s="194" t="str">
        <f t="shared" si="398"/>
        <v/>
      </c>
      <c r="KB48" s="194" t="str">
        <f t="shared" si="399"/>
        <v/>
      </c>
      <c r="KC48" s="194" t="str">
        <f t="shared" si="400"/>
        <v/>
      </c>
      <c r="KD48" s="194" t="str">
        <f t="shared" si="401"/>
        <v/>
      </c>
      <c r="KE48" s="194" t="str">
        <f t="shared" si="402"/>
        <v/>
      </c>
      <c r="KF48" s="194" t="str">
        <f t="shared" si="403"/>
        <v/>
      </c>
      <c r="KG48" s="194">
        <f>SUM(LE48:LX48)/COUNTA(RefKI3KI4!$B$5:$B$24)</f>
        <v>0</v>
      </c>
      <c r="KH48" s="232">
        <f t="shared" si="198"/>
        <v>0</v>
      </c>
      <c r="KI48" s="340" t="str">
        <f t="shared" si="199"/>
        <v>ok</v>
      </c>
      <c r="KJ48" s="340" t="str">
        <f t="shared" si="200"/>
        <v>ok</v>
      </c>
      <c r="KK48" s="340" t="str">
        <f t="shared" si="201"/>
        <v/>
      </c>
      <c r="KL48" s="340" t="str">
        <f t="shared" si="202"/>
        <v/>
      </c>
      <c r="KM48" s="340" t="str">
        <f t="shared" si="203"/>
        <v/>
      </c>
      <c r="KN48" s="340" t="str">
        <f t="shared" si="204"/>
        <v/>
      </c>
      <c r="KO48" s="340" t="str">
        <f t="shared" si="205"/>
        <v/>
      </c>
      <c r="KP48" s="340" t="str">
        <f t="shared" si="206"/>
        <v/>
      </c>
      <c r="KQ48" s="340" t="str">
        <f t="shared" si="207"/>
        <v/>
      </c>
      <c r="KR48" s="340" t="str">
        <f t="shared" si="208"/>
        <v/>
      </c>
      <c r="KS48" s="340" t="str">
        <f t="shared" si="209"/>
        <v/>
      </c>
      <c r="KT48" s="340" t="str">
        <f t="shared" si="210"/>
        <v/>
      </c>
      <c r="KU48" s="340" t="str">
        <f t="shared" si="211"/>
        <v/>
      </c>
      <c r="KV48" s="340" t="str">
        <f t="shared" si="212"/>
        <v/>
      </c>
      <c r="KW48" s="340" t="str">
        <f t="shared" si="213"/>
        <v/>
      </c>
      <c r="KX48" s="340" t="str">
        <f t="shared" si="214"/>
        <v/>
      </c>
      <c r="KY48" s="340" t="str">
        <f t="shared" si="215"/>
        <v/>
      </c>
      <c r="KZ48" s="340" t="str">
        <f t="shared" si="216"/>
        <v/>
      </c>
      <c r="LA48" s="340" t="str">
        <f t="shared" si="217"/>
        <v/>
      </c>
      <c r="LB48" s="340" t="str">
        <f t="shared" si="218"/>
        <v/>
      </c>
      <c r="LC48" s="340">
        <f t="shared" si="219"/>
        <v>0</v>
      </c>
      <c r="LD48" s="228">
        <v>40</v>
      </c>
      <c r="LE48" s="229" t="str">
        <f t="shared" si="220"/>
        <v/>
      </c>
      <c r="LF48" s="229" t="str">
        <f t="shared" si="221"/>
        <v/>
      </c>
      <c r="LG48" s="229" t="str">
        <f t="shared" si="222"/>
        <v/>
      </c>
      <c r="LH48" s="229" t="str">
        <f t="shared" si="223"/>
        <v/>
      </c>
      <c r="LI48" s="229" t="str">
        <f t="shared" si="224"/>
        <v/>
      </c>
      <c r="LJ48" s="229" t="str">
        <f t="shared" si="225"/>
        <v/>
      </c>
      <c r="LK48" s="229" t="str">
        <f t="shared" si="226"/>
        <v/>
      </c>
      <c r="LL48" s="229" t="str">
        <f t="shared" si="227"/>
        <v/>
      </c>
      <c r="LM48" s="229" t="str">
        <f t="shared" si="228"/>
        <v/>
      </c>
      <c r="LN48" s="229" t="str">
        <f t="shared" si="229"/>
        <v/>
      </c>
      <c r="LO48" s="229" t="str">
        <f t="shared" si="230"/>
        <v/>
      </c>
      <c r="LP48" s="229" t="str">
        <f t="shared" si="231"/>
        <v/>
      </c>
      <c r="LQ48" s="229" t="str">
        <f t="shared" si="232"/>
        <v/>
      </c>
      <c r="LR48" s="229" t="str">
        <f t="shared" si="233"/>
        <v/>
      </c>
      <c r="LS48" s="229" t="str">
        <f t="shared" si="234"/>
        <v/>
      </c>
      <c r="LT48" s="229" t="str">
        <f t="shared" si="235"/>
        <v/>
      </c>
      <c r="LU48" s="229" t="str">
        <f t="shared" si="236"/>
        <v/>
      </c>
      <c r="LV48" s="229" t="str">
        <f t="shared" si="237"/>
        <v/>
      </c>
      <c r="LW48" s="229" t="str">
        <f t="shared" si="238"/>
        <v/>
      </c>
      <c r="LX48" s="229" t="str">
        <f t="shared" si="239"/>
        <v/>
      </c>
      <c r="LY48" s="231" t="str">
        <f t="shared" si="240"/>
        <v/>
      </c>
      <c r="LZ48" s="231" t="str">
        <f t="shared" si="241"/>
        <v/>
      </c>
      <c r="MA48" s="231" t="str">
        <f t="shared" si="242"/>
        <v/>
      </c>
      <c r="MB48" s="231" t="str">
        <f t="shared" si="243"/>
        <v/>
      </c>
      <c r="MC48" s="231" t="str">
        <f t="shared" si="244"/>
        <v/>
      </c>
      <c r="MD48" s="231" t="str">
        <f t="shared" si="245"/>
        <v/>
      </c>
      <c r="ME48" s="231" t="str">
        <f t="shared" si="246"/>
        <v/>
      </c>
      <c r="MF48" s="231" t="str">
        <f t="shared" si="247"/>
        <v/>
      </c>
      <c r="MG48" s="231" t="str">
        <f t="shared" si="248"/>
        <v/>
      </c>
      <c r="MH48" s="231" t="str">
        <f t="shared" si="249"/>
        <v/>
      </c>
      <c r="MI48" s="231" t="str">
        <f t="shared" si="250"/>
        <v/>
      </c>
      <c r="MJ48" s="231" t="str">
        <f t="shared" si="251"/>
        <v/>
      </c>
      <c r="MK48" s="231" t="str">
        <f t="shared" si="252"/>
        <v/>
      </c>
      <c r="ML48" s="231" t="str">
        <f t="shared" si="253"/>
        <v/>
      </c>
      <c r="MM48" s="231" t="str">
        <f t="shared" si="254"/>
        <v/>
      </c>
      <c r="MN48" s="231" t="str">
        <f t="shared" si="255"/>
        <v/>
      </c>
      <c r="MO48" s="231" t="str">
        <f t="shared" si="256"/>
        <v/>
      </c>
      <c r="MP48" s="231" t="str">
        <f t="shared" si="257"/>
        <v/>
      </c>
      <c r="MQ48" s="231" t="str">
        <f t="shared" si="258"/>
        <v/>
      </c>
      <c r="MR48" s="231" t="str">
        <f t="shared" si="259"/>
        <v/>
      </c>
      <c r="MS48" s="231" t="str">
        <f t="shared" si="359"/>
        <v/>
      </c>
      <c r="MT48" s="232" t="str">
        <f>IF(MS48="","",IF(MS48&gt;=KONVERSI!$A$5,KONVERSI!$E$5,IF(MS48&gt;=KONVERSI!$A$6,KONVERSI!$E$6,IF(MS48&gt;=KONVERSI!$A$7,KONVERSI!$E$7,KONVERSI!$E$8))))</f>
        <v/>
      </c>
      <c r="MU48" s="233" t="str">
        <f t="shared" si="360"/>
        <v/>
      </c>
      <c r="MV48" s="234" t="str">
        <f t="shared" si="260"/>
        <v/>
      </c>
      <c r="MW48" s="232" t="str">
        <f>IF(MV48="","",IF(MV48&gt;=KONVERSI!$A$5,KONVERSI!$E$5,IF(MV48&gt;=KONVERSI!$A$6,KONVERSI!$E$6,IF(MV48&gt;=KONVERSI!$A$7,KONVERSI!$E$7,KONVERSI!$E$8))))</f>
        <v/>
      </c>
      <c r="MX48" s="134" t="str">
        <f>IF(FI48&lt;$FN$4," "&amp;KONVERSI!$C$18&amp;INDEX($LY$8:$MR$8,MATCH(MV48,LY48:MR48,0))&amp;".",IF(KG48=0,"",IF(MV48&lt;&gt;0,MU48&amp;MW48&amp;".",MU48&amp;".")))</f>
        <v/>
      </c>
      <c r="MY48" s="235" t="str">
        <f t="shared" si="261"/>
        <v/>
      </c>
      <c r="MZ48" s="235" t="str">
        <f t="shared" si="262"/>
        <v/>
      </c>
      <c r="NA48" s="235" t="str">
        <f t="shared" si="263"/>
        <v/>
      </c>
      <c r="NB48" s="235" t="str">
        <f t="shared" si="264"/>
        <v/>
      </c>
      <c r="NC48" s="235" t="str">
        <f t="shared" si="265"/>
        <v/>
      </c>
      <c r="ND48" s="235" t="str">
        <f t="shared" si="266"/>
        <v/>
      </c>
      <c r="NE48" s="235" t="str">
        <f t="shared" si="267"/>
        <v/>
      </c>
      <c r="NF48" s="235" t="str">
        <f t="shared" si="268"/>
        <v/>
      </c>
      <c r="NG48" s="235" t="str">
        <f t="shared" si="269"/>
        <v/>
      </c>
      <c r="NH48" s="235" t="str">
        <f t="shared" si="270"/>
        <v/>
      </c>
      <c r="NI48" s="235" t="str">
        <f t="shared" si="271"/>
        <v/>
      </c>
      <c r="NJ48" s="235" t="str">
        <f t="shared" si="272"/>
        <v/>
      </c>
      <c r="NK48" s="235" t="str">
        <f t="shared" si="273"/>
        <v/>
      </c>
      <c r="NL48" s="235" t="str">
        <f t="shared" si="274"/>
        <v/>
      </c>
      <c r="NM48" s="235" t="str">
        <f t="shared" si="275"/>
        <v/>
      </c>
      <c r="NN48" s="235" t="str">
        <f t="shared" si="276"/>
        <v/>
      </c>
      <c r="NO48" s="235" t="str">
        <f t="shared" si="277"/>
        <v/>
      </c>
      <c r="NP48" s="235" t="str">
        <f t="shared" si="278"/>
        <v/>
      </c>
      <c r="NQ48" s="235" t="str">
        <f t="shared" si="279"/>
        <v/>
      </c>
      <c r="NR48" s="235" t="str">
        <f t="shared" si="280"/>
        <v/>
      </c>
      <c r="NS48" s="134" t="str">
        <f t="shared" si="281"/>
        <v/>
      </c>
      <c r="NT48" s="134" t="str">
        <f t="shared" si="282"/>
        <v/>
      </c>
      <c r="NU48" s="134" t="str">
        <f t="shared" si="283"/>
        <v/>
      </c>
      <c r="NV48" s="134" t="str">
        <f t="shared" si="284"/>
        <v/>
      </c>
      <c r="NW48" s="134" t="str">
        <f t="shared" si="285"/>
        <v/>
      </c>
      <c r="NX48" s="134" t="str">
        <f t="shared" si="286"/>
        <v/>
      </c>
      <c r="NY48" s="134" t="str">
        <f t="shared" si="287"/>
        <v/>
      </c>
      <c r="NZ48" s="134" t="str">
        <f t="shared" si="288"/>
        <v/>
      </c>
      <c r="OA48" s="134" t="str">
        <f t="shared" si="289"/>
        <v/>
      </c>
      <c r="OB48" s="134" t="str">
        <f t="shared" si="290"/>
        <v/>
      </c>
      <c r="OC48" s="134" t="str">
        <f t="shared" si="291"/>
        <v/>
      </c>
      <c r="OD48" s="134" t="str">
        <f t="shared" si="292"/>
        <v/>
      </c>
      <c r="OE48" s="134" t="str">
        <f t="shared" si="293"/>
        <v/>
      </c>
      <c r="OF48" s="134" t="str">
        <f t="shared" si="294"/>
        <v/>
      </c>
      <c r="OG48" s="134" t="str">
        <f t="shared" si="295"/>
        <v/>
      </c>
      <c r="OH48" s="134" t="str">
        <f t="shared" si="296"/>
        <v/>
      </c>
      <c r="OI48" s="134" t="str">
        <f t="shared" si="297"/>
        <v/>
      </c>
      <c r="OJ48" s="134" t="str">
        <f t="shared" si="298"/>
        <v/>
      </c>
      <c r="OK48" s="134" t="str">
        <f t="shared" si="299"/>
        <v/>
      </c>
      <c r="OL48" s="134" t="str">
        <f t="shared" si="300"/>
        <v/>
      </c>
      <c r="OM48" s="134" t="str">
        <f t="shared" si="301"/>
        <v/>
      </c>
      <c r="ON48" s="134" t="str">
        <f t="shared" si="302"/>
        <v>  </v>
      </c>
      <c r="OO48" s="236">
        <f t="shared" si="361"/>
        <v>0</v>
      </c>
      <c r="OP48" s="235" t="str">
        <f t="shared" si="303"/>
        <v/>
      </c>
      <c r="OQ48" s="235" t="str">
        <f t="shared" si="304"/>
        <v/>
      </c>
      <c r="OR48" s="235" t="str">
        <f t="shared" si="305"/>
        <v/>
      </c>
      <c r="OS48" s="235" t="str">
        <f t="shared" si="306"/>
        <v/>
      </c>
      <c r="OT48" s="235" t="str">
        <f t="shared" si="307"/>
        <v/>
      </c>
      <c r="OU48" s="235" t="str">
        <f t="shared" si="308"/>
        <v/>
      </c>
      <c r="OV48" s="235" t="str">
        <f t="shared" si="309"/>
        <v/>
      </c>
      <c r="OW48" s="235" t="str">
        <f t="shared" si="310"/>
        <v/>
      </c>
      <c r="OX48" s="235" t="str">
        <f t="shared" si="311"/>
        <v/>
      </c>
      <c r="OY48" s="235" t="str">
        <f t="shared" si="312"/>
        <v/>
      </c>
      <c r="OZ48" s="235" t="str">
        <f t="shared" si="313"/>
        <v/>
      </c>
      <c r="PA48" s="235" t="str">
        <f t="shared" si="314"/>
        <v/>
      </c>
      <c r="PB48" s="235" t="str">
        <f t="shared" si="315"/>
        <v/>
      </c>
      <c r="PC48" s="235" t="str">
        <f t="shared" si="316"/>
        <v/>
      </c>
      <c r="PD48" s="235" t="str">
        <f t="shared" si="317"/>
        <v/>
      </c>
      <c r="PE48" s="235" t="str">
        <f t="shared" si="318"/>
        <v/>
      </c>
      <c r="PF48" s="235" t="str">
        <f t="shared" si="319"/>
        <v/>
      </c>
      <c r="PG48" s="235" t="str">
        <f t="shared" si="320"/>
        <v/>
      </c>
      <c r="PH48" s="235" t="str">
        <f t="shared" si="321"/>
        <v/>
      </c>
      <c r="PI48" s="235" t="str">
        <f t="shared" si="322"/>
        <v/>
      </c>
      <c r="PJ48" s="134" t="str">
        <f t="shared" si="323"/>
        <v/>
      </c>
      <c r="PK48" s="134" t="str">
        <f t="shared" si="324"/>
        <v/>
      </c>
      <c r="PL48" s="134" t="str">
        <f t="shared" si="325"/>
        <v/>
      </c>
      <c r="PM48" s="134" t="str">
        <f t="shared" si="326"/>
        <v/>
      </c>
      <c r="PN48" s="134" t="str">
        <f t="shared" si="327"/>
        <v/>
      </c>
      <c r="PO48" s="134" t="str">
        <f t="shared" si="328"/>
        <v/>
      </c>
      <c r="PP48" s="134" t="str">
        <f t="shared" si="329"/>
        <v/>
      </c>
      <c r="PQ48" s="134" t="str">
        <f t="shared" si="330"/>
        <v/>
      </c>
      <c r="PR48" s="134" t="str">
        <f t="shared" si="331"/>
        <v/>
      </c>
      <c r="PS48" s="134" t="str">
        <f t="shared" si="332"/>
        <v/>
      </c>
      <c r="PT48" s="134" t="str">
        <f t="shared" si="333"/>
        <v/>
      </c>
      <c r="PU48" s="134" t="str">
        <f t="shared" si="334"/>
        <v/>
      </c>
      <c r="PV48" s="134" t="str">
        <f t="shared" si="335"/>
        <v/>
      </c>
      <c r="PW48" s="134" t="str">
        <f t="shared" si="336"/>
        <v/>
      </c>
      <c r="PX48" s="134" t="str">
        <f t="shared" si="337"/>
        <v/>
      </c>
      <c r="PY48" s="134" t="str">
        <f t="shared" si="338"/>
        <v/>
      </c>
      <c r="PZ48" s="134" t="str">
        <f t="shared" si="339"/>
        <v/>
      </c>
      <c r="QA48" s="134" t="str">
        <f t="shared" si="340"/>
        <v/>
      </c>
      <c r="QB48" s="134" t="str">
        <f t="shared" si="341"/>
        <v/>
      </c>
      <c r="QC48" s="134" t="str">
        <f t="shared" si="342"/>
        <v/>
      </c>
      <c r="QD48" s="134" t="str">
        <f>IF(MT48=MW48,"",IF(MV48="","",IF(MV48&gt;=KONVERSI!$A$7,'KI3'!MW48&amp;" dalam"&amp;PJ48&amp;PK48&amp;PL48&amp;PM48&amp;PN48&amp;PO48&amp;PP48&amp;PQ48&amp;PR48&amp;PS48&amp;PT48&amp;PU48&amp;PV48&amp;PW48&amp;PX48&amp;PY48&amp;PZ48&amp;QA48&amp;QB48&amp;QC48,KONVERSI!$C$18&amp;" dalam"&amp;PJ48&amp;PK48&amp;PL48&amp;PM48&amp;PN48&amp;PO48&amp;PP48&amp;PQ48&amp;PR48&amp;PS48&amp;PT48&amp;PU48&amp;PV48&amp;PW48&amp;PX48&amp;PY48&amp;PZ48&amp;QA48&amp;QB48&amp;QC48)))</f>
        <v/>
      </c>
      <c r="QE48" s="134" t="str">
        <f t="shared" si="343"/>
        <v/>
      </c>
      <c r="QF48" s="236">
        <f t="shared" si="362"/>
        <v>0</v>
      </c>
      <c r="QG48" s="134" t="str">
        <f t="shared" si="363"/>
        <v/>
      </c>
    </row>
    <row r="49" ht="27.6" customHeight="1" spans="1:449">
      <c r="A49" s="136"/>
      <c r="B49" s="177">
        <v>41</v>
      </c>
      <c r="C49" s="178">
        <f>siswa!C45</f>
        <v>0</v>
      </c>
      <c r="D49" s="174">
        <f>siswa!D45</f>
        <v>0</v>
      </c>
      <c r="E49" s="181"/>
      <c r="F49" s="176"/>
      <c r="G49" s="176"/>
      <c r="H49" s="176"/>
      <c r="I49" s="176"/>
      <c r="J49" s="176"/>
      <c r="K49" s="176"/>
      <c r="L49" s="223" t="str">
        <f t="shared" si="174"/>
        <v/>
      </c>
      <c r="M49" s="181"/>
      <c r="N49" s="176"/>
      <c r="O49" s="176"/>
      <c r="P49" s="176"/>
      <c r="Q49" s="176"/>
      <c r="R49" s="176"/>
      <c r="S49" s="176"/>
      <c r="T49" s="223" t="str">
        <f t="shared" si="175"/>
        <v/>
      </c>
      <c r="U49" s="181"/>
      <c r="V49" s="176"/>
      <c r="W49" s="176"/>
      <c r="X49" s="176"/>
      <c r="Y49" s="176"/>
      <c r="Z49" s="176"/>
      <c r="AA49" s="176"/>
      <c r="AB49" s="223">
        <f t="shared" si="176"/>
        <v>0</v>
      </c>
      <c r="AC49" s="181"/>
      <c r="AD49" s="176"/>
      <c r="AE49" s="176"/>
      <c r="AF49" s="176"/>
      <c r="AG49" s="176"/>
      <c r="AH49" s="176"/>
      <c r="AI49" s="176"/>
      <c r="AJ49" s="223">
        <f t="shared" si="177"/>
        <v>0</v>
      </c>
      <c r="AK49" s="181"/>
      <c r="AL49" s="176"/>
      <c r="AM49" s="176"/>
      <c r="AN49" s="176"/>
      <c r="AO49" s="176"/>
      <c r="AP49" s="176"/>
      <c r="AQ49" s="176"/>
      <c r="AR49" s="223">
        <f t="shared" si="178"/>
        <v>0</v>
      </c>
      <c r="AS49" s="181"/>
      <c r="AT49" s="176"/>
      <c r="AU49" s="176"/>
      <c r="AV49" s="176"/>
      <c r="AW49" s="176"/>
      <c r="AX49" s="176"/>
      <c r="AY49" s="176"/>
      <c r="AZ49" s="223">
        <f t="shared" si="179"/>
        <v>0</v>
      </c>
      <c r="BA49" s="181"/>
      <c r="BB49" s="176"/>
      <c r="BC49" s="176"/>
      <c r="BD49" s="176"/>
      <c r="BE49" s="176"/>
      <c r="BF49" s="176"/>
      <c r="BG49" s="176"/>
      <c r="BH49" s="223">
        <f t="shared" si="180"/>
        <v>0</v>
      </c>
      <c r="BI49" s="181"/>
      <c r="BJ49" s="176"/>
      <c r="BK49" s="176"/>
      <c r="BL49" s="176"/>
      <c r="BM49" s="176"/>
      <c r="BN49" s="176"/>
      <c r="BO49" s="176"/>
      <c r="BP49" s="223">
        <f t="shared" si="181"/>
        <v>0</v>
      </c>
      <c r="BQ49" s="181"/>
      <c r="BR49" s="176"/>
      <c r="BS49" s="176"/>
      <c r="BT49" s="176"/>
      <c r="BU49" s="176"/>
      <c r="BV49" s="176"/>
      <c r="BW49" s="176"/>
      <c r="BX49" s="223">
        <f t="shared" si="182"/>
        <v>0</v>
      </c>
      <c r="BY49" s="181"/>
      <c r="BZ49" s="176"/>
      <c r="CA49" s="176"/>
      <c r="CB49" s="176"/>
      <c r="CC49" s="176"/>
      <c r="CD49" s="176"/>
      <c r="CE49" s="176"/>
      <c r="CF49" s="223">
        <f t="shared" si="183"/>
        <v>0</v>
      </c>
      <c r="CG49" s="181"/>
      <c r="CH49" s="176"/>
      <c r="CI49" s="176"/>
      <c r="CJ49" s="176"/>
      <c r="CK49" s="176"/>
      <c r="CL49" s="176"/>
      <c r="CM49" s="176"/>
      <c r="CN49" s="223">
        <f t="shared" si="184"/>
        <v>0</v>
      </c>
      <c r="CO49" s="181"/>
      <c r="CP49" s="176"/>
      <c r="CQ49" s="176"/>
      <c r="CR49" s="176"/>
      <c r="CS49" s="176"/>
      <c r="CT49" s="176"/>
      <c r="CU49" s="176"/>
      <c r="CV49" s="223">
        <f t="shared" si="185"/>
        <v>0</v>
      </c>
      <c r="CW49" s="181"/>
      <c r="CX49" s="176"/>
      <c r="CY49" s="176"/>
      <c r="CZ49" s="176"/>
      <c r="DA49" s="176"/>
      <c r="DB49" s="176"/>
      <c r="DC49" s="176"/>
      <c r="DD49" s="223">
        <f t="shared" si="186"/>
        <v>0</v>
      </c>
      <c r="DE49" s="181"/>
      <c r="DF49" s="176"/>
      <c r="DG49" s="176"/>
      <c r="DH49" s="176"/>
      <c r="DI49" s="176"/>
      <c r="DJ49" s="176"/>
      <c r="DK49" s="176"/>
      <c r="DL49" s="223">
        <f t="shared" si="187"/>
        <v>0</v>
      </c>
      <c r="DM49" s="181"/>
      <c r="DN49" s="176"/>
      <c r="DO49" s="176"/>
      <c r="DP49" s="176"/>
      <c r="DQ49" s="176"/>
      <c r="DR49" s="176"/>
      <c r="DS49" s="176"/>
      <c r="DT49" s="223">
        <f t="shared" si="188"/>
        <v>0</v>
      </c>
      <c r="DU49" s="181"/>
      <c r="DV49" s="176"/>
      <c r="DW49" s="176"/>
      <c r="DX49" s="176"/>
      <c r="DY49" s="176"/>
      <c r="DZ49" s="176"/>
      <c r="EA49" s="176"/>
      <c r="EB49" s="223">
        <f t="shared" si="189"/>
        <v>0</v>
      </c>
      <c r="EC49" s="181"/>
      <c r="ED49" s="176"/>
      <c r="EE49" s="176"/>
      <c r="EF49" s="176"/>
      <c r="EG49" s="176"/>
      <c r="EH49" s="176"/>
      <c r="EI49" s="176"/>
      <c r="EJ49" s="223">
        <f t="shared" si="190"/>
        <v>0</v>
      </c>
      <c r="EK49" s="181"/>
      <c r="EL49" s="176"/>
      <c r="EM49" s="176"/>
      <c r="EN49" s="176"/>
      <c r="EO49" s="176"/>
      <c r="EP49" s="176"/>
      <c r="EQ49" s="176"/>
      <c r="ER49" s="223">
        <f t="shared" si="191"/>
        <v>0</v>
      </c>
      <c r="ES49" s="181"/>
      <c r="ET49" s="176"/>
      <c r="EU49" s="176"/>
      <c r="EV49" s="176"/>
      <c r="EW49" s="176"/>
      <c r="EX49" s="176"/>
      <c r="EY49" s="176"/>
      <c r="EZ49" s="223">
        <f t="shared" si="192"/>
        <v>0</v>
      </c>
      <c r="FA49" s="181"/>
      <c r="FB49" s="176"/>
      <c r="FC49" s="176"/>
      <c r="FD49" s="176"/>
      <c r="FE49" s="176"/>
      <c r="FF49" s="176"/>
      <c r="FG49" s="176"/>
      <c r="FH49" s="223">
        <f t="shared" si="193"/>
        <v>0</v>
      </c>
      <c r="FI49" s="291" t="str">
        <f t="shared" si="194"/>
        <v/>
      </c>
      <c r="FJ49" s="250"/>
      <c r="FK49" s="250"/>
      <c r="FL49" s="291" t="str">
        <f t="shared" si="195"/>
        <v/>
      </c>
      <c r="FM49" s="312" t="str">
        <f>IFERROR(IF(FL49="","",IF(FL49&gt;=KONVERSI!$A$5,KONVERSI!$D$5,IF(FL49&gt;=KONVERSI!$A$6,KONVERSI!$D$6,IF(FL49&gt;=KONVERSI!$A$7,KONVERSI!$D$7,KONVERSI!$D$8)))),"")</f>
        <v/>
      </c>
      <c r="FN49" s="232" t="str">
        <f t="shared" si="196"/>
        <v/>
      </c>
      <c r="FO49" s="313"/>
      <c r="FP49" s="314">
        <f t="shared" si="197"/>
        <v>0</v>
      </c>
      <c r="FQ49" s="194" t="str">
        <f t="shared" si="33"/>
        <v/>
      </c>
      <c r="FR49" s="194" t="str">
        <f t="shared" si="34"/>
        <v/>
      </c>
      <c r="FS49" s="194" t="str">
        <f t="shared" si="35"/>
        <v/>
      </c>
      <c r="FT49" s="194" t="str">
        <f t="shared" si="36"/>
        <v/>
      </c>
      <c r="FU49" s="194" t="str">
        <f t="shared" si="37"/>
        <v/>
      </c>
      <c r="FV49" s="194" t="str">
        <f t="shared" si="345"/>
        <v/>
      </c>
      <c r="FW49" s="194" t="str">
        <f t="shared" si="39"/>
        <v/>
      </c>
      <c r="FX49" s="194" t="str">
        <f t="shared" si="344"/>
        <v/>
      </c>
      <c r="FY49" s="194" t="str">
        <f t="shared" si="40"/>
        <v/>
      </c>
      <c r="FZ49" s="194" t="str">
        <f t="shared" si="41"/>
        <v/>
      </c>
      <c r="GA49" s="194" t="str">
        <f t="shared" si="42"/>
        <v/>
      </c>
      <c r="GB49" s="194" t="str">
        <f t="shared" si="346"/>
        <v/>
      </c>
      <c r="GC49" s="194" t="str">
        <f t="shared" si="44"/>
        <v/>
      </c>
      <c r="GD49" s="194" t="str">
        <f t="shared" si="45"/>
        <v/>
      </c>
      <c r="GE49" s="194" t="str">
        <f t="shared" si="46"/>
        <v/>
      </c>
      <c r="GF49" s="194" t="str">
        <f t="shared" si="47"/>
        <v/>
      </c>
      <c r="GG49" s="194" t="str">
        <f t="shared" si="48"/>
        <v/>
      </c>
      <c r="GH49" s="194" t="str">
        <f t="shared" si="347"/>
        <v/>
      </c>
      <c r="GI49" s="194" t="str">
        <f t="shared" si="50"/>
        <v/>
      </c>
      <c r="GJ49" s="194" t="str">
        <f t="shared" si="51"/>
        <v/>
      </c>
      <c r="GK49" s="194" t="str">
        <f t="shared" si="52"/>
        <v/>
      </c>
      <c r="GL49" s="194" t="str">
        <f t="shared" si="53"/>
        <v/>
      </c>
      <c r="GM49" s="194" t="str">
        <f t="shared" si="54"/>
        <v/>
      </c>
      <c r="GN49" s="194" t="str">
        <f t="shared" si="348"/>
        <v/>
      </c>
      <c r="GO49" s="194" t="str">
        <f t="shared" si="56"/>
        <v/>
      </c>
      <c r="GP49" s="194" t="str">
        <f t="shared" si="57"/>
        <v/>
      </c>
      <c r="GQ49" s="194" t="str">
        <f t="shared" si="58"/>
        <v/>
      </c>
      <c r="GR49" s="194" t="str">
        <f t="shared" si="59"/>
        <v/>
      </c>
      <c r="GS49" s="194" t="str">
        <f t="shared" si="60"/>
        <v/>
      </c>
      <c r="GT49" s="194" t="str">
        <f t="shared" si="349"/>
        <v/>
      </c>
      <c r="GU49" s="194" t="str">
        <f t="shared" si="62"/>
        <v/>
      </c>
      <c r="GV49" s="194" t="str">
        <f t="shared" si="63"/>
        <v/>
      </c>
      <c r="GW49" s="194" t="str">
        <f t="shared" si="64"/>
        <v/>
      </c>
      <c r="GX49" s="194" t="str">
        <f t="shared" si="65"/>
        <v/>
      </c>
      <c r="GY49" s="194" t="str">
        <f t="shared" si="66"/>
        <v/>
      </c>
      <c r="GZ49" s="194" t="str">
        <f t="shared" si="350"/>
        <v/>
      </c>
      <c r="HA49" s="194" t="str">
        <f t="shared" si="68"/>
        <v/>
      </c>
      <c r="HB49" s="194" t="str">
        <f t="shared" si="69"/>
        <v/>
      </c>
      <c r="HC49" s="194" t="str">
        <f t="shared" si="70"/>
        <v/>
      </c>
      <c r="HD49" s="194" t="str">
        <f t="shared" si="71"/>
        <v/>
      </c>
      <c r="HE49" s="194" t="str">
        <f t="shared" si="72"/>
        <v/>
      </c>
      <c r="HF49" s="194" t="str">
        <f t="shared" si="351"/>
        <v/>
      </c>
      <c r="HG49" s="194" t="str">
        <f t="shared" si="74"/>
        <v/>
      </c>
      <c r="HH49" s="194" t="str">
        <f t="shared" si="75"/>
        <v/>
      </c>
      <c r="HI49" s="194" t="str">
        <f t="shared" si="76"/>
        <v/>
      </c>
      <c r="HJ49" s="194" t="str">
        <f t="shared" si="77"/>
        <v/>
      </c>
      <c r="HK49" s="194" t="str">
        <f t="shared" si="78"/>
        <v/>
      </c>
      <c r="HL49" s="194" t="str">
        <f t="shared" si="352"/>
        <v/>
      </c>
      <c r="HM49" s="194" t="str">
        <f t="shared" si="80"/>
        <v/>
      </c>
      <c r="HN49" s="194" t="str">
        <f t="shared" si="81"/>
        <v/>
      </c>
      <c r="HO49" s="194" t="str">
        <f t="shared" si="82"/>
        <v/>
      </c>
      <c r="HP49" s="194" t="str">
        <f t="shared" si="83"/>
        <v/>
      </c>
      <c r="HQ49" s="194" t="str">
        <f t="shared" si="84"/>
        <v/>
      </c>
      <c r="HR49" s="194" t="str">
        <f t="shared" si="353"/>
        <v/>
      </c>
      <c r="HS49" s="194" t="str">
        <f t="shared" si="86"/>
        <v/>
      </c>
      <c r="HT49" s="194" t="str">
        <f t="shared" si="87"/>
        <v/>
      </c>
      <c r="HU49" s="194" t="str">
        <f t="shared" si="88"/>
        <v/>
      </c>
      <c r="HV49" s="194" t="str">
        <f t="shared" si="89"/>
        <v/>
      </c>
      <c r="HW49" s="194" t="str">
        <f t="shared" si="90"/>
        <v/>
      </c>
      <c r="HX49" s="194" t="str">
        <f t="shared" si="354"/>
        <v/>
      </c>
      <c r="HY49" s="194" t="str">
        <f t="shared" si="92"/>
        <v/>
      </c>
      <c r="HZ49" s="194" t="str">
        <f t="shared" si="93"/>
        <v/>
      </c>
      <c r="IA49" s="194" t="str">
        <f t="shared" si="94"/>
        <v/>
      </c>
      <c r="IB49" s="194" t="str">
        <f t="shared" si="95"/>
        <v/>
      </c>
      <c r="IC49" s="194" t="str">
        <f t="shared" si="96"/>
        <v/>
      </c>
      <c r="ID49" s="194" t="str">
        <f t="shared" si="355"/>
        <v/>
      </c>
      <c r="IE49" s="194" t="str">
        <f t="shared" si="98"/>
        <v/>
      </c>
      <c r="IF49" s="194" t="str">
        <f t="shared" si="99"/>
        <v/>
      </c>
      <c r="IG49" s="194" t="str">
        <f t="shared" si="100"/>
        <v/>
      </c>
      <c r="IH49" s="194" t="str">
        <f t="shared" si="101"/>
        <v/>
      </c>
      <c r="II49" s="194" t="str">
        <f t="shared" si="102"/>
        <v/>
      </c>
      <c r="IJ49" s="194" t="str">
        <f t="shared" si="356"/>
        <v/>
      </c>
      <c r="IK49" s="194" t="str">
        <f t="shared" si="104"/>
        <v/>
      </c>
      <c r="IL49" s="194" t="str">
        <f t="shared" si="105"/>
        <v/>
      </c>
      <c r="IM49" s="194" t="str">
        <f t="shared" si="106"/>
        <v/>
      </c>
      <c r="IN49" s="194" t="str">
        <f t="shared" si="107"/>
        <v/>
      </c>
      <c r="IO49" s="194" t="str">
        <f t="shared" si="108"/>
        <v/>
      </c>
      <c r="IP49" s="194" t="str">
        <f t="shared" si="357"/>
        <v/>
      </c>
      <c r="IQ49" s="194" t="str">
        <f t="shared" si="110"/>
        <v/>
      </c>
      <c r="IR49" s="194" t="str">
        <f t="shared" si="111"/>
        <v/>
      </c>
      <c r="IS49" s="194" t="str">
        <f t="shared" si="112"/>
        <v/>
      </c>
      <c r="IT49" s="194" t="str">
        <f t="shared" si="113"/>
        <v/>
      </c>
      <c r="IU49" s="194" t="str">
        <f t="shared" si="114"/>
        <v/>
      </c>
      <c r="IV49" s="194" t="str">
        <f t="shared" si="358"/>
        <v/>
      </c>
      <c r="IW49" s="194" t="str">
        <f t="shared" si="364"/>
        <v/>
      </c>
      <c r="IX49" s="194" t="str">
        <f t="shared" si="365"/>
        <v/>
      </c>
      <c r="IY49" s="194" t="str">
        <f t="shared" si="366"/>
        <v/>
      </c>
      <c r="IZ49" s="194" t="str">
        <f t="shared" si="367"/>
        <v/>
      </c>
      <c r="JA49" s="194" t="str">
        <f t="shared" si="368"/>
        <v/>
      </c>
      <c r="JB49" s="194" t="str">
        <f t="shared" si="369"/>
        <v/>
      </c>
      <c r="JC49" s="194" t="str">
        <f t="shared" si="370"/>
        <v/>
      </c>
      <c r="JD49" s="194" t="str">
        <f t="shared" si="371"/>
        <v/>
      </c>
      <c r="JE49" s="194" t="str">
        <f t="shared" si="372"/>
        <v/>
      </c>
      <c r="JF49" s="194" t="str">
        <f t="shared" si="373"/>
        <v/>
      </c>
      <c r="JG49" s="194" t="str">
        <f t="shared" si="374"/>
        <v/>
      </c>
      <c r="JH49" s="194" t="str">
        <f t="shared" si="379"/>
        <v/>
      </c>
      <c r="JI49" s="194" t="str">
        <f t="shared" si="380"/>
        <v/>
      </c>
      <c r="JJ49" s="194" t="str">
        <f t="shared" si="381"/>
        <v/>
      </c>
      <c r="JK49" s="194" t="str">
        <f t="shared" si="382"/>
        <v/>
      </c>
      <c r="JL49" s="194" t="str">
        <f t="shared" si="383"/>
        <v/>
      </c>
      <c r="JM49" s="194" t="str">
        <f t="shared" si="384"/>
        <v/>
      </c>
      <c r="JN49" s="194" t="str">
        <f t="shared" si="385"/>
        <v/>
      </c>
      <c r="JO49" s="194" t="str">
        <f t="shared" si="386"/>
        <v/>
      </c>
      <c r="JP49" s="194" t="str">
        <f t="shared" si="387"/>
        <v/>
      </c>
      <c r="JQ49" s="194" t="str">
        <f t="shared" si="388"/>
        <v/>
      </c>
      <c r="JR49" s="194" t="str">
        <f t="shared" si="389"/>
        <v/>
      </c>
      <c r="JS49" s="194" t="str">
        <f t="shared" si="390"/>
        <v/>
      </c>
      <c r="JT49" s="194" t="str">
        <f t="shared" si="391"/>
        <v/>
      </c>
      <c r="JU49" s="194" t="str">
        <f t="shared" si="392"/>
        <v/>
      </c>
      <c r="JV49" s="194" t="str">
        <f t="shared" si="393"/>
        <v/>
      </c>
      <c r="JW49" s="194" t="str">
        <f t="shared" si="394"/>
        <v/>
      </c>
      <c r="JX49" s="194" t="str">
        <f t="shared" si="395"/>
        <v/>
      </c>
      <c r="JY49" s="194" t="str">
        <f t="shared" si="396"/>
        <v/>
      </c>
      <c r="JZ49" s="194" t="str">
        <f t="shared" si="397"/>
        <v/>
      </c>
      <c r="KA49" s="194" t="str">
        <f t="shared" si="398"/>
        <v/>
      </c>
      <c r="KB49" s="194" t="str">
        <f t="shared" si="399"/>
        <v/>
      </c>
      <c r="KC49" s="194" t="str">
        <f t="shared" si="400"/>
        <v/>
      </c>
      <c r="KD49" s="194" t="str">
        <f t="shared" si="401"/>
        <v/>
      </c>
      <c r="KE49" s="194" t="str">
        <f t="shared" si="402"/>
        <v/>
      </c>
      <c r="KF49" s="194" t="str">
        <f t="shared" si="403"/>
        <v/>
      </c>
      <c r="KG49" s="194">
        <f>SUM(LE49:LX49)/COUNTA(RefKI3KI4!$B$5:$B$24)</f>
        <v>0</v>
      </c>
      <c r="KH49" s="232">
        <f t="shared" si="198"/>
        <v>0</v>
      </c>
      <c r="KI49" s="340" t="str">
        <f t="shared" si="199"/>
        <v>ok</v>
      </c>
      <c r="KJ49" s="340" t="str">
        <f t="shared" si="200"/>
        <v>ok</v>
      </c>
      <c r="KK49" s="340" t="str">
        <f t="shared" si="201"/>
        <v/>
      </c>
      <c r="KL49" s="340" t="str">
        <f t="shared" si="202"/>
        <v/>
      </c>
      <c r="KM49" s="340" t="str">
        <f t="shared" si="203"/>
        <v/>
      </c>
      <c r="KN49" s="340" t="str">
        <f t="shared" si="204"/>
        <v/>
      </c>
      <c r="KO49" s="340" t="str">
        <f t="shared" si="205"/>
        <v/>
      </c>
      <c r="KP49" s="340" t="str">
        <f t="shared" si="206"/>
        <v/>
      </c>
      <c r="KQ49" s="340" t="str">
        <f t="shared" si="207"/>
        <v/>
      </c>
      <c r="KR49" s="340" t="str">
        <f t="shared" si="208"/>
        <v/>
      </c>
      <c r="KS49" s="340" t="str">
        <f t="shared" si="209"/>
        <v/>
      </c>
      <c r="KT49" s="340" t="str">
        <f t="shared" si="210"/>
        <v/>
      </c>
      <c r="KU49" s="340" t="str">
        <f t="shared" si="211"/>
        <v/>
      </c>
      <c r="KV49" s="340" t="str">
        <f t="shared" si="212"/>
        <v/>
      </c>
      <c r="KW49" s="340" t="str">
        <f t="shared" si="213"/>
        <v/>
      </c>
      <c r="KX49" s="340" t="str">
        <f t="shared" si="214"/>
        <v/>
      </c>
      <c r="KY49" s="340" t="str">
        <f t="shared" si="215"/>
        <v/>
      </c>
      <c r="KZ49" s="340" t="str">
        <f t="shared" si="216"/>
        <v/>
      </c>
      <c r="LA49" s="340" t="str">
        <f t="shared" si="217"/>
        <v/>
      </c>
      <c r="LB49" s="340" t="str">
        <f t="shared" si="218"/>
        <v/>
      </c>
      <c r="LC49" s="340">
        <f t="shared" si="219"/>
        <v>0</v>
      </c>
      <c r="LD49" s="228">
        <v>41</v>
      </c>
      <c r="LE49" s="229" t="str">
        <f t="shared" si="220"/>
        <v/>
      </c>
      <c r="LF49" s="229" t="str">
        <f t="shared" si="221"/>
        <v/>
      </c>
      <c r="LG49" s="229" t="str">
        <f t="shared" si="222"/>
        <v/>
      </c>
      <c r="LH49" s="229" t="str">
        <f t="shared" si="223"/>
        <v/>
      </c>
      <c r="LI49" s="229" t="str">
        <f t="shared" si="224"/>
        <v/>
      </c>
      <c r="LJ49" s="229" t="str">
        <f t="shared" si="225"/>
        <v/>
      </c>
      <c r="LK49" s="229" t="str">
        <f t="shared" si="226"/>
        <v/>
      </c>
      <c r="LL49" s="229" t="str">
        <f t="shared" si="227"/>
        <v/>
      </c>
      <c r="LM49" s="229" t="str">
        <f t="shared" si="228"/>
        <v/>
      </c>
      <c r="LN49" s="229" t="str">
        <f t="shared" si="229"/>
        <v/>
      </c>
      <c r="LO49" s="229" t="str">
        <f t="shared" si="230"/>
        <v/>
      </c>
      <c r="LP49" s="229" t="str">
        <f t="shared" si="231"/>
        <v/>
      </c>
      <c r="LQ49" s="229" t="str">
        <f t="shared" si="232"/>
        <v/>
      </c>
      <c r="LR49" s="229" t="str">
        <f t="shared" si="233"/>
        <v/>
      </c>
      <c r="LS49" s="229" t="str">
        <f t="shared" si="234"/>
        <v/>
      </c>
      <c r="LT49" s="229" t="str">
        <f t="shared" si="235"/>
        <v/>
      </c>
      <c r="LU49" s="229" t="str">
        <f t="shared" si="236"/>
        <v/>
      </c>
      <c r="LV49" s="229" t="str">
        <f t="shared" si="237"/>
        <v/>
      </c>
      <c r="LW49" s="229" t="str">
        <f t="shared" si="238"/>
        <v/>
      </c>
      <c r="LX49" s="229" t="str">
        <f t="shared" si="239"/>
        <v/>
      </c>
      <c r="LY49" s="231" t="str">
        <f t="shared" si="240"/>
        <v/>
      </c>
      <c r="LZ49" s="231" t="str">
        <f t="shared" si="241"/>
        <v/>
      </c>
      <c r="MA49" s="231" t="str">
        <f t="shared" si="242"/>
        <v/>
      </c>
      <c r="MB49" s="231" t="str">
        <f t="shared" si="243"/>
        <v/>
      </c>
      <c r="MC49" s="231" t="str">
        <f t="shared" si="244"/>
        <v/>
      </c>
      <c r="MD49" s="231" t="str">
        <f t="shared" si="245"/>
        <v/>
      </c>
      <c r="ME49" s="231" t="str">
        <f t="shared" si="246"/>
        <v/>
      </c>
      <c r="MF49" s="231" t="str">
        <f t="shared" si="247"/>
        <v/>
      </c>
      <c r="MG49" s="231" t="str">
        <f t="shared" si="248"/>
        <v/>
      </c>
      <c r="MH49" s="231" t="str">
        <f t="shared" si="249"/>
        <v/>
      </c>
      <c r="MI49" s="231" t="str">
        <f t="shared" si="250"/>
        <v/>
      </c>
      <c r="MJ49" s="231" t="str">
        <f t="shared" si="251"/>
        <v/>
      </c>
      <c r="MK49" s="231" t="str">
        <f t="shared" si="252"/>
        <v/>
      </c>
      <c r="ML49" s="231" t="str">
        <f t="shared" si="253"/>
        <v/>
      </c>
      <c r="MM49" s="231" t="str">
        <f t="shared" si="254"/>
        <v/>
      </c>
      <c r="MN49" s="231" t="str">
        <f t="shared" si="255"/>
        <v/>
      </c>
      <c r="MO49" s="231" t="str">
        <f t="shared" si="256"/>
        <v/>
      </c>
      <c r="MP49" s="231" t="str">
        <f t="shared" si="257"/>
        <v/>
      </c>
      <c r="MQ49" s="231" t="str">
        <f t="shared" si="258"/>
        <v/>
      </c>
      <c r="MR49" s="231" t="str">
        <f t="shared" si="259"/>
        <v/>
      </c>
      <c r="MS49" s="231" t="str">
        <f t="shared" si="359"/>
        <v/>
      </c>
      <c r="MT49" s="232" t="str">
        <f>IF(MS49="","",IF(MS49&gt;=KONVERSI!$A$5,KONVERSI!$E$5,IF(MS49&gt;=KONVERSI!$A$6,KONVERSI!$E$6,IF(MS49&gt;=KONVERSI!$A$7,KONVERSI!$E$7,KONVERSI!$E$8))))</f>
        <v/>
      </c>
      <c r="MU49" s="233" t="str">
        <f t="shared" si="360"/>
        <v/>
      </c>
      <c r="MV49" s="234" t="str">
        <f t="shared" si="260"/>
        <v/>
      </c>
      <c r="MW49" s="232" t="str">
        <f>IF(MV49="","",IF(MV49&gt;=KONVERSI!$A$5,KONVERSI!$E$5,IF(MV49&gt;=KONVERSI!$A$6,KONVERSI!$E$6,IF(MV49&gt;=KONVERSI!$A$7,KONVERSI!$E$7,KONVERSI!$E$8))))</f>
        <v/>
      </c>
      <c r="MX49" s="134" t="str">
        <f>IF(FI49&lt;$FN$4," "&amp;KONVERSI!$C$18&amp;INDEX($LY$8:$MR$8,MATCH(MV49,LY49:MR49,0))&amp;".",IF(KG49=0,"",IF(MV49&lt;&gt;0,MU49&amp;MW49&amp;".",MU49&amp;".")))</f>
        <v/>
      </c>
      <c r="MY49" s="235" t="str">
        <f t="shared" si="261"/>
        <v/>
      </c>
      <c r="MZ49" s="235" t="str">
        <f t="shared" si="262"/>
        <v/>
      </c>
      <c r="NA49" s="235" t="str">
        <f t="shared" si="263"/>
        <v/>
      </c>
      <c r="NB49" s="235" t="str">
        <f t="shared" si="264"/>
        <v/>
      </c>
      <c r="NC49" s="235" t="str">
        <f t="shared" si="265"/>
        <v/>
      </c>
      <c r="ND49" s="235" t="str">
        <f t="shared" si="266"/>
        <v/>
      </c>
      <c r="NE49" s="235" t="str">
        <f t="shared" si="267"/>
        <v/>
      </c>
      <c r="NF49" s="235" t="str">
        <f t="shared" si="268"/>
        <v/>
      </c>
      <c r="NG49" s="235" t="str">
        <f t="shared" si="269"/>
        <v/>
      </c>
      <c r="NH49" s="235" t="str">
        <f t="shared" si="270"/>
        <v/>
      </c>
      <c r="NI49" s="235" t="str">
        <f t="shared" si="271"/>
        <v/>
      </c>
      <c r="NJ49" s="235" t="str">
        <f t="shared" si="272"/>
        <v/>
      </c>
      <c r="NK49" s="235" t="str">
        <f t="shared" si="273"/>
        <v/>
      </c>
      <c r="NL49" s="235" t="str">
        <f t="shared" si="274"/>
        <v/>
      </c>
      <c r="NM49" s="235" t="str">
        <f t="shared" si="275"/>
        <v/>
      </c>
      <c r="NN49" s="235" t="str">
        <f t="shared" si="276"/>
        <v/>
      </c>
      <c r="NO49" s="235" t="str">
        <f t="shared" si="277"/>
        <v/>
      </c>
      <c r="NP49" s="235" t="str">
        <f t="shared" si="278"/>
        <v/>
      </c>
      <c r="NQ49" s="235" t="str">
        <f t="shared" si="279"/>
        <v/>
      </c>
      <c r="NR49" s="235" t="str">
        <f t="shared" si="280"/>
        <v/>
      </c>
      <c r="NS49" s="134" t="str">
        <f t="shared" si="281"/>
        <v/>
      </c>
      <c r="NT49" s="134" t="str">
        <f t="shared" si="282"/>
        <v/>
      </c>
      <c r="NU49" s="134" t="str">
        <f t="shared" si="283"/>
        <v/>
      </c>
      <c r="NV49" s="134" t="str">
        <f t="shared" si="284"/>
        <v/>
      </c>
      <c r="NW49" s="134" t="str">
        <f t="shared" si="285"/>
        <v/>
      </c>
      <c r="NX49" s="134" t="str">
        <f t="shared" si="286"/>
        <v/>
      </c>
      <c r="NY49" s="134" t="str">
        <f t="shared" si="287"/>
        <v/>
      </c>
      <c r="NZ49" s="134" t="str">
        <f t="shared" si="288"/>
        <v/>
      </c>
      <c r="OA49" s="134" t="str">
        <f t="shared" si="289"/>
        <v/>
      </c>
      <c r="OB49" s="134" t="str">
        <f t="shared" si="290"/>
        <v/>
      </c>
      <c r="OC49" s="134" t="str">
        <f t="shared" si="291"/>
        <v/>
      </c>
      <c r="OD49" s="134" t="str">
        <f t="shared" si="292"/>
        <v/>
      </c>
      <c r="OE49" s="134" t="str">
        <f t="shared" si="293"/>
        <v/>
      </c>
      <c r="OF49" s="134" t="str">
        <f t="shared" si="294"/>
        <v/>
      </c>
      <c r="OG49" s="134" t="str">
        <f t="shared" si="295"/>
        <v/>
      </c>
      <c r="OH49" s="134" t="str">
        <f t="shared" si="296"/>
        <v/>
      </c>
      <c r="OI49" s="134" t="str">
        <f t="shared" si="297"/>
        <v/>
      </c>
      <c r="OJ49" s="134" t="str">
        <f t="shared" si="298"/>
        <v/>
      </c>
      <c r="OK49" s="134" t="str">
        <f t="shared" si="299"/>
        <v/>
      </c>
      <c r="OL49" s="134" t="str">
        <f t="shared" si="300"/>
        <v/>
      </c>
      <c r="OM49" s="134" t="str">
        <f t="shared" si="301"/>
        <v/>
      </c>
      <c r="ON49" s="134" t="str">
        <f t="shared" si="302"/>
        <v>  </v>
      </c>
      <c r="OO49" s="236">
        <f t="shared" si="361"/>
        <v>0</v>
      </c>
      <c r="OP49" s="235" t="str">
        <f t="shared" si="303"/>
        <v/>
      </c>
      <c r="OQ49" s="235" t="str">
        <f t="shared" si="304"/>
        <v/>
      </c>
      <c r="OR49" s="235" t="str">
        <f t="shared" si="305"/>
        <v/>
      </c>
      <c r="OS49" s="235" t="str">
        <f t="shared" si="306"/>
        <v/>
      </c>
      <c r="OT49" s="235" t="str">
        <f t="shared" si="307"/>
        <v/>
      </c>
      <c r="OU49" s="235" t="str">
        <f t="shared" si="308"/>
        <v/>
      </c>
      <c r="OV49" s="235" t="str">
        <f t="shared" si="309"/>
        <v/>
      </c>
      <c r="OW49" s="235" t="str">
        <f t="shared" si="310"/>
        <v/>
      </c>
      <c r="OX49" s="235" t="str">
        <f t="shared" si="311"/>
        <v/>
      </c>
      <c r="OY49" s="235" t="str">
        <f t="shared" si="312"/>
        <v/>
      </c>
      <c r="OZ49" s="235" t="str">
        <f t="shared" si="313"/>
        <v/>
      </c>
      <c r="PA49" s="235" t="str">
        <f t="shared" si="314"/>
        <v/>
      </c>
      <c r="PB49" s="235" t="str">
        <f t="shared" si="315"/>
        <v/>
      </c>
      <c r="PC49" s="235" t="str">
        <f t="shared" si="316"/>
        <v/>
      </c>
      <c r="PD49" s="235" t="str">
        <f t="shared" si="317"/>
        <v/>
      </c>
      <c r="PE49" s="235" t="str">
        <f t="shared" si="318"/>
        <v/>
      </c>
      <c r="PF49" s="235" t="str">
        <f t="shared" si="319"/>
        <v/>
      </c>
      <c r="PG49" s="235" t="str">
        <f t="shared" si="320"/>
        <v/>
      </c>
      <c r="PH49" s="235" t="str">
        <f t="shared" si="321"/>
        <v/>
      </c>
      <c r="PI49" s="235" t="str">
        <f t="shared" si="322"/>
        <v/>
      </c>
      <c r="PJ49" s="134" t="str">
        <f t="shared" si="323"/>
        <v/>
      </c>
      <c r="PK49" s="134" t="str">
        <f t="shared" si="324"/>
        <v/>
      </c>
      <c r="PL49" s="134" t="str">
        <f t="shared" si="325"/>
        <v/>
      </c>
      <c r="PM49" s="134" t="str">
        <f t="shared" si="326"/>
        <v/>
      </c>
      <c r="PN49" s="134" t="str">
        <f t="shared" si="327"/>
        <v/>
      </c>
      <c r="PO49" s="134" t="str">
        <f t="shared" si="328"/>
        <v/>
      </c>
      <c r="PP49" s="134" t="str">
        <f t="shared" si="329"/>
        <v/>
      </c>
      <c r="PQ49" s="134" t="str">
        <f t="shared" si="330"/>
        <v/>
      </c>
      <c r="PR49" s="134" t="str">
        <f t="shared" si="331"/>
        <v/>
      </c>
      <c r="PS49" s="134" t="str">
        <f t="shared" si="332"/>
        <v/>
      </c>
      <c r="PT49" s="134" t="str">
        <f t="shared" si="333"/>
        <v/>
      </c>
      <c r="PU49" s="134" t="str">
        <f t="shared" si="334"/>
        <v/>
      </c>
      <c r="PV49" s="134" t="str">
        <f t="shared" si="335"/>
        <v/>
      </c>
      <c r="PW49" s="134" t="str">
        <f t="shared" si="336"/>
        <v/>
      </c>
      <c r="PX49" s="134" t="str">
        <f t="shared" si="337"/>
        <v/>
      </c>
      <c r="PY49" s="134" t="str">
        <f t="shared" si="338"/>
        <v/>
      </c>
      <c r="PZ49" s="134" t="str">
        <f t="shared" si="339"/>
        <v/>
      </c>
      <c r="QA49" s="134" t="str">
        <f t="shared" si="340"/>
        <v/>
      </c>
      <c r="QB49" s="134" t="str">
        <f t="shared" si="341"/>
        <v/>
      </c>
      <c r="QC49" s="134" t="str">
        <f t="shared" si="342"/>
        <v/>
      </c>
      <c r="QD49" s="134" t="str">
        <f>IF(MT49=MW49,"",IF(MV49="","",IF(MV49&gt;=KONVERSI!$A$7,'KI3'!MW49&amp;" dalam"&amp;PJ49&amp;PK49&amp;PL49&amp;PM49&amp;PN49&amp;PO49&amp;PP49&amp;PQ49&amp;PR49&amp;PS49&amp;PT49&amp;PU49&amp;PV49&amp;PW49&amp;PX49&amp;PY49&amp;PZ49&amp;QA49&amp;QB49&amp;QC49,KONVERSI!$C$18&amp;" dalam"&amp;PJ49&amp;PK49&amp;PL49&amp;PM49&amp;PN49&amp;PO49&amp;PP49&amp;PQ49&amp;PR49&amp;PS49&amp;PT49&amp;PU49&amp;PV49&amp;PW49&amp;PX49&amp;PY49&amp;PZ49&amp;QA49&amp;QB49&amp;QC49)))</f>
        <v/>
      </c>
      <c r="QE49" s="134" t="str">
        <f t="shared" si="343"/>
        <v/>
      </c>
      <c r="QF49" s="236">
        <f t="shared" si="362"/>
        <v>0</v>
      </c>
      <c r="QG49" s="134" t="str">
        <f t="shared" si="363"/>
        <v/>
      </c>
    </row>
    <row r="50" ht="27.6" customHeight="1" spans="1:449">
      <c r="A50" s="136"/>
      <c r="B50" s="177">
        <v>42</v>
      </c>
      <c r="C50" s="178">
        <f>siswa!C46</f>
        <v>0</v>
      </c>
      <c r="D50" s="174">
        <f>siswa!D46</f>
        <v>0</v>
      </c>
      <c r="E50" s="181"/>
      <c r="F50" s="176"/>
      <c r="G50" s="176"/>
      <c r="H50" s="176"/>
      <c r="I50" s="176"/>
      <c r="J50" s="176"/>
      <c r="K50" s="176"/>
      <c r="L50" s="223" t="str">
        <f t="shared" si="174"/>
        <v/>
      </c>
      <c r="M50" s="181"/>
      <c r="N50" s="176"/>
      <c r="O50" s="176"/>
      <c r="P50" s="176"/>
      <c r="Q50" s="176"/>
      <c r="R50" s="176"/>
      <c r="S50" s="176"/>
      <c r="T50" s="223" t="str">
        <f t="shared" si="175"/>
        <v/>
      </c>
      <c r="U50" s="181"/>
      <c r="V50" s="176"/>
      <c r="W50" s="176"/>
      <c r="X50" s="176"/>
      <c r="Y50" s="176"/>
      <c r="Z50" s="176"/>
      <c r="AA50" s="176"/>
      <c r="AB50" s="223">
        <f t="shared" si="176"/>
        <v>0</v>
      </c>
      <c r="AC50" s="181"/>
      <c r="AD50" s="176"/>
      <c r="AE50" s="176"/>
      <c r="AF50" s="176"/>
      <c r="AG50" s="176"/>
      <c r="AH50" s="176"/>
      <c r="AI50" s="176"/>
      <c r="AJ50" s="223">
        <f t="shared" si="177"/>
        <v>0</v>
      </c>
      <c r="AK50" s="181"/>
      <c r="AL50" s="176"/>
      <c r="AM50" s="176"/>
      <c r="AN50" s="176"/>
      <c r="AO50" s="176"/>
      <c r="AP50" s="176"/>
      <c r="AQ50" s="176"/>
      <c r="AR50" s="223">
        <f t="shared" si="178"/>
        <v>0</v>
      </c>
      <c r="AS50" s="181"/>
      <c r="AT50" s="176"/>
      <c r="AU50" s="176"/>
      <c r="AV50" s="176"/>
      <c r="AW50" s="176"/>
      <c r="AX50" s="176"/>
      <c r="AY50" s="176"/>
      <c r="AZ50" s="223">
        <f t="shared" si="179"/>
        <v>0</v>
      </c>
      <c r="BA50" s="181"/>
      <c r="BB50" s="176"/>
      <c r="BC50" s="176"/>
      <c r="BD50" s="176"/>
      <c r="BE50" s="176"/>
      <c r="BF50" s="176"/>
      <c r="BG50" s="176"/>
      <c r="BH50" s="223">
        <f t="shared" si="180"/>
        <v>0</v>
      </c>
      <c r="BI50" s="181"/>
      <c r="BJ50" s="176"/>
      <c r="BK50" s="176"/>
      <c r="BL50" s="176"/>
      <c r="BM50" s="176"/>
      <c r="BN50" s="176"/>
      <c r="BO50" s="176"/>
      <c r="BP50" s="223">
        <f t="shared" si="181"/>
        <v>0</v>
      </c>
      <c r="BQ50" s="181"/>
      <c r="BR50" s="176"/>
      <c r="BS50" s="176"/>
      <c r="BT50" s="176"/>
      <c r="BU50" s="176"/>
      <c r="BV50" s="176"/>
      <c r="BW50" s="176"/>
      <c r="BX50" s="223">
        <f t="shared" si="182"/>
        <v>0</v>
      </c>
      <c r="BY50" s="181"/>
      <c r="BZ50" s="176"/>
      <c r="CA50" s="176"/>
      <c r="CB50" s="176"/>
      <c r="CC50" s="176"/>
      <c r="CD50" s="176"/>
      <c r="CE50" s="176"/>
      <c r="CF50" s="223">
        <f t="shared" si="183"/>
        <v>0</v>
      </c>
      <c r="CG50" s="181"/>
      <c r="CH50" s="176"/>
      <c r="CI50" s="176"/>
      <c r="CJ50" s="176"/>
      <c r="CK50" s="176"/>
      <c r="CL50" s="176"/>
      <c r="CM50" s="176"/>
      <c r="CN50" s="223">
        <f t="shared" si="184"/>
        <v>0</v>
      </c>
      <c r="CO50" s="181"/>
      <c r="CP50" s="176"/>
      <c r="CQ50" s="176"/>
      <c r="CR50" s="176"/>
      <c r="CS50" s="176"/>
      <c r="CT50" s="176"/>
      <c r="CU50" s="176"/>
      <c r="CV50" s="223">
        <f t="shared" si="185"/>
        <v>0</v>
      </c>
      <c r="CW50" s="181"/>
      <c r="CX50" s="176"/>
      <c r="CY50" s="176"/>
      <c r="CZ50" s="176"/>
      <c r="DA50" s="176"/>
      <c r="DB50" s="176"/>
      <c r="DC50" s="176"/>
      <c r="DD50" s="223">
        <f t="shared" si="186"/>
        <v>0</v>
      </c>
      <c r="DE50" s="181"/>
      <c r="DF50" s="176"/>
      <c r="DG50" s="176"/>
      <c r="DH50" s="176"/>
      <c r="DI50" s="176"/>
      <c r="DJ50" s="176"/>
      <c r="DK50" s="176"/>
      <c r="DL50" s="223">
        <f t="shared" si="187"/>
        <v>0</v>
      </c>
      <c r="DM50" s="181"/>
      <c r="DN50" s="176"/>
      <c r="DO50" s="176"/>
      <c r="DP50" s="176"/>
      <c r="DQ50" s="176"/>
      <c r="DR50" s="176"/>
      <c r="DS50" s="176"/>
      <c r="DT50" s="223">
        <f t="shared" si="188"/>
        <v>0</v>
      </c>
      <c r="DU50" s="181"/>
      <c r="DV50" s="176"/>
      <c r="DW50" s="176"/>
      <c r="DX50" s="176"/>
      <c r="DY50" s="176"/>
      <c r="DZ50" s="176"/>
      <c r="EA50" s="176"/>
      <c r="EB50" s="223">
        <f t="shared" si="189"/>
        <v>0</v>
      </c>
      <c r="EC50" s="181"/>
      <c r="ED50" s="176"/>
      <c r="EE50" s="176"/>
      <c r="EF50" s="176"/>
      <c r="EG50" s="176"/>
      <c r="EH50" s="176"/>
      <c r="EI50" s="176"/>
      <c r="EJ50" s="223">
        <f t="shared" si="190"/>
        <v>0</v>
      </c>
      <c r="EK50" s="181"/>
      <c r="EL50" s="176"/>
      <c r="EM50" s="176"/>
      <c r="EN50" s="176"/>
      <c r="EO50" s="176"/>
      <c r="EP50" s="176"/>
      <c r="EQ50" s="176"/>
      <c r="ER50" s="223">
        <f t="shared" si="191"/>
        <v>0</v>
      </c>
      <c r="ES50" s="181"/>
      <c r="ET50" s="176"/>
      <c r="EU50" s="176"/>
      <c r="EV50" s="176"/>
      <c r="EW50" s="176"/>
      <c r="EX50" s="176"/>
      <c r="EY50" s="176"/>
      <c r="EZ50" s="223">
        <f t="shared" si="192"/>
        <v>0</v>
      </c>
      <c r="FA50" s="181"/>
      <c r="FB50" s="176"/>
      <c r="FC50" s="176"/>
      <c r="FD50" s="176"/>
      <c r="FE50" s="176"/>
      <c r="FF50" s="176"/>
      <c r="FG50" s="176"/>
      <c r="FH50" s="223">
        <f t="shared" si="193"/>
        <v>0</v>
      </c>
      <c r="FI50" s="291" t="str">
        <f t="shared" si="194"/>
        <v/>
      </c>
      <c r="FJ50" s="250"/>
      <c r="FK50" s="250"/>
      <c r="FL50" s="291" t="str">
        <f t="shared" si="195"/>
        <v/>
      </c>
      <c r="FM50" s="312" t="str">
        <f>IFERROR(IF(FL50="","",IF(FL50&gt;=KONVERSI!$A$5,KONVERSI!$D$5,IF(FL50&gt;=KONVERSI!$A$6,KONVERSI!$D$6,IF(FL50&gt;=KONVERSI!$A$7,KONVERSI!$D$7,KONVERSI!$D$8)))),"")</f>
        <v/>
      </c>
      <c r="FN50" s="232" t="str">
        <f t="shared" si="196"/>
        <v/>
      </c>
      <c r="FO50" s="313"/>
      <c r="FP50" s="314">
        <f t="shared" si="197"/>
        <v>0</v>
      </c>
      <c r="FQ50" s="194" t="str">
        <f t="shared" si="33"/>
        <v/>
      </c>
      <c r="FR50" s="194" t="str">
        <f t="shared" si="34"/>
        <v/>
      </c>
      <c r="FS50" s="194" t="str">
        <f t="shared" si="35"/>
        <v/>
      </c>
      <c r="FT50" s="194" t="str">
        <f t="shared" si="36"/>
        <v/>
      </c>
      <c r="FU50" s="194" t="str">
        <f t="shared" si="37"/>
        <v/>
      </c>
      <c r="FV50" s="194" t="str">
        <f t="shared" si="345"/>
        <v/>
      </c>
      <c r="FW50" s="194" t="str">
        <f t="shared" si="39"/>
        <v/>
      </c>
      <c r="FX50" s="194" t="str">
        <f t="shared" si="344"/>
        <v/>
      </c>
      <c r="FY50" s="194" t="str">
        <f t="shared" si="40"/>
        <v/>
      </c>
      <c r="FZ50" s="194" t="str">
        <f t="shared" si="41"/>
        <v/>
      </c>
      <c r="GA50" s="194" t="str">
        <f t="shared" si="42"/>
        <v/>
      </c>
      <c r="GB50" s="194" t="str">
        <f t="shared" si="346"/>
        <v/>
      </c>
      <c r="GC50" s="194" t="str">
        <f t="shared" si="44"/>
        <v/>
      </c>
      <c r="GD50" s="194" t="str">
        <f t="shared" si="45"/>
        <v/>
      </c>
      <c r="GE50" s="194" t="str">
        <f t="shared" si="46"/>
        <v/>
      </c>
      <c r="GF50" s="194" t="str">
        <f t="shared" si="47"/>
        <v/>
      </c>
      <c r="GG50" s="194" t="str">
        <f t="shared" si="48"/>
        <v/>
      </c>
      <c r="GH50" s="194" t="str">
        <f t="shared" si="347"/>
        <v/>
      </c>
      <c r="GI50" s="194" t="str">
        <f t="shared" si="50"/>
        <v/>
      </c>
      <c r="GJ50" s="194" t="str">
        <f t="shared" si="51"/>
        <v/>
      </c>
      <c r="GK50" s="194" t="str">
        <f t="shared" si="52"/>
        <v/>
      </c>
      <c r="GL50" s="194" t="str">
        <f t="shared" si="53"/>
        <v/>
      </c>
      <c r="GM50" s="194" t="str">
        <f t="shared" si="54"/>
        <v/>
      </c>
      <c r="GN50" s="194" t="str">
        <f t="shared" si="348"/>
        <v/>
      </c>
      <c r="GO50" s="194" t="str">
        <f t="shared" si="56"/>
        <v/>
      </c>
      <c r="GP50" s="194" t="str">
        <f t="shared" si="57"/>
        <v/>
      </c>
      <c r="GQ50" s="194" t="str">
        <f t="shared" si="58"/>
        <v/>
      </c>
      <c r="GR50" s="194" t="str">
        <f t="shared" si="59"/>
        <v/>
      </c>
      <c r="GS50" s="194" t="str">
        <f t="shared" si="60"/>
        <v/>
      </c>
      <c r="GT50" s="194" t="str">
        <f t="shared" si="349"/>
        <v/>
      </c>
      <c r="GU50" s="194" t="str">
        <f t="shared" si="62"/>
        <v/>
      </c>
      <c r="GV50" s="194" t="str">
        <f t="shared" si="63"/>
        <v/>
      </c>
      <c r="GW50" s="194" t="str">
        <f t="shared" si="64"/>
        <v/>
      </c>
      <c r="GX50" s="194" t="str">
        <f t="shared" si="65"/>
        <v/>
      </c>
      <c r="GY50" s="194" t="str">
        <f t="shared" si="66"/>
        <v/>
      </c>
      <c r="GZ50" s="194" t="str">
        <f t="shared" si="350"/>
        <v/>
      </c>
      <c r="HA50" s="194" t="str">
        <f t="shared" si="68"/>
        <v/>
      </c>
      <c r="HB50" s="194" t="str">
        <f t="shared" si="69"/>
        <v/>
      </c>
      <c r="HC50" s="194" t="str">
        <f t="shared" si="70"/>
        <v/>
      </c>
      <c r="HD50" s="194" t="str">
        <f t="shared" si="71"/>
        <v/>
      </c>
      <c r="HE50" s="194" t="str">
        <f t="shared" si="72"/>
        <v/>
      </c>
      <c r="HF50" s="194" t="str">
        <f t="shared" si="351"/>
        <v/>
      </c>
      <c r="HG50" s="194" t="str">
        <f t="shared" si="74"/>
        <v/>
      </c>
      <c r="HH50" s="194" t="str">
        <f t="shared" si="75"/>
        <v/>
      </c>
      <c r="HI50" s="194" t="str">
        <f t="shared" si="76"/>
        <v/>
      </c>
      <c r="HJ50" s="194" t="str">
        <f t="shared" si="77"/>
        <v/>
      </c>
      <c r="HK50" s="194" t="str">
        <f t="shared" si="78"/>
        <v/>
      </c>
      <c r="HL50" s="194" t="str">
        <f t="shared" si="352"/>
        <v/>
      </c>
      <c r="HM50" s="194" t="str">
        <f t="shared" si="80"/>
        <v/>
      </c>
      <c r="HN50" s="194" t="str">
        <f t="shared" si="81"/>
        <v/>
      </c>
      <c r="HO50" s="194" t="str">
        <f t="shared" si="82"/>
        <v/>
      </c>
      <c r="HP50" s="194" t="str">
        <f t="shared" si="83"/>
        <v/>
      </c>
      <c r="HQ50" s="194" t="str">
        <f t="shared" si="84"/>
        <v/>
      </c>
      <c r="HR50" s="194" t="str">
        <f t="shared" si="353"/>
        <v/>
      </c>
      <c r="HS50" s="194" t="str">
        <f t="shared" si="86"/>
        <v/>
      </c>
      <c r="HT50" s="194" t="str">
        <f t="shared" si="87"/>
        <v/>
      </c>
      <c r="HU50" s="194" t="str">
        <f t="shared" si="88"/>
        <v/>
      </c>
      <c r="HV50" s="194" t="str">
        <f t="shared" si="89"/>
        <v/>
      </c>
      <c r="HW50" s="194" t="str">
        <f t="shared" si="90"/>
        <v/>
      </c>
      <c r="HX50" s="194" t="str">
        <f t="shared" si="354"/>
        <v/>
      </c>
      <c r="HY50" s="194" t="str">
        <f t="shared" si="92"/>
        <v/>
      </c>
      <c r="HZ50" s="194" t="str">
        <f t="shared" si="93"/>
        <v/>
      </c>
      <c r="IA50" s="194" t="str">
        <f t="shared" si="94"/>
        <v/>
      </c>
      <c r="IB50" s="194" t="str">
        <f t="shared" si="95"/>
        <v/>
      </c>
      <c r="IC50" s="194" t="str">
        <f t="shared" si="96"/>
        <v/>
      </c>
      <c r="ID50" s="194" t="str">
        <f t="shared" si="355"/>
        <v/>
      </c>
      <c r="IE50" s="194" t="str">
        <f t="shared" si="98"/>
        <v/>
      </c>
      <c r="IF50" s="194" t="str">
        <f t="shared" si="99"/>
        <v/>
      </c>
      <c r="IG50" s="194" t="str">
        <f t="shared" si="100"/>
        <v/>
      </c>
      <c r="IH50" s="194" t="str">
        <f t="shared" si="101"/>
        <v/>
      </c>
      <c r="II50" s="194" t="str">
        <f t="shared" si="102"/>
        <v/>
      </c>
      <c r="IJ50" s="194" t="str">
        <f t="shared" si="356"/>
        <v/>
      </c>
      <c r="IK50" s="194" t="str">
        <f t="shared" si="104"/>
        <v/>
      </c>
      <c r="IL50" s="194" t="str">
        <f t="shared" si="105"/>
        <v/>
      </c>
      <c r="IM50" s="194" t="str">
        <f t="shared" si="106"/>
        <v/>
      </c>
      <c r="IN50" s="194" t="str">
        <f t="shared" si="107"/>
        <v/>
      </c>
      <c r="IO50" s="194" t="str">
        <f t="shared" si="108"/>
        <v/>
      </c>
      <c r="IP50" s="194" t="str">
        <f t="shared" si="357"/>
        <v/>
      </c>
      <c r="IQ50" s="194" t="str">
        <f t="shared" si="110"/>
        <v/>
      </c>
      <c r="IR50" s="194" t="str">
        <f t="shared" si="111"/>
        <v/>
      </c>
      <c r="IS50" s="194" t="str">
        <f t="shared" si="112"/>
        <v/>
      </c>
      <c r="IT50" s="194" t="str">
        <f t="shared" si="113"/>
        <v/>
      </c>
      <c r="IU50" s="194" t="str">
        <f t="shared" si="114"/>
        <v/>
      </c>
      <c r="IV50" s="194" t="str">
        <f t="shared" si="358"/>
        <v/>
      </c>
      <c r="IW50" s="194" t="str">
        <f t="shared" si="364"/>
        <v/>
      </c>
      <c r="IX50" s="194" t="str">
        <f t="shared" si="365"/>
        <v/>
      </c>
      <c r="IY50" s="194" t="str">
        <f t="shared" si="366"/>
        <v/>
      </c>
      <c r="IZ50" s="194" t="str">
        <f t="shared" si="367"/>
        <v/>
      </c>
      <c r="JA50" s="194" t="str">
        <f t="shared" si="368"/>
        <v/>
      </c>
      <c r="JB50" s="194" t="str">
        <f t="shared" si="369"/>
        <v/>
      </c>
      <c r="JC50" s="194" t="str">
        <f t="shared" si="370"/>
        <v/>
      </c>
      <c r="JD50" s="194" t="str">
        <f t="shared" si="371"/>
        <v/>
      </c>
      <c r="JE50" s="194" t="str">
        <f t="shared" si="372"/>
        <v/>
      </c>
      <c r="JF50" s="194" t="str">
        <f t="shared" si="373"/>
        <v/>
      </c>
      <c r="JG50" s="194" t="str">
        <f t="shared" si="374"/>
        <v/>
      </c>
      <c r="JH50" s="194" t="str">
        <f t="shared" si="379"/>
        <v/>
      </c>
      <c r="JI50" s="194" t="str">
        <f t="shared" si="380"/>
        <v/>
      </c>
      <c r="JJ50" s="194" t="str">
        <f t="shared" si="381"/>
        <v/>
      </c>
      <c r="JK50" s="194" t="str">
        <f t="shared" si="382"/>
        <v/>
      </c>
      <c r="JL50" s="194" t="str">
        <f t="shared" si="383"/>
        <v/>
      </c>
      <c r="JM50" s="194" t="str">
        <f t="shared" si="384"/>
        <v/>
      </c>
      <c r="JN50" s="194" t="str">
        <f t="shared" si="385"/>
        <v/>
      </c>
      <c r="JO50" s="194" t="str">
        <f t="shared" si="386"/>
        <v/>
      </c>
      <c r="JP50" s="194" t="str">
        <f t="shared" si="387"/>
        <v/>
      </c>
      <c r="JQ50" s="194" t="str">
        <f t="shared" si="388"/>
        <v/>
      </c>
      <c r="JR50" s="194" t="str">
        <f t="shared" si="389"/>
        <v/>
      </c>
      <c r="JS50" s="194" t="str">
        <f t="shared" si="390"/>
        <v/>
      </c>
      <c r="JT50" s="194" t="str">
        <f t="shared" si="391"/>
        <v/>
      </c>
      <c r="JU50" s="194" t="str">
        <f t="shared" si="392"/>
        <v/>
      </c>
      <c r="JV50" s="194" t="str">
        <f t="shared" si="393"/>
        <v/>
      </c>
      <c r="JW50" s="194" t="str">
        <f t="shared" si="394"/>
        <v/>
      </c>
      <c r="JX50" s="194" t="str">
        <f t="shared" si="395"/>
        <v/>
      </c>
      <c r="JY50" s="194" t="str">
        <f t="shared" si="396"/>
        <v/>
      </c>
      <c r="JZ50" s="194" t="str">
        <f t="shared" si="397"/>
        <v/>
      </c>
      <c r="KA50" s="194" t="str">
        <f t="shared" si="398"/>
        <v/>
      </c>
      <c r="KB50" s="194" t="str">
        <f t="shared" si="399"/>
        <v/>
      </c>
      <c r="KC50" s="194" t="str">
        <f t="shared" si="400"/>
        <v/>
      </c>
      <c r="KD50" s="194" t="str">
        <f t="shared" si="401"/>
        <v/>
      </c>
      <c r="KE50" s="194" t="str">
        <f t="shared" si="402"/>
        <v/>
      </c>
      <c r="KF50" s="194" t="str">
        <f t="shared" si="403"/>
        <v/>
      </c>
      <c r="KG50" s="194">
        <f>SUM(LE50:LX50)/COUNTA(RefKI3KI4!$B$5:$B$24)</f>
        <v>0</v>
      </c>
      <c r="KH50" s="232">
        <f t="shared" si="198"/>
        <v>0</v>
      </c>
      <c r="KI50" s="340" t="str">
        <f t="shared" si="199"/>
        <v>ok</v>
      </c>
      <c r="KJ50" s="340" t="str">
        <f t="shared" si="200"/>
        <v>ok</v>
      </c>
      <c r="KK50" s="340" t="str">
        <f t="shared" si="201"/>
        <v/>
      </c>
      <c r="KL50" s="340" t="str">
        <f t="shared" si="202"/>
        <v/>
      </c>
      <c r="KM50" s="340" t="str">
        <f t="shared" si="203"/>
        <v/>
      </c>
      <c r="KN50" s="340" t="str">
        <f t="shared" si="204"/>
        <v/>
      </c>
      <c r="KO50" s="340" t="str">
        <f t="shared" si="205"/>
        <v/>
      </c>
      <c r="KP50" s="340" t="str">
        <f t="shared" si="206"/>
        <v/>
      </c>
      <c r="KQ50" s="340" t="str">
        <f t="shared" si="207"/>
        <v/>
      </c>
      <c r="KR50" s="340" t="str">
        <f t="shared" si="208"/>
        <v/>
      </c>
      <c r="KS50" s="340" t="str">
        <f t="shared" si="209"/>
        <v/>
      </c>
      <c r="KT50" s="340" t="str">
        <f t="shared" si="210"/>
        <v/>
      </c>
      <c r="KU50" s="340" t="str">
        <f t="shared" si="211"/>
        <v/>
      </c>
      <c r="KV50" s="340" t="str">
        <f t="shared" si="212"/>
        <v/>
      </c>
      <c r="KW50" s="340" t="str">
        <f t="shared" si="213"/>
        <v/>
      </c>
      <c r="KX50" s="340" t="str">
        <f t="shared" si="214"/>
        <v/>
      </c>
      <c r="KY50" s="340" t="str">
        <f t="shared" si="215"/>
        <v/>
      </c>
      <c r="KZ50" s="340" t="str">
        <f t="shared" si="216"/>
        <v/>
      </c>
      <c r="LA50" s="340" t="str">
        <f t="shared" si="217"/>
        <v/>
      </c>
      <c r="LB50" s="340" t="str">
        <f t="shared" si="218"/>
        <v/>
      </c>
      <c r="LC50" s="340">
        <f t="shared" si="219"/>
        <v>0</v>
      </c>
      <c r="LD50" s="228">
        <v>42</v>
      </c>
      <c r="LE50" s="229" t="str">
        <f t="shared" si="220"/>
        <v/>
      </c>
      <c r="LF50" s="229" t="str">
        <f t="shared" si="221"/>
        <v/>
      </c>
      <c r="LG50" s="229" t="str">
        <f t="shared" si="222"/>
        <v/>
      </c>
      <c r="LH50" s="229" t="str">
        <f t="shared" si="223"/>
        <v/>
      </c>
      <c r="LI50" s="229" t="str">
        <f t="shared" si="224"/>
        <v/>
      </c>
      <c r="LJ50" s="229" t="str">
        <f t="shared" si="225"/>
        <v/>
      </c>
      <c r="LK50" s="229" t="str">
        <f t="shared" si="226"/>
        <v/>
      </c>
      <c r="LL50" s="229" t="str">
        <f t="shared" si="227"/>
        <v/>
      </c>
      <c r="LM50" s="229" t="str">
        <f t="shared" si="228"/>
        <v/>
      </c>
      <c r="LN50" s="229" t="str">
        <f t="shared" si="229"/>
        <v/>
      </c>
      <c r="LO50" s="229" t="str">
        <f t="shared" si="230"/>
        <v/>
      </c>
      <c r="LP50" s="229" t="str">
        <f t="shared" si="231"/>
        <v/>
      </c>
      <c r="LQ50" s="229" t="str">
        <f t="shared" si="232"/>
        <v/>
      </c>
      <c r="LR50" s="229" t="str">
        <f t="shared" si="233"/>
        <v/>
      </c>
      <c r="LS50" s="229" t="str">
        <f t="shared" si="234"/>
        <v/>
      </c>
      <c r="LT50" s="229" t="str">
        <f t="shared" si="235"/>
        <v/>
      </c>
      <c r="LU50" s="229" t="str">
        <f t="shared" si="236"/>
        <v/>
      </c>
      <c r="LV50" s="229" t="str">
        <f t="shared" si="237"/>
        <v/>
      </c>
      <c r="LW50" s="229" t="str">
        <f t="shared" si="238"/>
        <v/>
      </c>
      <c r="LX50" s="229" t="str">
        <f t="shared" si="239"/>
        <v/>
      </c>
      <c r="LY50" s="231" t="str">
        <f t="shared" si="240"/>
        <v/>
      </c>
      <c r="LZ50" s="231" t="str">
        <f t="shared" si="241"/>
        <v/>
      </c>
      <c r="MA50" s="231" t="str">
        <f t="shared" si="242"/>
        <v/>
      </c>
      <c r="MB50" s="231" t="str">
        <f t="shared" si="243"/>
        <v/>
      </c>
      <c r="MC50" s="231" t="str">
        <f t="shared" si="244"/>
        <v/>
      </c>
      <c r="MD50" s="231" t="str">
        <f t="shared" si="245"/>
        <v/>
      </c>
      <c r="ME50" s="231" t="str">
        <f t="shared" si="246"/>
        <v/>
      </c>
      <c r="MF50" s="231" t="str">
        <f t="shared" si="247"/>
        <v/>
      </c>
      <c r="MG50" s="231" t="str">
        <f t="shared" si="248"/>
        <v/>
      </c>
      <c r="MH50" s="231" t="str">
        <f t="shared" si="249"/>
        <v/>
      </c>
      <c r="MI50" s="231" t="str">
        <f t="shared" si="250"/>
        <v/>
      </c>
      <c r="MJ50" s="231" t="str">
        <f t="shared" si="251"/>
        <v/>
      </c>
      <c r="MK50" s="231" t="str">
        <f t="shared" si="252"/>
        <v/>
      </c>
      <c r="ML50" s="231" t="str">
        <f t="shared" si="253"/>
        <v/>
      </c>
      <c r="MM50" s="231" t="str">
        <f t="shared" si="254"/>
        <v/>
      </c>
      <c r="MN50" s="231" t="str">
        <f t="shared" si="255"/>
        <v/>
      </c>
      <c r="MO50" s="231" t="str">
        <f t="shared" si="256"/>
        <v/>
      </c>
      <c r="MP50" s="231" t="str">
        <f t="shared" si="257"/>
        <v/>
      </c>
      <c r="MQ50" s="231" t="str">
        <f t="shared" si="258"/>
        <v/>
      </c>
      <c r="MR50" s="231" t="str">
        <f t="shared" si="259"/>
        <v/>
      </c>
      <c r="MS50" s="231" t="str">
        <f t="shared" si="359"/>
        <v/>
      </c>
      <c r="MT50" s="232" t="str">
        <f>IF(MS50="","",IF(MS50&gt;=KONVERSI!$A$5,KONVERSI!$E$5,IF(MS50&gt;=KONVERSI!$A$6,KONVERSI!$E$6,IF(MS50&gt;=KONVERSI!$A$7,KONVERSI!$E$7,KONVERSI!$E$8))))</f>
        <v/>
      </c>
      <c r="MU50" s="233" t="str">
        <f t="shared" si="360"/>
        <v/>
      </c>
      <c r="MV50" s="234" t="str">
        <f t="shared" si="260"/>
        <v/>
      </c>
      <c r="MW50" s="232" t="str">
        <f>IF(MV50="","",IF(MV50&gt;=KONVERSI!$A$5,KONVERSI!$E$5,IF(MV50&gt;=KONVERSI!$A$6,KONVERSI!$E$6,IF(MV50&gt;=KONVERSI!$A$7,KONVERSI!$E$7,KONVERSI!$E$8))))</f>
        <v/>
      </c>
      <c r="MX50" s="134" t="str">
        <f>IF(FI50&lt;$FN$4," "&amp;KONVERSI!$C$18&amp;INDEX($LY$8:$MR$8,MATCH(MV50,LY50:MR50,0))&amp;".",IF(KG50=0,"",IF(MV50&lt;&gt;0,MU50&amp;MW50&amp;".",MU50&amp;".")))</f>
        <v/>
      </c>
      <c r="MY50" s="235" t="str">
        <f t="shared" si="261"/>
        <v/>
      </c>
      <c r="MZ50" s="235" t="str">
        <f t="shared" si="262"/>
        <v/>
      </c>
      <c r="NA50" s="235" t="str">
        <f t="shared" si="263"/>
        <v/>
      </c>
      <c r="NB50" s="235" t="str">
        <f t="shared" si="264"/>
        <v/>
      </c>
      <c r="NC50" s="235" t="str">
        <f t="shared" si="265"/>
        <v/>
      </c>
      <c r="ND50" s="235" t="str">
        <f t="shared" si="266"/>
        <v/>
      </c>
      <c r="NE50" s="235" t="str">
        <f t="shared" si="267"/>
        <v/>
      </c>
      <c r="NF50" s="235" t="str">
        <f t="shared" si="268"/>
        <v/>
      </c>
      <c r="NG50" s="235" t="str">
        <f t="shared" si="269"/>
        <v/>
      </c>
      <c r="NH50" s="235" t="str">
        <f t="shared" si="270"/>
        <v/>
      </c>
      <c r="NI50" s="235" t="str">
        <f t="shared" si="271"/>
        <v/>
      </c>
      <c r="NJ50" s="235" t="str">
        <f t="shared" si="272"/>
        <v/>
      </c>
      <c r="NK50" s="235" t="str">
        <f t="shared" si="273"/>
        <v/>
      </c>
      <c r="NL50" s="235" t="str">
        <f t="shared" si="274"/>
        <v/>
      </c>
      <c r="NM50" s="235" t="str">
        <f t="shared" si="275"/>
        <v/>
      </c>
      <c r="NN50" s="235" t="str">
        <f t="shared" si="276"/>
        <v/>
      </c>
      <c r="NO50" s="235" t="str">
        <f t="shared" si="277"/>
        <v/>
      </c>
      <c r="NP50" s="235" t="str">
        <f t="shared" si="278"/>
        <v/>
      </c>
      <c r="NQ50" s="235" t="str">
        <f t="shared" si="279"/>
        <v/>
      </c>
      <c r="NR50" s="235" t="str">
        <f t="shared" si="280"/>
        <v/>
      </c>
      <c r="NS50" s="134" t="str">
        <f t="shared" si="281"/>
        <v/>
      </c>
      <c r="NT50" s="134" t="str">
        <f t="shared" si="282"/>
        <v/>
      </c>
      <c r="NU50" s="134" t="str">
        <f t="shared" si="283"/>
        <v/>
      </c>
      <c r="NV50" s="134" t="str">
        <f t="shared" si="284"/>
        <v/>
      </c>
      <c r="NW50" s="134" t="str">
        <f t="shared" si="285"/>
        <v/>
      </c>
      <c r="NX50" s="134" t="str">
        <f t="shared" si="286"/>
        <v/>
      </c>
      <c r="NY50" s="134" t="str">
        <f t="shared" si="287"/>
        <v/>
      </c>
      <c r="NZ50" s="134" t="str">
        <f t="shared" si="288"/>
        <v/>
      </c>
      <c r="OA50" s="134" t="str">
        <f t="shared" si="289"/>
        <v/>
      </c>
      <c r="OB50" s="134" t="str">
        <f t="shared" si="290"/>
        <v/>
      </c>
      <c r="OC50" s="134" t="str">
        <f t="shared" si="291"/>
        <v/>
      </c>
      <c r="OD50" s="134" t="str">
        <f t="shared" si="292"/>
        <v/>
      </c>
      <c r="OE50" s="134" t="str">
        <f t="shared" si="293"/>
        <v/>
      </c>
      <c r="OF50" s="134" t="str">
        <f t="shared" si="294"/>
        <v/>
      </c>
      <c r="OG50" s="134" t="str">
        <f t="shared" si="295"/>
        <v/>
      </c>
      <c r="OH50" s="134" t="str">
        <f t="shared" si="296"/>
        <v/>
      </c>
      <c r="OI50" s="134" t="str">
        <f t="shared" si="297"/>
        <v/>
      </c>
      <c r="OJ50" s="134" t="str">
        <f t="shared" si="298"/>
        <v/>
      </c>
      <c r="OK50" s="134" t="str">
        <f t="shared" si="299"/>
        <v/>
      </c>
      <c r="OL50" s="134" t="str">
        <f t="shared" si="300"/>
        <v/>
      </c>
      <c r="OM50" s="134" t="str">
        <f t="shared" si="301"/>
        <v/>
      </c>
      <c r="ON50" s="134" t="str">
        <f t="shared" si="302"/>
        <v>  </v>
      </c>
      <c r="OO50" s="236">
        <f t="shared" si="361"/>
        <v>0</v>
      </c>
      <c r="OP50" s="235" t="str">
        <f t="shared" si="303"/>
        <v/>
      </c>
      <c r="OQ50" s="235" t="str">
        <f t="shared" si="304"/>
        <v/>
      </c>
      <c r="OR50" s="235" t="str">
        <f t="shared" si="305"/>
        <v/>
      </c>
      <c r="OS50" s="235" t="str">
        <f t="shared" si="306"/>
        <v/>
      </c>
      <c r="OT50" s="235" t="str">
        <f t="shared" si="307"/>
        <v/>
      </c>
      <c r="OU50" s="235" t="str">
        <f t="shared" si="308"/>
        <v/>
      </c>
      <c r="OV50" s="235" t="str">
        <f t="shared" si="309"/>
        <v/>
      </c>
      <c r="OW50" s="235" t="str">
        <f t="shared" si="310"/>
        <v/>
      </c>
      <c r="OX50" s="235" t="str">
        <f t="shared" si="311"/>
        <v/>
      </c>
      <c r="OY50" s="235" t="str">
        <f t="shared" si="312"/>
        <v/>
      </c>
      <c r="OZ50" s="235" t="str">
        <f t="shared" si="313"/>
        <v/>
      </c>
      <c r="PA50" s="235" t="str">
        <f t="shared" si="314"/>
        <v/>
      </c>
      <c r="PB50" s="235" t="str">
        <f t="shared" si="315"/>
        <v/>
      </c>
      <c r="PC50" s="235" t="str">
        <f t="shared" si="316"/>
        <v/>
      </c>
      <c r="PD50" s="235" t="str">
        <f t="shared" si="317"/>
        <v/>
      </c>
      <c r="PE50" s="235" t="str">
        <f t="shared" si="318"/>
        <v/>
      </c>
      <c r="PF50" s="235" t="str">
        <f t="shared" si="319"/>
        <v/>
      </c>
      <c r="PG50" s="235" t="str">
        <f t="shared" si="320"/>
        <v/>
      </c>
      <c r="PH50" s="235" t="str">
        <f t="shared" si="321"/>
        <v/>
      </c>
      <c r="PI50" s="235" t="str">
        <f t="shared" si="322"/>
        <v/>
      </c>
      <c r="PJ50" s="134" t="str">
        <f t="shared" si="323"/>
        <v/>
      </c>
      <c r="PK50" s="134" t="str">
        <f t="shared" si="324"/>
        <v/>
      </c>
      <c r="PL50" s="134" t="str">
        <f t="shared" si="325"/>
        <v/>
      </c>
      <c r="PM50" s="134" t="str">
        <f t="shared" si="326"/>
        <v/>
      </c>
      <c r="PN50" s="134" t="str">
        <f t="shared" si="327"/>
        <v/>
      </c>
      <c r="PO50" s="134" t="str">
        <f t="shared" si="328"/>
        <v/>
      </c>
      <c r="PP50" s="134" t="str">
        <f t="shared" si="329"/>
        <v/>
      </c>
      <c r="PQ50" s="134" t="str">
        <f t="shared" si="330"/>
        <v/>
      </c>
      <c r="PR50" s="134" t="str">
        <f t="shared" si="331"/>
        <v/>
      </c>
      <c r="PS50" s="134" t="str">
        <f t="shared" si="332"/>
        <v/>
      </c>
      <c r="PT50" s="134" t="str">
        <f t="shared" si="333"/>
        <v/>
      </c>
      <c r="PU50" s="134" t="str">
        <f t="shared" si="334"/>
        <v/>
      </c>
      <c r="PV50" s="134" t="str">
        <f t="shared" si="335"/>
        <v/>
      </c>
      <c r="PW50" s="134" t="str">
        <f t="shared" si="336"/>
        <v/>
      </c>
      <c r="PX50" s="134" t="str">
        <f t="shared" si="337"/>
        <v/>
      </c>
      <c r="PY50" s="134" t="str">
        <f t="shared" si="338"/>
        <v/>
      </c>
      <c r="PZ50" s="134" t="str">
        <f t="shared" si="339"/>
        <v/>
      </c>
      <c r="QA50" s="134" t="str">
        <f t="shared" si="340"/>
        <v/>
      </c>
      <c r="QB50" s="134" t="str">
        <f t="shared" si="341"/>
        <v/>
      </c>
      <c r="QC50" s="134" t="str">
        <f t="shared" si="342"/>
        <v/>
      </c>
      <c r="QD50" s="134" t="str">
        <f>IF(MT50=MW50,"",IF(MV50="","",IF(MV50&gt;=KONVERSI!$A$7,'KI3'!MW50&amp;" dalam"&amp;PJ50&amp;PK50&amp;PL50&amp;PM50&amp;PN50&amp;PO50&amp;PP50&amp;PQ50&amp;PR50&amp;PS50&amp;PT50&amp;PU50&amp;PV50&amp;PW50&amp;PX50&amp;PY50&amp;PZ50&amp;QA50&amp;QB50&amp;QC50,KONVERSI!$C$18&amp;" dalam"&amp;PJ50&amp;PK50&amp;PL50&amp;PM50&amp;PN50&amp;PO50&amp;PP50&amp;PQ50&amp;PR50&amp;PS50&amp;PT50&amp;PU50&amp;PV50&amp;PW50&amp;PX50&amp;PY50&amp;PZ50&amp;QA50&amp;QB50&amp;QC50)))</f>
        <v/>
      </c>
      <c r="QE50" s="134" t="str">
        <f t="shared" si="343"/>
        <v/>
      </c>
      <c r="QF50" s="236">
        <f t="shared" si="362"/>
        <v>0</v>
      </c>
      <c r="QG50" s="134" t="str">
        <f t="shared" si="363"/>
        <v/>
      </c>
    </row>
    <row r="51" ht="27.6" customHeight="1" spans="1:449">
      <c r="A51" s="136"/>
      <c r="B51" s="177">
        <v>43</v>
      </c>
      <c r="C51" s="178">
        <f>siswa!C47</f>
        <v>0</v>
      </c>
      <c r="D51" s="174">
        <f>siswa!D47</f>
        <v>0</v>
      </c>
      <c r="E51" s="181"/>
      <c r="F51" s="176"/>
      <c r="G51" s="176"/>
      <c r="H51" s="176"/>
      <c r="I51" s="176"/>
      <c r="J51" s="176"/>
      <c r="K51" s="176"/>
      <c r="L51" s="223" t="str">
        <f t="shared" si="174"/>
        <v/>
      </c>
      <c r="M51" s="181"/>
      <c r="N51" s="176"/>
      <c r="O51" s="176"/>
      <c r="P51" s="176"/>
      <c r="Q51" s="176"/>
      <c r="R51" s="176"/>
      <c r="S51" s="176"/>
      <c r="T51" s="223" t="str">
        <f t="shared" si="175"/>
        <v/>
      </c>
      <c r="U51" s="181"/>
      <c r="V51" s="176"/>
      <c r="W51" s="176"/>
      <c r="X51" s="176"/>
      <c r="Y51" s="176"/>
      <c r="Z51" s="176"/>
      <c r="AA51" s="176"/>
      <c r="AB51" s="223">
        <f t="shared" si="176"/>
        <v>0</v>
      </c>
      <c r="AC51" s="181"/>
      <c r="AD51" s="176"/>
      <c r="AE51" s="176"/>
      <c r="AF51" s="176"/>
      <c r="AG51" s="176"/>
      <c r="AH51" s="176"/>
      <c r="AI51" s="176"/>
      <c r="AJ51" s="223">
        <f t="shared" si="177"/>
        <v>0</v>
      </c>
      <c r="AK51" s="181"/>
      <c r="AL51" s="176"/>
      <c r="AM51" s="176"/>
      <c r="AN51" s="176"/>
      <c r="AO51" s="176"/>
      <c r="AP51" s="176"/>
      <c r="AQ51" s="176"/>
      <c r="AR51" s="223">
        <f t="shared" si="178"/>
        <v>0</v>
      </c>
      <c r="AS51" s="181"/>
      <c r="AT51" s="176"/>
      <c r="AU51" s="176"/>
      <c r="AV51" s="176"/>
      <c r="AW51" s="176"/>
      <c r="AX51" s="176"/>
      <c r="AY51" s="176"/>
      <c r="AZ51" s="223">
        <f t="shared" si="179"/>
        <v>0</v>
      </c>
      <c r="BA51" s="181"/>
      <c r="BB51" s="176"/>
      <c r="BC51" s="176"/>
      <c r="BD51" s="176"/>
      <c r="BE51" s="176"/>
      <c r="BF51" s="176"/>
      <c r="BG51" s="176"/>
      <c r="BH51" s="223">
        <f t="shared" si="180"/>
        <v>0</v>
      </c>
      <c r="BI51" s="181"/>
      <c r="BJ51" s="176"/>
      <c r="BK51" s="176"/>
      <c r="BL51" s="176"/>
      <c r="BM51" s="176"/>
      <c r="BN51" s="176"/>
      <c r="BO51" s="176"/>
      <c r="BP51" s="223">
        <f t="shared" si="181"/>
        <v>0</v>
      </c>
      <c r="BQ51" s="181"/>
      <c r="BR51" s="176"/>
      <c r="BS51" s="176"/>
      <c r="BT51" s="176"/>
      <c r="BU51" s="176"/>
      <c r="BV51" s="176"/>
      <c r="BW51" s="176"/>
      <c r="BX51" s="223">
        <f t="shared" si="182"/>
        <v>0</v>
      </c>
      <c r="BY51" s="181"/>
      <c r="BZ51" s="176"/>
      <c r="CA51" s="176"/>
      <c r="CB51" s="176"/>
      <c r="CC51" s="176"/>
      <c r="CD51" s="176"/>
      <c r="CE51" s="176"/>
      <c r="CF51" s="223">
        <f t="shared" si="183"/>
        <v>0</v>
      </c>
      <c r="CG51" s="181"/>
      <c r="CH51" s="176"/>
      <c r="CI51" s="176"/>
      <c r="CJ51" s="176"/>
      <c r="CK51" s="176"/>
      <c r="CL51" s="176"/>
      <c r="CM51" s="176"/>
      <c r="CN51" s="223">
        <f t="shared" si="184"/>
        <v>0</v>
      </c>
      <c r="CO51" s="181"/>
      <c r="CP51" s="176"/>
      <c r="CQ51" s="176"/>
      <c r="CR51" s="176"/>
      <c r="CS51" s="176"/>
      <c r="CT51" s="176"/>
      <c r="CU51" s="176"/>
      <c r="CV51" s="223">
        <f t="shared" si="185"/>
        <v>0</v>
      </c>
      <c r="CW51" s="181"/>
      <c r="CX51" s="176"/>
      <c r="CY51" s="176"/>
      <c r="CZ51" s="176"/>
      <c r="DA51" s="176"/>
      <c r="DB51" s="176"/>
      <c r="DC51" s="176"/>
      <c r="DD51" s="223">
        <f t="shared" si="186"/>
        <v>0</v>
      </c>
      <c r="DE51" s="181"/>
      <c r="DF51" s="176"/>
      <c r="DG51" s="176"/>
      <c r="DH51" s="176"/>
      <c r="DI51" s="176"/>
      <c r="DJ51" s="176"/>
      <c r="DK51" s="176"/>
      <c r="DL51" s="223">
        <f t="shared" si="187"/>
        <v>0</v>
      </c>
      <c r="DM51" s="181"/>
      <c r="DN51" s="176"/>
      <c r="DO51" s="176"/>
      <c r="DP51" s="176"/>
      <c r="DQ51" s="176"/>
      <c r="DR51" s="176"/>
      <c r="DS51" s="176"/>
      <c r="DT51" s="223">
        <f t="shared" si="188"/>
        <v>0</v>
      </c>
      <c r="DU51" s="181"/>
      <c r="DV51" s="176"/>
      <c r="DW51" s="176"/>
      <c r="DX51" s="176"/>
      <c r="DY51" s="176"/>
      <c r="DZ51" s="176"/>
      <c r="EA51" s="176"/>
      <c r="EB51" s="223">
        <f t="shared" si="189"/>
        <v>0</v>
      </c>
      <c r="EC51" s="181"/>
      <c r="ED51" s="176"/>
      <c r="EE51" s="176"/>
      <c r="EF51" s="176"/>
      <c r="EG51" s="176"/>
      <c r="EH51" s="176"/>
      <c r="EI51" s="176"/>
      <c r="EJ51" s="223">
        <f t="shared" si="190"/>
        <v>0</v>
      </c>
      <c r="EK51" s="181"/>
      <c r="EL51" s="176"/>
      <c r="EM51" s="176"/>
      <c r="EN51" s="176"/>
      <c r="EO51" s="176"/>
      <c r="EP51" s="176"/>
      <c r="EQ51" s="176"/>
      <c r="ER51" s="223">
        <f t="shared" si="191"/>
        <v>0</v>
      </c>
      <c r="ES51" s="181"/>
      <c r="ET51" s="176"/>
      <c r="EU51" s="176"/>
      <c r="EV51" s="176"/>
      <c r="EW51" s="176"/>
      <c r="EX51" s="176"/>
      <c r="EY51" s="176"/>
      <c r="EZ51" s="223">
        <f t="shared" si="192"/>
        <v>0</v>
      </c>
      <c r="FA51" s="181"/>
      <c r="FB51" s="176"/>
      <c r="FC51" s="176"/>
      <c r="FD51" s="176"/>
      <c r="FE51" s="176"/>
      <c r="FF51" s="176"/>
      <c r="FG51" s="176"/>
      <c r="FH51" s="223">
        <f t="shared" si="193"/>
        <v>0</v>
      </c>
      <c r="FI51" s="291" t="str">
        <f t="shared" si="194"/>
        <v/>
      </c>
      <c r="FJ51" s="250"/>
      <c r="FK51" s="250"/>
      <c r="FL51" s="291" t="str">
        <f t="shared" si="195"/>
        <v/>
      </c>
      <c r="FM51" s="312" t="str">
        <f>IFERROR(IF(FL51="","",IF(FL51&gt;=KONVERSI!$A$5,KONVERSI!$D$5,IF(FL51&gt;=KONVERSI!$A$6,KONVERSI!$D$6,IF(FL51&gt;=KONVERSI!$A$7,KONVERSI!$D$7,KONVERSI!$D$8)))),"")</f>
        <v/>
      </c>
      <c r="FN51" s="232" t="str">
        <f t="shared" si="196"/>
        <v/>
      </c>
      <c r="FO51" s="313"/>
      <c r="FP51" s="314">
        <f t="shared" si="197"/>
        <v>0</v>
      </c>
      <c r="FQ51" s="194" t="str">
        <f t="shared" si="33"/>
        <v/>
      </c>
      <c r="FR51" s="194" t="str">
        <f t="shared" si="34"/>
        <v/>
      </c>
      <c r="FS51" s="194" t="str">
        <f t="shared" si="35"/>
        <v/>
      </c>
      <c r="FT51" s="194" t="str">
        <f t="shared" si="36"/>
        <v/>
      </c>
      <c r="FU51" s="194" t="str">
        <f t="shared" si="37"/>
        <v/>
      </c>
      <c r="FV51" s="194" t="str">
        <f t="shared" si="345"/>
        <v/>
      </c>
      <c r="FW51" s="194" t="str">
        <f t="shared" si="39"/>
        <v/>
      </c>
      <c r="FX51" s="194" t="str">
        <f t="shared" si="344"/>
        <v/>
      </c>
      <c r="FY51" s="194" t="str">
        <f t="shared" si="40"/>
        <v/>
      </c>
      <c r="FZ51" s="194" t="str">
        <f t="shared" si="41"/>
        <v/>
      </c>
      <c r="GA51" s="194" t="str">
        <f t="shared" si="42"/>
        <v/>
      </c>
      <c r="GB51" s="194" t="str">
        <f t="shared" si="346"/>
        <v/>
      </c>
      <c r="GC51" s="194" t="str">
        <f t="shared" si="44"/>
        <v/>
      </c>
      <c r="GD51" s="194" t="str">
        <f t="shared" si="45"/>
        <v/>
      </c>
      <c r="GE51" s="194" t="str">
        <f t="shared" si="46"/>
        <v/>
      </c>
      <c r="GF51" s="194" t="str">
        <f t="shared" si="47"/>
        <v/>
      </c>
      <c r="GG51" s="194" t="str">
        <f t="shared" si="48"/>
        <v/>
      </c>
      <c r="GH51" s="194" t="str">
        <f t="shared" si="347"/>
        <v/>
      </c>
      <c r="GI51" s="194" t="str">
        <f t="shared" si="50"/>
        <v/>
      </c>
      <c r="GJ51" s="194" t="str">
        <f t="shared" si="51"/>
        <v/>
      </c>
      <c r="GK51" s="194" t="str">
        <f t="shared" si="52"/>
        <v/>
      </c>
      <c r="GL51" s="194" t="str">
        <f t="shared" si="53"/>
        <v/>
      </c>
      <c r="GM51" s="194" t="str">
        <f t="shared" si="54"/>
        <v/>
      </c>
      <c r="GN51" s="194" t="str">
        <f t="shared" si="348"/>
        <v/>
      </c>
      <c r="GO51" s="194" t="str">
        <f t="shared" si="56"/>
        <v/>
      </c>
      <c r="GP51" s="194" t="str">
        <f t="shared" si="57"/>
        <v/>
      </c>
      <c r="GQ51" s="194" t="str">
        <f t="shared" si="58"/>
        <v/>
      </c>
      <c r="GR51" s="194" t="str">
        <f t="shared" si="59"/>
        <v/>
      </c>
      <c r="GS51" s="194" t="str">
        <f t="shared" si="60"/>
        <v/>
      </c>
      <c r="GT51" s="194" t="str">
        <f t="shared" si="349"/>
        <v/>
      </c>
      <c r="GU51" s="194" t="str">
        <f t="shared" si="62"/>
        <v/>
      </c>
      <c r="GV51" s="194" t="str">
        <f t="shared" si="63"/>
        <v/>
      </c>
      <c r="GW51" s="194" t="str">
        <f t="shared" si="64"/>
        <v/>
      </c>
      <c r="GX51" s="194" t="str">
        <f t="shared" si="65"/>
        <v/>
      </c>
      <c r="GY51" s="194" t="str">
        <f t="shared" si="66"/>
        <v/>
      </c>
      <c r="GZ51" s="194" t="str">
        <f t="shared" si="350"/>
        <v/>
      </c>
      <c r="HA51" s="194" t="str">
        <f t="shared" si="68"/>
        <v/>
      </c>
      <c r="HB51" s="194" t="str">
        <f t="shared" si="69"/>
        <v/>
      </c>
      <c r="HC51" s="194" t="str">
        <f t="shared" si="70"/>
        <v/>
      </c>
      <c r="HD51" s="194" t="str">
        <f t="shared" si="71"/>
        <v/>
      </c>
      <c r="HE51" s="194" t="str">
        <f t="shared" si="72"/>
        <v/>
      </c>
      <c r="HF51" s="194" t="str">
        <f t="shared" si="351"/>
        <v/>
      </c>
      <c r="HG51" s="194" t="str">
        <f t="shared" si="74"/>
        <v/>
      </c>
      <c r="HH51" s="194" t="str">
        <f t="shared" si="75"/>
        <v/>
      </c>
      <c r="HI51" s="194" t="str">
        <f t="shared" si="76"/>
        <v/>
      </c>
      <c r="HJ51" s="194" t="str">
        <f t="shared" si="77"/>
        <v/>
      </c>
      <c r="HK51" s="194" t="str">
        <f t="shared" si="78"/>
        <v/>
      </c>
      <c r="HL51" s="194" t="str">
        <f t="shared" si="352"/>
        <v/>
      </c>
      <c r="HM51" s="194" t="str">
        <f t="shared" si="80"/>
        <v/>
      </c>
      <c r="HN51" s="194" t="str">
        <f t="shared" si="81"/>
        <v/>
      </c>
      <c r="HO51" s="194" t="str">
        <f t="shared" si="82"/>
        <v/>
      </c>
      <c r="HP51" s="194" t="str">
        <f t="shared" si="83"/>
        <v/>
      </c>
      <c r="HQ51" s="194" t="str">
        <f t="shared" si="84"/>
        <v/>
      </c>
      <c r="HR51" s="194" t="str">
        <f t="shared" si="353"/>
        <v/>
      </c>
      <c r="HS51" s="194" t="str">
        <f t="shared" si="86"/>
        <v/>
      </c>
      <c r="HT51" s="194" t="str">
        <f t="shared" si="87"/>
        <v/>
      </c>
      <c r="HU51" s="194" t="str">
        <f t="shared" si="88"/>
        <v/>
      </c>
      <c r="HV51" s="194" t="str">
        <f t="shared" si="89"/>
        <v/>
      </c>
      <c r="HW51" s="194" t="str">
        <f t="shared" si="90"/>
        <v/>
      </c>
      <c r="HX51" s="194" t="str">
        <f t="shared" si="354"/>
        <v/>
      </c>
      <c r="HY51" s="194" t="str">
        <f t="shared" si="92"/>
        <v/>
      </c>
      <c r="HZ51" s="194" t="str">
        <f t="shared" si="93"/>
        <v/>
      </c>
      <c r="IA51" s="194" t="str">
        <f t="shared" si="94"/>
        <v/>
      </c>
      <c r="IB51" s="194" t="str">
        <f t="shared" si="95"/>
        <v/>
      </c>
      <c r="IC51" s="194" t="str">
        <f t="shared" si="96"/>
        <v/>
      </c>
      <c r="ID51" s="194" t="str">
        <f t="shared" si="355"/>
        <v/>
      </c>
      <c r="IE51" s="194" t="str">
        <f t="shared" si="98"/>
        <v/>
      </c>
      <c r="IF51" s="194" t="str">
        <f t="shared" si="99"/>
        <v/>
      </c>
      <c r="IG51" s="194" t="str">
        <f t="shared" si="100"/>
        <v/>
      </c>
      <c r="IH51" s="194" t="str">
        <f t="shared" si="101"/>
        <v/>
      </c>
      <c r="II51" s="194" t="str">
        <f t="shared" si="102"/>
        <v/>
      </c>
      <c r="IJ51" s="194" t="str">
        <f t="shared" si="356"/>
        <v/>
      </c>
      <c r="IK51" s="194" t="str">
        <f t="shared" si="104"/>
        <v/>
      </c>
      <c r="IL51" s="194" t="str">
        <f t="shared" si="105"/>
        <v/>
      </c>
      <c r="IM51" s="194" t="str">
        <f t="shared" si="106"/>
        <v/>
      </c>
      <c r="IN51" s="194" t="str">
        <f t="shared" si="107"/>
        <v/>
      </c>
      <c r="IO51" s="194" t="str">
        <f t="shared" si="108"/>
        <v/>
      </c>
      <c r="IP51" s="194" t="str">
        <f t="shared" si="357"/>
        <v/>
      </c>
      <c r="IQ51" s="194" t="str">
        <f t="shared" si="110"/>
        <v/>
      </c>
      <c r="IR51" s="194" t="str">
        <f t="shared" si="111"/>
        <v/>
      </c>
      <c r="IS51" s="194" t="str">
        <f t="shared" si="112"/>
        <v/>
      </c>
      <c r="IT51" s="194" t="str">
        <f t="shared" si="113"/>
        <v/>
      </c>
      <c r="IU51" s="194" t="str">
        <f t="shared" si="114"/>
        <v/>
      </c>
      <c r="IV51" s="194" t="str">
        <f t="shared" si="358"/>
        <v/>
      </c>
      <c r="IW51" s="194" t="str">
        <f t="shared" si="364"/>
        <v/>
      </c>
      <c r="IX51" s="194" t="str">
        <f t="shared" si="365"/>
        <v/>
      </c>
      <c r="IY51" s="194" t="str">
        <f t="shared" si="366"/>
        <v/>
      </c>
      <c r="IZ51" s="194" t="str">
        <f t="shared" si="367"/>
        <v/>
      </c>
      <c r="JA51" s="194" t="str">
        <f t="shared" si="368"/>
        <v/>
      </c>
      <c r="JB51" s="194" t="str">
        <f t="shared" si="369"/>
        <v/>
      </c>
      <c r="JC51" s="194" t="str">
        <f t="shared" si="370"/>
        <v/>
      </c>
      <c r="JD51" s="194" t="str">
        <f t="shared" si="371"/>
        <v/>
      </c>
      <c r="JE51" s="194" t="str">
        <f t="shared" si="372"/>
        <v/>
      </c>
      <c r="JF51" s="194" t="str">
        <f t="shared" si="373"/>
        <v/>
      </c>
      <c r="JG51" s="194" t="str">
        <f t="shared" si="374"/>
        <v/>
      </c>
      <c r="JH51" s="194" t="str">
        <f t="shared" si="379"/>
        <v/>
      </c>
      <c r="JI51" s="194" t="str">
        <f t="shared" si="380"/>
        <v/>
      </c>
      <c r="JJ51" s="194" t="str">
        <f t="shared" si="381"/>
        <v/>
      </c>
      <c r="JK51" s="194" t="str">
        <f t="shared" si="382"/>
        <v/>
      </c>
      <c r="JL51" s="194" t="str">
        <f t="shared" si="383"/>
        <v/>
      </c>
      <c r="JM51" s="194" t="str">
        <f t="shared" si="384"/>
        <v/>
      </c>
      <c r="JN51" s="194" t="str">
        <f t="shared" si="385"/>
        <v/>
      </c>
      <c r="JO51" s="194" t="str">
        <f t="shared" si="386"/>
        <v/>
      </c>
      <c r="JP51" s="194" t="str">
        <f t="shared" si="387"/>
        <v/>
      </c>
      <c r="JQ51" s="194" t="str">
        <f t="shared" si="388"/>
        <v/>
      </c>
      <c r="JR51" s="194" t="str">
        <f t="shared" si="389"/>
        <v/>
      </c>
      <c r="JS51" s="194" t="str">
        <f t="shared" si="390"/>
        <v/>
      </c>
      <c r="JT51" s="194" t="str">
        <f t="shared" si="391"/>
        <v/>
      </c>
      <c r="JU51" s="194" t="str">
        <f t="shared" si="392"/>
        <v/>
      </c>
      <c r="JV51" s="194" t="str">
        <f t="shared" si="393"/>
        <v/>
      </c>
      <c r="JW51" s="194" t="str">
        <f t="shared" si="394"/>
        <v/>
      </c>
      <c r="JX51" s="194" t="str">
        <f t="shared" si="395"/>
        <v/>
      </c>
      <c r="JY51" s="194" t="str">
        <f t="shared" si="396"/>
        <v/>
      </c>
      <c r="JZ51" s="194" t="str">
        <f t="shared" si="397"/>
        <v/>
      </c>
      <c r="KA51" s="194" t="str">
        <f t="shared" si="398"/>
        <v/>
      </c>
      <c r="KB51" s="194" t="str">
        <f t="shared" si="399"/>
        <v/>
      </c>
      <c r="KC51" s="194" t="str">
        <f t="shared" si="400"/>
        <v/>
      </c>
      <c r="KD51" s="194" t="str">
        <f t="shared" si="401"/>
        <v/>
      </c>
      <c r="KE51" s="194" t="str">
        <f t="shared" si="402"/>
        <v/>
      </c>
      <c r="KF51" s="194" t="str">
        <f t="shared" si="403"/>
        <v/>
      </c>
      <c r="KG51" s="194">
        <f>SUM(LE51:LX51)/COUNTA(RefKI3KI4!$B$5:$B$24)</f>
        <v>0</v>
      </c>
      <c r="KH51" s="232">
        <f t="shared" si="198"/>
        <v>0</v>
      </c>
      <c r="KI51" s="340" t="str">
        <f t="shared" si="199"/>
        <v>ok</v>
      </c>
      <c r="KJ51" s="340" t="str">
        <f t="shared" si="200"/>
        <v>ok</v>
      </c>
      <c r="KK51" s="340" t="str">
        <f t="shared" si="201"/>
        <v/>
      </c>
      <c r="KL51" s="340" t="str">
        <f t="shared" si="202"/>
        <v/>
      </c>
      <c r="KM51" s="340" t="str">
        <f t="shared" si="203"/>
        <v/>
      </c>
      <c r="KN51" s="340" t="str">
        <f t="shared" si="204"/>
        <v/>
      </c>
      <c r="KO51" s="340" t="str">
        <f t="shared" si="205"/>
        <v/>
      </c>
      <c r="KP51" s="340" t="str">
        <f t="shared" si="206"/>
        <v/>
      </c>
      <c r="KQ51" s="340" t="str">
        <f t="shared" si="207"/>
        <v/>
      </c>
      <c r="KR51" s="340" t="str">
        <f t="shared" si="208"/>
        <v/>
      </c>
      <c r="KS51" s="340" t="str">
        <f t="shared" si="209"/>
        <v/>
      </c>
      <c r="KT51" s="340" t="str">
        <f t="shared" si="210"/>
        <v/>
      </c>
      <c r="KU51" s="340" t="str">
        <f t="shared" si="211"/>
        <v/>
      </c>
      <c r="KV51" s="340" t="str">
        <f t="shared" si="212"/>
        <v/>
      </c>
      <c r="KW51" s="340" t="str">
        <f t="shared" si="213"/>
        <v/>
      </c>
      <c r="KX51" s="340" t="str">
        <f t="shared" si="214"/>
        <v/>
      </c>
      <c r="KY51" s="340" t="str">
        <f t="shared" si="215"/>
        <v/>
      </c>
      <c r="KZ51" s="340" t="str">
        <f t="shared" si="216"/>
        <v/>
      </c>
      <c r="LA51" s="340" t="str">
        <f t="shared" si="217"/>
        <v/>
      </c>
      <c r="LB51" s="340" t="str">
        <f t="shared" si="218"/>
        <v/>
      </c>
      <c r="LC51" s="340">
        <f t="shared" si="219"/>
        <v>0</v>
      </c>
      <c r="LD51" s="228">
        <v>43</v>
      </c>
      <c r="LE51" s="229" t="str">
        <f t="shared" si="220"/>
        <v/>
      </c>
      <c r="LF51" s="229" t="str">
        <f t="shared" si="221"/>
        <v/>
      </c>
      <c r="LG51" s="229" t="str">
        <f t="shared" si="222"/>
        <v/>
      </c>
      <c r="LH51" s="229" t="str">
        <f t="shared" si="223"/>
        <v/>
      </c>
      <c r="LI51" s="229" t="str">
        <f t="shared" si="224"/>
        <v/>
      </c>
      <c r="LJ51" s="229" t="str">
        <f t="shared" si="225"/>
        <v/>
      </c>
      <c r="LK51" s="229" t="str">
        <f t="shared" si="226"/>
        <v/>
      </c>
      <c r="LL51" s="229" t="str">
        <f t="shared" si="227"/>
        <v/>
      </c>
      <c r="LM51" s="229" t="str">
        <f t="shared" si="228"/>
        <v/>
      </c>
      <c r="LN51" s="229" t="str">
        <f t="shared" si="229"/>
        <v/>
      </c>
      <c r="LO51" s="229" t="str">
        <f t="shared" si="230"/>
        <v/>
      </c>
      <c r="LP51" s="229" t="str">
        <f t="shared" si="231"/>
        <v/>
      </c>
      <c r="LQ51" s="229" t="str">
        <f t="shared" si="232"/>
        <v/>
      </c>
      <c r="LR51" s="229" t="str">
        <f t="shared" si="233"/>
        <v/>
      </c>
      <c r="LS51" s="229" t="str">
        <f t="shared" si="234"/>
        <v/>
      </c>
      <c r="LT51" s="229" t="str">
        <f t="shared" si="235"/>
        <v/>
      </c>
      <c r="LU51" s="229" t="str">
        <f t="shared" si="236"/>
        <v/>
      </c>
      <c r="LV51" s="229" t="str">
        <f t="shared" si="237"/>
        <v/>
      </c>
      <c r="LW51" s="229" t="str">
        <f t="shared" si="238"/>
        <v/>
      </c>
      <c r="LX51" s="229" t="str">
        <f t="shared" si="239"/>
        <v/>
      </c>
      <c r="LY51" s="231" t="str">
        <f t="shared" si="240"/>
        <v/>
      </c>
      <c r="LZ51" s="231" t="str">
        <f t="shared" si="241"/>
        <v/>
      </c>
      <c r="MA51" s="231" t="str">
        <f t="shared" si="242"/>
        <v/>
      </c>
      <c r="MB51" s="231" t="str">
        <f t="shared" si="243"/>
        <v/>
      </c>
      <c r="MC51" s="231" t="str">
        <f t="shared" si="244"/>
        <v/>
      </c>
      <c r="MD51" s="231" t="str">
        <f t="shared" si="245"/>
        <v/>
      </c>
      <c r="ME51" s="231" t="str">
        <f t="shared" si="246"/>
        <v/>
      </c>
      <c r="MF51" s="231" t="str">
        <f t="shared" si="247"/>
        <v/>
      </c>
      <c r="MG51" s="231" t="str">
        <f t="shared" si="248"/>
        <v/>
      </c>
      <c r="MH51" s="231" t="str">
        <f t="shared" si="249"/>
        <v/>
      </c>
      <c r="MI51" s="231" t="str">
        <f t="shared" si="250"/>
        <v/>
      </c>
      <c r="MJ51" s="231" t="str">
        <f t="shared" si="251"/>
        <v/>
      </c>
      <c r="MK51" s="231" t="str">
        <f t="shared" si="252"/>
        <v/>
      </c>
      <c r="ML51" s="231" t="str">
        <f t="shared" si="253"/>
        <v/>
      </c>
      <c r="MM51" s="231" t="str">
        <f t="shared" si="254"/>
        <v/>
      </c>
      <c r="MN51" s="231" t="str">
        <f t="shared" si="255"/>
        <v/>
      </c>
      <c r="MO51" s="231" t="str">
        <f t="shared" si="256"/>
        <v/>
      </c>
      <c r="MP51" s="231" t="str">
        <f t="shared" si="257"/>
        <v/>
      </c>
      <c r="MQ51" s="231" t="str">
        <f t="shared" si="258"/>
        <v/>
      </c>
      <c r="MR51" s="231" t="str">
        <f t="shared" si="259"/>
        <v/>
      </c>
      <c r="MS51" s="231" t="str">
        <f t="shared" si="359"/>
        <v/>
      </c>
      <c r="MT51" s="232" t="str">
        <f>IF(MS51="","",IF(MS51&gt;=KONVERSI!$A$5,KONVERSI!$E$5,IF(MS51&gt;=KONVERSI!$A$6,KONVERSI!$E$6,IF(MS51&gt;=KONVERSI!$A$7,KONVERSI!$E$7,KONVERSI!$E$8))))</f>
        <v/>
      </c>
      <c r="MU51" s="233" t="str">
        <f t="shared" si="360"/>
        <v/>
      </c>
      <c r="MV51" s="234" t="str">
        <f t="shared" si="260"/>
        <v/>
      </c>
      <c r="MW51" s="232" t="str">
        <f>IF(MV51="","",IF(MV51&gt;=KONVERSI!$A$5,KONVERSI!$E$5,IF(MV51&gt;=KONVERSI!$A$6,KONVERSI!$E$6,IF(MV51&gt;=KONVERSI!$A$7,KONVERSI!$E$7,KONVERSI!$E$8))))</f>
        <v/>
      </c>
      <c r="MX51" s="134" t="str">
        <f>IF(FI51&lt;$FN$4," "&amp;KONVERSI!$C$18&amp;INDEX($LY$8:$MR$8,MATCH(MV51,LY51:MR51,0))&amp;".",IF(KG51=0,"",IF(MV51&lt;&gt;0,MU51&amp;MW51&amp;".",MU51&amp;".")))</f>
        <v/>
      </c>
      <c r="MY51" s="235" t="str">
        <f t="shared" si="261"/>
        <v/>
      </c>
      <c r="MZ51" s="235" t="str">
        <f t="shared" si="262"/>
        <v/>
      </c>
      <c r="NA51" s="235" t="str">
        <f t="shared" si="263"/>
        <v/>
      </c>
      <c r="NB51" s="235" t="str">
        <f t="shared" si="264"/>
        <v/>
      </c>
      <c r="NC51" s="235" t="str">
        <f t="shared" si="265"/>
        <v/>
      </c>
      <c r="ND51" s="235" t="str">
        <f t="shared" si="266"/>
        <v/>
      </c>
      <c r="NE51" s="235" t="str">
        <f t="shared" si="267"/>
        <v/>
      </c>
      <c r="NF51" s="235" t="str">
        <f t="shared" si="268"/>
        <v/>
      </c>
      <c r="NG51" s="235" t="str">
        <f t="shared" si="269"/>
        <v/>
      </c>
      <c r="NH51" s="235" t="str">
        <f t="shared" si="270"/>
        <v/>
      </c>
      <c r="NI51" s="235" t="str">
        <f t="shared" si="271"/>
        <v/>
      </c>
      <c r="NJ51" s="235" t="str">
        <f t="shared" si="272"/>
        <v/>
      </c>
      <c r="NK51" s="235" t="str">
        <f t="shared" si="273"/>
        <v/>
      </c>
      <c r="NL51" s="235" t="str">
        <f t="shared" si="274"/>
        <v/>
      </c>
      <c r="NM51" s="235" t="str">
        <f t="shared" si="275"/>
        <v/>
      </c>
      <c r="NN51" s="235" t="str">
        <f t="shared" si="276"/>
        <v/>
      </c>
      <c r="NO51" s="235" t="str">
        <f t="shared" si="277"/>
        <v/>
      </c>
      <c r="NP51" s="235" t="str">
        <f t="shared" si="278"/>
        <v/>
      </c>
      <c r="NQ51" s="235" t="str">
        <f t="shared" si="279"/>
        <v/>
      </c>
      <c r="NR51" s="235" t="str">
        <f t="shared" si="280"/>
        <v/>
      </c>
      <c r="NS51" s="134" t="str">
        <f t="shared" si="281"/>
        <v/>
      </c>
      <c r="NT51" s="134" t="str">
        <f t="shared" si="282"/>
        <v/>
      </c>
      <c r="NU51" s="134" t="str">
        <f t="shared" si="283"/>
        <v/>
      </c>
      <c r="NV51" s="134" t="str">
        <f t="shared" si="284"/>
        <v/>
      </c>
      <c r="NW51" s="134" t="str">
        <f t="shared" si="285"/>
        <v/>
      </c>
      <c r="NX51" s="134" t="str">
        <f t="shared" si="286"/>
        <v/>
      </c>
      <c r="NY51" s="134" t="str">
        <f t="shared" si="287"/>
        <v/>
      </c>
      <c r="NZ51" s="134" t="str">
        <f t="shared" si="288"/>
        <v/>
      </c>
      <c r="OA51" s="134" t="str">
        <f t="shared" si="289"/>
        <v/>
      </c>
      <c r="OB51" s="134" t="str">
        <f t="shared" si="290"/>
        <v/>
      </c>
      <c r="OC51" s="134" t="str">
        <f t="shared" si="291"/>
        <v/>
      </c>
      <c r="OD51" s="134" t="str">
        <f t="shared" si="292"/>
        <v/>
      </c>
      <c r="OE51" s="134" t="str">
        <f t="shared" si="293"/>
        <v/>
      </c>
      <c r="OF51" s="134" t="str">
        <f t="shared" si="294"/>
        <v/>
      </c>
      <c r="OG51" s="134" t="str">
        <f t="shared" si="295"/>
        <v/>
      </c>
      <c r="OH51" s="134" t="str">
        <f t="shared" si="296"/>
        <v/>
      </c>
      <c r="OI51" s="134" t="str">
        <f t="shared" si="297"/>
        <v/>
      </c>
      <c r="OJ51" s="134" t="str">
        <f t="shared" si="298"/>
        <v/>
      </c>
      <c r="OK51" s="134" t="str">
        <f t="shared" si="299"/>
        <v/>
      </c>
      <c r="OL51" s="134" t="str">
        <f t="shared" si="300"/>
        <v/>
      </c>
      <c r="OM51" s="134" t="str">
        <f t="shared" si="301"/>
        <v/>
      </c>
      <c r="ON51" s="134" t="str">
        <f t="shared" si="302"/>
        <v>  </v>
      </c>
      <c r="OO51" s="236">
        <f t="shared" si="361"/>
        <v>0</v>
      </c>
      <c r="OP51" s="235" t="str">
        <f t="shared" si="303"/>
        <v/>
      </c>
      <c r="OQ51" s="235" t="str">
        <f t="shared" si="304"/>
        <v/>
      </c>
      <c r="OR51" s="235" t="str">
        <f t="shared" si="305"/>
        <v/>
      </c>
      <c r="OS51" s="235" t="str">
        <f t="shared" si="306"/>
        <v/>
      </c>
      <c r="OT51" s="235" t="str">
        <f t="shared" si="307"/>
        <v/>
      </c>
      <c r="OU51" s="235" t="str">
        <f t="shared" si="308"/>
        <v/>
      </c>
      <c r="OV51" s="235" t="str">
        <f t="shared" si="309"/>
        <v/>
      </c>
      <c r="OW51" s="235" t="str">
        <f t="shared" si="310"/>
        <v/>
      </c>
      <c r="OX51" s="235" t="str">
        <f t="shared" si="311"/>
        <v/>
      </c>
      <c r="OY51" s="235" t="str">
        <f t="shared" si="312"/>
        <v/>
      </c>
      <c r="OZ51" s="235" t="str">
        <f t="shared" si="313"/>
        <v/>
      </c>
      <c r="PA51" s="235" t="str">
        <f t="shared" si="314"/>
        <v/>
      </c>
      <c r="PB51" s="235" t="str">
        <f t="shared" si="315"/>
        <v/>
      </c>
      <c r="PC51" s="235" t="str">
        <f t="shared" si="316"/>
        <v/>
      </c>
      <c r="PD51" s="235" t="str">
        <f t="shared" si="317"/>
        <v/>
      </c>
      <c r="PE51" s="235" t="str">
        <f t="shared" si="318"/>
        <v/>
      </c>
      <c r="PF51" s="235" t="str">
        <f t="shared" si="319"/>
        <v/>
      </c>
      <c r="PG51" s="235" t="str">
        <f t="shared" si="320"/>
        <v/>
      </c>
      <c r="PH51" s="235" t="str">
        <f t="shared" si="321"/>
        <v/>
      </c>
      <c r="PI51" s="235" t="str">
        <f t="shared" si="322"/>
        <v/>
      </c>
      <c r="PJ51" s="134" t="str">
        <f t="shared" si="323"/>
        <v/>
      </c>
      <c r="PK51" s="134" t="str">
        <f t="shared" si="324"/>
        <v/>
      </c>
      <c r="PL51" s="134" t="str">
        <f t="shared" si="325"/>
        <v/>
      </c>
      <c r="PM51" s="134" t="str">
        <f t="shared" si="326"/>
        <v/>
      </c>
      <c r="PN51" s="134" t="str">
        <f t="shared" si="327"/>
        <v/>
      </c>
      <c r="PO51" s="134" t="str">
        <f t="shared" si="328"/>
        <v/>
      </c>
      <c r="PP51" s="134" t="str">
        <f t="shared" si="329"/>
        <v/>
      </c>
      <c r="PQ51" s="134" t="str">
        <f t="shared" si="330"/>
        <v/>
      </c>
      <c r="PR51" s="134" t="str">
        <f t="shared" si="331"/>
        <v/>
      </c>
      <c r="PS51" s="134" t="str">
        <f t="shared" si="332"/>
        <v/>
      </c>
      <c r="PT51" s="134" t="str">
        <f t="shared" si="333"/>
        <v/>
      </c>
      <c r="PU51" s="134" t="str">
        <f t="shared" si="334"/>
        <v/>
      </c>
      <c r="PV51" s="134" t="str">
        <f t="shared" si="335"/>
        <v/>
      </c>
      <c r="PW51" s="134" t="str">
        <f t="shared" si="336"/>
        <v/>
      </c>
      <c r="PX51" s="134" t="str">
        <f t="shared" si="337"/>
        <v/>
      </c>
      <c r="PY51" s="134" t="str">
        <f t="shared" si="338"/>
        <v/>
      </c>
      <c r="PZ51" s="134" t="str">
        <f t="shared" si="339"/>
        <v/>
      </c>
      <c r="QA51" s="134" t="str">
        <f t="shared" si="340"/>
        <v/>
      </c>
      <c r="QB51" s="134" t="str">
        <f t="shared" si="341"/>
        <v/>
      </c>
      <c r="QC51" s="134" t="str">
        <f t="shared" si="342"/>
        <v/>
      </c>
      <c r="QD51" s="134" t="str">
        <f>IF(MT51=MW51,"",IF(MV51="","",IF(MV51&gt;=KONVERSI!$A$7,'KI3'!MW51&amp;" dalam"&amp;PJ51&amp;PK51&amp;PL51&amp;PM51&amp;PN51&amp;PO51&amp;PP51&amp;PQ51&amp;PR51&amp;PS51&amp;PT51&amp;PU51&amp;PV51&amp;PW51&amp;PX51&amp;PY51&amp;PZ51&amp;QA51&amp;QB51&amp;QC51,KONVERSI!$C$18&amp;" dalam"&amp;PJ51&amp;PK51&amp;PL51&amp;PM51&amp;PN51&amp;PO51&amp;PP51&amp;PQ51&amp;PR51&amp;PS51&amp;PT51&amp;PU51&amp;PV51&amp;PW51&amp;PX51&amp;PY51&amp;PZ51&amp;QA51&amp;QB51&amp;QC51)))</f>
        <v/>
      </c>
      <c r="QE51" s="134" t="str">
        <f t="shared" si="343"/>
        <v/>
      </c>
      <c r="QF51" s="236">
        <f t="shared" si="362"/>
        <v>0</v>
      </c>
      <c r="QG51" s="134" t="str">
        <f t="shared" si="363"/>
        <v/>
      </c>
    </row>
    <row r="52" ht="27.6" customHeight="1" spans="1:449">
      <c r="A52" s="136"/>
      <c r="B52" s="177">
        <v>44</v>
      </c>
      <c r="C52" s="178">
        <f>siswa!C48</f>
        <v>0</v>
      </c>
      <c r="D52" s="174">
        <f>siswa!D48</f>
        <v>0</v>
      </c>
      <c r="E52" s="181"/>
      <c r="F52" s="176"/>
      <c r="G52" s="176"/>
      <c r="H52" s="176"/>
      <c r="I52" s="176"/>
      <c r="J52" s="176"/>
      <c r="K52" s="176"/>
      <c r="L52" s="223" t="str">
        <f t="shared" si="174"/>
        <v/>
      </c>
      <c r="M52" s="181"/>
      <c r="N52" s="176"/>
      <c r="O52" s="176"/>
      <c r="P52" s="176"/>
      <c r="Q52" s="176"/>
      <c r="R52" s="176"/>
      <c r="S52" s="176"/>
      <c r="T52" s="223" t="str">
        <f t="shared" si="175"/>
        <v/>
      </c>
      <c r="U52" s="181"/>
      <c r="V52" s="176"/>
      <c r="W52" s="176"/>
      <c r="X52" s="176"/>
      <c r="Y52" s="176"/>
      <c r="Z52" s="176"/>
      <c r="AA52" s="176"/>
      <c r="AB52" s="223">
        <f t="shared" si="176"/>
        <v>0</v>
      </c>
      <c r="AC52" s="181"/>
      <c r="AD52" s="176"/>
      <c r="AE52" s="176"/>
      <c r="AF52" s="176"/>
      <c r="AG52" s="176"/>
      <c r="AH52" s="176"/>
      <c r="AI52" s="176"/>
      <c r="AJ52" s="223">
        <f t="shared" si="177"/>
        <v>0</v>
      </c>
      <c r="AK52" s="181"/>
      <c r="AL52" s="176"/>
      <c r="AM52" s="176"/>
      <c r="AN52" s="176"/>
      <c r="AO52" s="176"/>
      <c r="AP52" s="176"/>
      <c r="AQ52" s="176"/>
      <c r="AR52" s="223">
        <f t="shared" si="178"/>
        <v>0</v>
      </c>
      <c r="AS52" s="181"/>
      <c r="AT52" s="176"/>
      <c r="AU52" s="176"/>
      <c r="AV52" s="176"/>
      <c r="AW52" s="176"/>
      <c r="AX52" s="176"/>
      <c r="AY52" s="176"/>
      <c r="AZ52" s="223">
        <f t="shared" si="179"/>
        <v>0</v>
      </c>
      <c r="BA52" s="181"/>
      <c r="BB52" s="176"/>
      <c r="BC52" s="176"/>
      <c r="BD52" s="176"/>
      <c r="BE52" s="176"/>
      <c r="BF52" s="176"/>
      <c r="BG52" s="176"/>
      <c r="BH52" s="223">
        <f t="shared" si="180"/>
        <v>0</v>
      </c>
      <c r="BI52" s="181"/>
      <c r="BJ52" s="176"/>
      <c r="BK52" s="176"/>
      <c r="BL52" s="176"/>
      <c r="BM52" s="176"/>
      <c r="BN52" s="176"/>
      <c r="BO52" s="176"/>
      <c r="BP52" s="223">
        <f t="shared" si="181"/>
        <v>0</v>
      </c>
      <c r="BQ52" s="181"/>
      <c r="BR52" s="176"/>
      <c r="BS52" s="176"/>
      <c r="BT52" s="176"/>
      <c r="BU52" s="176"/>
      <c r="BV52" s="176"/>
      <c r="BW52" s="176"/>
      <c r="BX52" s="223">
        <f t="shared" si="182"/>
        <v>0</v>
      </c>
      <c r="BY52" s="181"/>
      <c r="BZ52" s="176"/>
      <c r="CA52" s="176"/>
      <c r="CB52" s="176"/>
      <c r="CC52" s="176"/>
      <c r="CD52" s="176"/>
      <c r="CE52" s="176"/>
      <c r="CF52" s="223">
        <f t="shared" si="183"/>
        <v>0</v>
      </c>
      <c r="CG52" s="181"/>
      <c r="CH52" s="176"/>
      <c r="CI52" s="176"/>
      <c r="CJ52" s="176"/>
      <c r="CK52" s="176"/>
      <c r="CL52" s="176"/>
      <c r="CM52" s="176"/>
      <c r="CN52" s="223">
        <f t="shared" si="184"/>
        <v>0</v>
      </c>
      <c r="CO52" s="181"/>
      <c r="CP52" s="176"/>
      <c r="CQ52" s="176"/>
      <c r="CR52" s="176"/>
      <c r="CS52" s="176"/>
      <c r="CT52" s="176"/>
      <c r="CU52" s="176"/>
      <c r="CV52" s="223">
        <f t="shared" si="185"/>
        <v>0</v>
      </c>
      <c r="CW52" s="181"/>
      <c r="CX52" s="176"/>
      <c r="CY52" s="176"/>
      <c r="CZ52" s="176"/>
      <c r="DA52" s="176"/>
      <c r="DB52" s="176"/>
      <c r="DC52" s="176"/>
      <c r="DD52" s="223">
        <f t="shared" si="186"/>
        <v>0</v>
      </c>
      <c r="DE52" s="181"/>
      <c r="DF52" s="176"/>
      <c r="DG52" s="176"/>
      <c r="DH52" s="176"/>
      <c r="DI52" s="176"/>
      <c r="DJ52" s="176"/>
      <c r="DK52" s="176"/>
      <c r="DL52" s="223">
        <f t="shared" si="187"/>
        <v>0</v>
      </c>
      <c r="DM52" s="181"/>
      <c r="DN52" s="176"/>
      <c r="DO52" s="176"/>
      <c r="DP52" s="176"/>
      <c r="DQ52" s="176"/>
      <c r="DR52" s="176"/>
      <c r="DS52" s="176"/>
      <c r="DT52" s="223">
        <f t="shared" si="188"/>
        <v>0</v>
      </c>
      <c r="DU52" s="181"/>
      <c r="DV52" s="176"/>
      <c r="DW52" s="176"/>
      <c r="DX52" s="176"/>
      <c r="DY52" s="176"/>
      <c r="DZ52" s="176"/>
      <c r="EA52" s="176"/>
      <c r="EB52" s="223">
        <f t="shared" si="189"/>
        <v>0</v>
      </c>
      <c r="EC52" s="181"/>
      <c r="ED52" s="176"/>
      <c r="EE52" s="176"/>
      <c r="EF52" s="176"/>
      <c r="EG52" s="176"/>
      <c r="EH52" s="176"/>
      <c r="EI52" s="176"/>
      <c r="EJ52" s="223">
        <f t="shared" si="190"/>
        <v>0</v>
      </c>
      <c r="EK52" s="181"/>
      <c r="EL52" s="176"/>
      <c r="EM52" s="176"/>
      <c r="EN52" s="176"/>
      <c r="EO52" s="176"/>
      <c r="EP52" s="176"/>
      <c r="EQ52" s="176"/>
      <c r="ER52" s="223">
        <f t="shared" si="191"/>
        <v>0</v>
      </c>
      <c r="ES52" s="181"/>
      <c r="ET52" s="176"/>
      <c r="EU52" s="176"/>
      <c r="EV52" s="176"/>
      <c r="EW52" s="176"/>
      <c r="EX52" s="176"/>
      <c r="EY52" s="176"/>
      <c r="EZ52" s="223">
        <f t="shared" si="192"/>
        <v>0</v>
      </c>
      <c r="FA52" s="181"/>
      <c r="FB52" s="176"/>
      <c r="FC52" s="176"/>
      <c r="FD52" s="176"/>
      <c r="FE52" s="176"/>
      <c r="FF52" s="176"/>
      <c r="FG52" s="176"/>
      <c r="FH52" s="223">
        <f t="shared" si="193"/>
        <v>0</v>
      </c>
      <c r="FI52" s="291" t="str">
        <f t="shared" si="194"/>
        <v/>
      </c>
      <c r="FJ52" s="250"/>
      <c r="FK52" s="250"/>
      <c r="FL52" s="291" t="str">
        <f t="shared" si="195"/>
        <v/>
      </c>
      <c r="FM52" s="312" t="str">
        <f>IFERROR(IF(FL52="","",IF(FL52&gt;=KONVERSI!$A$5,KONVERSI!$D$5,IF(FL52&gt;=KONVERSI!$A$6,KONVERSI!$D$6,IF(FL52&gt;=KONVERSI!$A$7,KONVERSI!$D$7,KONVERSI!$D$8)))),"")</f>
        <v/>
      </c>
      <c r="FN52" s="232" t="str">
        <f t="shared" si="196"/>
        <v/>
      </c>
      <c r="FO52" s="313"/>
      <c r="FP52" s="314">
        <f t="shared" si="197"/>
        <v>0</v>
      </c>
      <c r="FQ52" s="194" t="str">
        <f t="shared" si="33"/>
        <v/>
      </c>
      <c r="FR52" s="194" t="str">
        <f t="shared" si="34"/>
        <v/>
      </c>
      <c r="FS52" s="194" t="str">
        <f t="shared" si="35"/>
        <v/>
      </c>
      <c r="FT52" s="194" t="str">
        <f t="shared" si="36"/>
        <v/>
      </c>
      <c r="FU52" s="194" t="str">
        <f t="shared" si="37"/>
        <v/>
      </c>
      <c r="FV52" s="194" t="str">
        <f t="shared" si="345"/>
        <v/>
      </c>
      <c r="FW52" s="194" t="str">
        <f t="shared" si="39"/>
        <v/>
      </c>
      <c r="FX52" s="194" t="str">
        <f t="shared" si="344"/>
        <v/>
      </c>
      <c r="FY52" s="194" t="str">
        <f t="shared" si="40"/>
        <v/>
      </c>
      <c r="FZ52" s="194" t="str">
        <f t="shared" si="41"/>
        <v/>
      </c>
      <c r="GA52" s="194" t="str">
        <f t="shared" si="42"/>
        <v/>
      </c>
      <c r="GB52" s="194" t="str">
        <f t="shared" si="346"/>
        <v/>
      </c>
      <c r="GC52" s="194" t="str">
        <f t="shared" si="44"/>
        <v/>
      </c>
      <c r="GD52" s="194" t="str">
        <f t="shared" si="45"/>
        <v/>
      </c>
      <c r="GE52" s="194" t="str">
        <f t="shared" si="46"/>
        <v/>
      </c>
      <c r="GF52" s="194" t="str">
        <f t="shared" si="47"/>
        <v/>
      </c>
      <c r="GG52" s="194" t="str">
        <f t="shared" si="48"/>
        <v/>
      </c>
      <c r="GH52" s="194" t="str">
        <f t="shared" si="347"/>
        <v/>
      </c>
      <c r="GI52" s="194" t="str">
        <f t="shared" si="50"/>
        <v/>
      </c>
      <c r="GJ52" s="194" t="str">
        <f t="shared" si="51"/>
        <v/>
      </c>
      <c r="GK52" s="194" t="str">
        <f t="shared" si="52"/>
        <v/>
      </c>
      <c r="GL52" s="194" t="str">
        <f t="shared" si="53"/>
        <v/>
      </c>
      <c r="GM52" s="194" t="str">
        <f t="shared" si="54"/>
        <v/>
      </c>
      <c r="GN52" s="194" t="str">
        <f t="shared" si="348"/>
        <v/>
      </c>
      <c r="GO52" s="194" t="str">
        <f t="shared" si="56"/>
        <v/>
      </c>
      <c r="GP52" s="194" t="str">
        <f t="shared" si="57"/>
        <v/>
      </c>
      <c r="GQ52" s="194" t="str">
        <f t="shared" si="58"/>
        <v/>
      </c>
      <c r="GR52" s="194" t="str">
        <f t="shared" si="59"/>
        <v/>
      </c>
      <c r="GS52" s="194" t="str">
        <f t="shared" si="60"/>
        <v/>
      </c>
      <c r="GT52" s="194" t="str">
        <f t="shared" si="349"/>
        <v/>
      </c>
      <c r="GU52" s="194" t="str">
        <f t="shared" si="62"/>
        <v/>
      </c>
      <c r="GV52" s="194" t="str">
        <f t="shared" si="63"/>
        <v/>
      </c>
      <c r="GW52" s="194" t="str">
        <f t="shared" si="64"/>
        <v/>
      </c>
      <c r="GX52" s="194" t="str">
        <f t="shared" si="65"/>
        <v/>
      </c>
      <c r="GY52" s="194" t="str">
        <f t="shared" si="66"/>
        <v/>
      </c>
      <c r="GZ52" s="194" t="str">
        <f t="shared" si="350"/>
        <v/>
      </c>
      <c r="HA52" s="194" t="str">
        <f t="shared" si="68"/>
        <v/>
      </c>
      <c r="HB52" s="194" t="str">
        <f t="shared" si="69"/>
        <v/>
      </c>
      <c r="HC52" s="194" t="str">
        <f t="shared" si="70"/>
        <v/>
      </c>
      <c r="HD52" s="194" t="str">
        <f t="shared" si="71"/>
        <v/>
      </c>
      <c r="HE52" s="194" t="str">
        <f t="shared" si="72"/>
        <v/>
      </c>
      <c r="HF52" s="194" t="str">
        <f t="shared" si="351"/>
        <v/>
      </c>
      <c r="HG52" s="194" t="str">
        <f t="shared" si="74"/>
        <v/>
      </c>
      <c r="HH52" s="194" t="str">
        <f t="shared" si="75"/>
        <v/>
      </c>
      <c r="HI52" s="194" t="str">
        <f t="shared" si="76"/>
        <v/>
      </c>
      <c r="HJ52" s="194" t="str">
        <f t="shared" si="77"/>
        <v/>
      </c>
      <c r="HK52" s="194" t="str">
        <f t="shared" si="78"/>
        <v/>
      </c>
      <c r="HL52" s="194" t="str">
        <f t="shared" si="352"/>
        <v/>
      </c>
      <c r="HM52" s="194" t="str">
        <f t="shared" si="80"/>
        <v/>
      </c>
      <c r="HN52" s="194" t="str">
        <f t="shared" si="81"/>
        <v/>
      </c>
      <c r="HO52" s="194" t="str">
        <f t="shared" si="82"/>
        <v/>
      </c>
      <c r="HP52" s="194" t="str">
        <f t="shared" si="83"/>
        <v/>
      </c>
      <c r="HQ52" s="194" t="str">
        <f t="shared" si="84"/>
        <v/>
      </c>
      <c r="HR52" s="194" t="str">
        <f t="shared" si="353"/>
        <v/>
      </c>
      <c r="HS52" s="194" t="str">
        <f t="shared" si="86"/>
        <v/>
      </c>
      <c r="HT52" s="194" t="str">
        <f t="shared" si="87"/>
        <v/>
      </c>
      <c r="HU52" s="194" t="str">
        <f t="shared" si="88"/>
        <v/>
      </c>
      <c r="HV52" s="194" t="str">
        <f t="shared" si="89"/>
        <v/>
      </c>
      <c r="HW52" s="194" t="str">
        <f t="shared" si="90"/>
        <v/>
      </c>
      <c r="HX52" s="194" t="str">
        <f t="shared" si="354"/>
        <v/>
      </c>
      <c r="HY52" s="194" t="str">
        <f t="shared" si="92"/>
        <v/>
      </c>
      <c r="HZ52" s="194" t="str">
        <f t="shared" si="93"/>
        <v/>
      </c>
      <c r="IA52" s="194" t="str">
        <f t="shared" si="94"/>
        <v/>
      </c>
      <c r="IB52" s="194" t="str">
        <f t="shared" si="95"/>
        <v/>
      </c>
      <c r="IC52" s="194" t="str">
        <f t="shared" si="96"/>
        <v/>
      </c>
      <c r="ID52" s="194" t="str">
        <f t="shared" si="355"/>
        <v/>
      </c>
      <c r="IE52" s="194" t="str">
        <f t="shared" si="98"/>
        <v/>
      </c>
      <c r="IF52" s="194" t="str">
        <f t="shared" si="99"/>
        <v/>
      </c>
      <c r="IG52" s="194" t="str">
        <f t="shared" si="100"/>
        <v/>
      </c>
      <c r="IH52" s="194" t="str">
        <f t="shared" si="101"/>
        <v/>
      </c>
      <c r="II52" s="194" t="str">
        <f t="shared" si="102"/>
        <v/>
      </c>
      <c r="IJ52" s="194" t="str">
        <f t="shared" si="356"/>
        <v/>
      </c>
      <c r="IK52" s="194" t="str">
        <f t="shared" si="104"/>
        <v/>
      </c>
      <c r="IL52" s="194" t="str">
        <f t="shared" si="105"/>
        <v/>
      </c>
      <c r="IM52" s="194" t="str">
        <f t="shared" si="106"/>
        <v/>
      </c>
      <c r="IN52" s="194" t="str">
        <f t="shared" si="107"/>
        <v/>
      </c>
      <c r="IO52" s="194" t="str">
        <f t="shared" si="108"/>
        <v/>
      </c>
      <c r="IP52" s="194" t="str">
        <f t="shared" si="357"/>
        <v/>
      </c>
      <c r="IQ52" s="194" t="str">
        <f t="shared" si="110"/>
        <v/>
      </c>
      <c r="IR52" s="194" t="str">
        <f t="shared" si="111"/>
        <v/>
      </c>
      <c r="IS52" s="194" t="str">
        <f t="shared" si="112"/>
        <v/>
      </c>
      <c r="IT52" s="194" t="str">
        <f t="shared" si="113"/>
        <v/>
      </c>
      <c r="IU52" s="194" t="str">
        <f t="shared" si="114"/>
        <v/>
      </c>
      <c r="IV52" s="194" t="str">
        <f t="shared" si="358"/>
        <v/>
      </c>
      <c r="IW52" s="194" t="str">
        <f t="shared" si="364"/>
        <v/>
      </c>
      <c r="IX52" s="194" t="str">
        <f t="shared" si="365"/>
        <v/>
      </c>
      <c r="IY52" s="194" t="str">
        <f t="shared" si="366"/>
        <v/>
      </c>
      <c r="IZ52" s="194" t="str">
        <f t="shared" si="367"/>
        <v/>
      </c>
      <c r="JA52" s="194" t="str">
        <f t="shared" si="368"/>
        <v/>
      </c>
      <c r="JB52" s="194" t="str">
        <f t="shared" si="369"/>
        <v/>
      </c>
      <c r="JC52" s="194" t="str">
        <f t="shared" si="370"/>
        <v/>
      </c>
      <c r="JD52" s="194" t="str">
        <f t="shared" si="371"/>
        <v/>
      </c>
      <c r="JE52" s="194" t="str">
        <f t="shared" si="372"/>
        <v/>
      </c>
      <c r="JF52" s="194" t="str">
        <f t="shared" si="373"/>
        <v/>
      </c>
      <c r="JG52" s="194" t="str">
        <f t="shared" si="374"/>
        <v/>
      </c>
      <c r="JH52" s="194" t="str">
        <f t="shared" si="379"/>
        <v/>
      </c>
      <c r="JI52" s="194" t="str">
        <f t="shared" si="380"/>
        <v/>
      </c>
      <c r="JJ52" s="194" t="str">
        <f t="shared" si="381"/>
        <v/>
      </c>
      <c r="JK52" s="194" t="str">
        <f t="shared" si="382"/>
        <v/>
      </c>
      <c r="JL52" s="194" t="str">
        <f t="shared" si="383"/>
        <v/>
      </c>
      <c r="JM52" s="194" t="str">
        <f t="shared" si="384"/>
        <v/>
      </c>
      <c r="JN52" s="194" t="str">
        <f t="shared" si="385"/>
        <v/>
      </c>
      <c r="JO52" s="194" t="str">
        <f t="shared" si="386"/>
        <v/>
      </c>
      <c r="JP52" s="194" t="str">
        <f t="shared" si="387"/>
        <v/>
      </c>
      <c r="JQ52" s="194" t="str">
        <f t="shared" si="388"/>
        <v/>
      </c>
      <c r="JR52" s="194" t="str">
        <f t="shared" si="389"/>
        <v/>
      </c>
      <c r="JS52" s="194" t="str">
        <f t="shared" si="390"/>
        <v/>
      </c>
      <c r="JT52" s="194" t="str">
        <f t="shared" si="391"/>
        <v/>
      </c>
      <c r="JU52" s="194" t="str">
        <f t="shared" si="392"/>
        <v/>
      </c>
      <c r="JV52" s="194" t="str">
        <f t="shared" si="393"/>
        <v/>
      </c>
      <c r="JW52" s="194" t="str">
        <f t="shared" si="394"/>
        <v/>
      </c>
      <c r="JX52" s="194" t="str">
        <f t="shared" si="395"/>
        <v/>
      </c>
      <c r="JY52" s="194" t="str">
        <f t="shared" si="396"/>
        <v/>
      </c>
      <c r="JZ52" s="194" t="str">
        <f t="shared" si="397"/>
        <v/>
      </c>
      <c r="KA52" s="194" t="str">
        <f t="shared" si="398"/>
        <v/>
      </c>
      <c r="KB52" s="194" t="str">
        <f t="shared" si="399"/>
        <v/>
      </c>
      <c r="KC52" s="194" t="str">
        <f t="shared" si="400"/>
        <v/>
      </c>
      <c r="KD52" s="194" t="str">
        <f t="shared" si="401"/>
        <v/>
      </c>
      <c r="KE52" s="194" t="str">
        <f t="shared" si="402"/>
        <v/>
      </c>
      <c r="KF52" s="194" t="str">
        <f t="shared" si="403"/>
        <v/>
      </c>
      <c r="KG52" s="194">
        <f>SUM(LE52:LX52)/COUNTA(RefKI3KI4!$B$5:$B$24)</f>
        <v>0</v>
      </c>
      <c r="KH52" s="232">
        <f t="shared" si="198"/>
        <v>0</v>
      </c>
      <c r="KI52" s="340" t="str">
        <f t="shared" si="199"/>
        <v>ok</v>
      </c>
      <c r="KJ52" s="340" t="str">
        <f t="shared" si="200"/>
        <v>ok</v>
      </c>
      <c r="KK52" s="340" t="str">
        <f t="shared" si="201"/>
        <v/>
      </c>
      <c r="KL52" s="340" t="str">
        <f t="shared" si="202"/>
        <v/>
      </c>
      <c r="KM52" s="340" t="str">
        <f t="shared" si="203"/>
        <v/>
      </c>
      <c r="KN52" s="340" t="str">
        <f t="shared" si="204"/>
        <v/>
      </c>
      <c r="KO52" s="340" t="str">
        <f t="shared" si="205"/>
        <v/>
      </c>
      <c r="KP52" s="340" t="str">
        <f t="shared" si="206"/>
        <v/>
      </c>
      <c r="KQ52" s="340" t="str">
        <f t="shared" si="207"/>
        <v/>
      </c>
      <c r="KR52" s="340" t="str">
        <f t="shared" si="208"/>
        <v/>
      </c>
      <c r="KS52" s="340" t="str">
        <f t="shared" si="209"/>
        <v/>
      </c>
      <c r="KT52" s="340" t="str">
        <f t="shared" si="210"/>
        <v/>
      </c>
      <c r="KU52" s="340" t="str">
        <f t="shared" si="211"/>
        <v/>
      </c>
      <c r="KV52" s="340" t="str">
        <f t="shared" si="212"/>
        <v/>
      </c>
      <c r="KW52" s="340" t="str">
        <f t="shared" si="213"/>
        <v/>
      </c>
      <c r="KX52" s="340" t="str">
        <f t="shared" si="214"/>
        <v/>
      </c>
      <c r="KY52" s="340" t="str">
        <f t="shared" si="215"/>
        <v/>
      </c>
      <c r="KZ52" s="340" t="str">
        <f t="shared" si="216"/>
        <v/>
      </c>
      <c r="LA52" s="340" t="str">
        <f t="shared" si="217"/>
        <v/>
      </c>
      <c r="LB52" s="340" t="str">
        <f t="shared" si="218"/>
        <v/>
      </c>
      <c r="LC52" s="340">
        <f t="shared" si="219"/>
        <v>0</v>
      </c>
      <c r="LD52" s="228">
        <v>44</v>
      </c>
      <c r="LE52" s="229" t="str">
        <f t="shared" si="220"/>
        <v/>
      </c>
      <c r="LF52" s="229" t="str">
        <f t="shared" si="221"/>
        <v/>
      </c>
      <c r="LG52" s="229" t="str">
        <f t="shared" si="222"/>
        <v/>
      </c>
      <c r="LH52" s="229" t="str">
        <f t="shared" si="223"/>
        <v/>
      </c>
      <c r="LI52" s="229" t="str">
        <f t="shared" si="224"/>
        <v/>
      </c>
      <c r="LJ52" s="229" t="str">
        <f t="shared" si="225"/>
        <v/>
      </c>
      <c r="LK52" s="229" t="str">
        <f t="shared" si="226"/>
        <v/>
      </c>
      <c r="LL52" s="229" t="str">
        <f t="shared" si="227"/>
        <v/>
      </c>
      <c r="LM52" s="229" t="str">
        <f t="shared" si="228"/>
        <v/>
      </c>
      <c r="LN52" s="229" t="str">
        <f t="shared" si="229"/>
        <v/>
      </c>
      <c r="LO52" s="229" t="str">
        <f t="shared" si="230"/>
        <v/>
      </c>
      <c r="LP52" s="229" t="str">
        <f t="shared" si="231"/>
        <v/>
      </c>
      <c r="LQ52" s="229" t="str">
        <f t="shared" si="232"/>
        <v/>
      </c>
      <c r="LR52" s="229" t="str">
        <f t="shared" si="233"/>
        <v/>
      </c>
      <c r="LS52" s="229" t="str">
        <f t="shared" si="234"/>
        <v/>
      </c>
      <c r="LT52" s="229" t="str">
        <f t="shared" si="235"/>
        <v/>
      </c>
      <c r="LU52" s="229" t="str">
        <f t="shared" si="236"/>
        <v/>
      </c>
      <c r="LV52" s="229" t="str">
        <f t="shared" si="237"/>
        <v/>
      </c>
      <c r="LW52" s="229" t="str">
        <f t="shared" si="238"/>
        <v/>
      </c>
      <c r="LX52" s="229" t="str">
        <f t="shared" si="239"/>
        <v/>
      </c>
      <c r="LY52" s="231" t="str">
        <f t="shared" si="240"/>
        <v/>
      </c>
      <c r="LZ52" s="231" t="str">
        <f t="shared" si="241"/>
        <v/>
      </c>
      <c r="MA52" s="231" t="str">
        <f t="shared" si="242"/>
        <v/>
      </c>
      <c r="MB52" s="231" t="str">
        <f t="shared" si="243"/>
        <v/>
      </c>
      <c r="MC52" s="231" t="str">
        <f t="shared" si="244"/>
        <v/>
      </c>
      <c r="MD52" s="231" t="str">
        <f t="shared" si="245"/>
        <v/>
      </c>
      <c r="ME52" s="231" t="str">
        <f t="shared" si="246"/>
        <v/>
      </c>
      <c r="MF52" s="231" t="str">
        <f t="shared" si="247"/>
        <v/>
      </c>
      <c r="MG52" s="231" t="str">
        <f t="shared" si="248"/>
        <v/>
      </c>
      <c r="MH52" s="231" t="str">
        <f t="shared" si="249"/>
        <v/>
      </c>
      <c r="MI52" s="231" t="str">
        <f t="shared" si="250"/>
        <v/>
      </c>
      <c r="MJ52" s="231" t="str">
        <f t="shared" si="251"/>
        <v/>
      </c>
      <c r="MK52" s="231" t="str">
        <f t="shared" si="252"/>
        <v/>
      </c>
      <c r="ML52" s="231" t="str">
        <f t="shared" si="253"/>
        <v/>
      </c>
      <c r="MM52" s="231" t="str">
        <f t="shared" si="254"/>
        <v/>
      </c>
      <c r="MN52" s="231" t="str">
        <f t="shared" si="255"/>
        <v/>
      </c>
      <c r="MO52" s="231" t="str">
        <f t="shared" si="256"/>
        <v/>
      </c>
      <c r="MP52" s="231" t="str">
        <f t="shared" si="257"/>
        <v/>
      </c>
      <c r="MQ52" s="231" t="str">
        <f t="shared" si="258"/>
        <v/>
      </c>
      <c r="MR52" s="231" t="str">
        <f t="shared" si="259"/>
        <v/>
      </c>
      <c r="MS52" s="231" t="str">
        <f t="shared" si="359"/>
        <v/>
      </c>
      <c r="MT52" s="232" t="str">
        <f>IF(MS52="","",IF(MS52&gt;=KONVERSI!$A$5,KONVERSI!$E$5,IF(MS52&gt;=KONVERSI!$A$6,KONVERSI!$E$6,IF(MS52&gt;=KONVERSI!$A$7,KONVERSI!$E$7,KONVERSI!$E$8))))</f>
        <v/>
      </c>
      <c r="MU52" s="233" t="str">
        <f t="shared" si="360"/>
        <v/>
      </c>
      <c r="MV52" s="234" t="str">
        <f t="shared" si="260"/>
        <v/>
      </c>
      <c r="MW52" s="232" t="str">
        <f>IF(MV52="","",IF(MV52&gt;=KONVERSI!$A$5,KONVERSI!$E$5,IF(MV52&gt;=KONVERSI!$A$6,KONVERSI!$E$6,IF(MV52&gt;=KONVERSI!$A$7,KONVERSI!$E$7,KONVERSI!$E$8))))</f>
        <v/>
      </c>
      <c r="MX52" s="134" t="str">
        <f>IF(FI52&lt;$FN$4," "&amp;KONVERSI!$C$18&amp;INDEX($LY$8:$MR$8,MATCH(MV52,LY52:MR52,0))&amp;".",IF(KG52=0,"",IF(MV52&lt;&gt;0,MU52&amp;MW52&amp;".",MU52&amp;".")))</f>
        <v/>
      </c>
      <c r="MY52" s="235" t="str">
        <f t="shared" si="261"/>
        <v/>
      </c>
      <c r="MZ52" s="235" t="str">
        <f t="shared" si="262"/>
        <v/>
      </c>
      <c r="NA52" s="235" t="str">
        <f t="shared" si="263"/>
        <v/>
      </c>
      <c r="NB52" s="235" t="str">
        <f t="shared" si="264"/>
        <v/>
      </c>
      <c r="NC52" s="235" t="str">
        <f t="shared" si="265"/>
        <v/>
      </c>
      <c r="ND52" s="235" t="str">
        <f t="shared" si="266"/>
        <v/>
      </c>
      <c r="NE52" s="235" t="str">
        <f t="shared" si="267"/>
        <v/>
      </c>
      <c r="NF52" s="235" t="str">
        <f t="shared" si="268"/>
        <v/>
      </c>
      <c r="NG52" s="235" t="str">
        <f t="shared" si="269"/>
        <v/>
      </c>
      <c r="NH52" s="235" t="str">
        <f t="shared" si="270"/>
        <v/>
      </c>
      <c r="NI52" s="235" t="str">
        <f t="shared" si="271"/>
        <v/>
      </c>
      <c r="NJ52" s="235" t="str">
        <f t="shared" si="272"/>
        <v/>
      </c>
      <c r="NK52" s="235" t="str">
        <f t="shared" si="273"/>
        <v/>
      </c>
      <c r="NL52" s="235" t="str">
        <f t="shared" si="274"/>
        <v/>
      </c>
      <c r="NM52" s="235" t="str">
        <f t="shared" si="275"/>
        <v/>
      </c>
      <c r="NN52" s="235" t="str">
        <f t="shared" si="276"/>
        <v/>
      </c>
      <c r="NO52" s="235" t="str">
        <f t="shared" si="277"/>
        <v/>
      </c>
      <c r="NP52" s="235" t="str">
        <f t="shared" si="278"/>
        <v/>
      </c>
      <c r="NQ52" s="235" t="str">
        <f t="shared" si="279"/>
        <v/>
      </c>
      <c r="NR52" s="235" t="str">
        <f t="shared" si="280"/>
        <v/>
      </c>
      <c r="NS52" s="134" t="str">
        <f t="shared" si="281"/>
        <v/>
      </c>
      <c r="NT52" s="134" t="str">
        <f t="shared" si="282"/>
        <v/>
      </c>
      <c r="NU52" s="134" t="str">
        <f t="shared" si="283"/>
        <v/>
      </c>
      <c r="NV52" s="134" t="str">
        <f t="shared" si="284"/>
        <v/>
      </c>
      <c r="NW52" s="134" t="str">
        <f t="shared" si="285"/>
        <v/>
      </c>
      <c r="NX52" s="134" t="str">
        <f t="shared" si="286"/>
        <v/>
      </c>
      <c r="NY52" s="134" t="str">
        <f t="shared" si="287"/>
        <v/>
      </c>
      <c r="NZ52" s="134" t="str">
        <f t="shared" si="288"/>
        <v/>
      </c>
      <c r="OA52" s="134" t="str">
        <f t="shared" si="289"/>
        <v/>
      </c>
      <c r="OB52" s="134" t="str">
        <f t="shared" si="290"/>
        <v/>
      </c>
      <c r="OC52" s="134" t="str">
        <f t="shared" si="291"/>
        <v/>
      </c>
      <c r="OD52" s="134" t="str">
        <f t="shared" si="292"/>
        <v/>
      </c>
      <c r="OE52" s="134" t="str">
        <f t="shared" si="293"/>
        <v/>
      </c>
      <c r="OF52" s="134" t="str">
        <f t="shared" si="294"/>
        <v/>
      </c>
      <c r="OG52" s="134" t="str">
        <f t="shared" si="295"/>
        <v/>
      </c>
      <c r="OH52" s="134" t="str">
        <f t="shared" si="296"/>
        <v/>
      </c>
      <c r="OI52" s="134" t="str">
        <f t="shared" si="297"/>
        <v/>
      </c>
      <c r="OJ52" s="134" t="str">
        <f t="shared" si="298"/>
        <v/>
      </c>
      <c r="OK52" s="134" t="str">
        <f t="shared" si="299"/>
        <v/>
      </c>
      <c r="OL52" s="134" t="str">
        <f t="shared" si="300"/>
        <v/>
      </c>
      <c r="OM52" s="134" t="str">
        <f t="shared" si="301"/>
        <v/>
      </c>
      <c r="ON52" s="134" t="str">
        <f t="shared" si="302"/>
        <v>  </v>
      </c>
      <c r="OO52" s="236">
        <f t="shared" si="361"/>
        <v>0</v>
      </c>
      <c r="OP52" s="235" t="str">
        <f t="shared" si="303"/>
        <v/>
      </c>
      <c r="OQ52" s="235" t="str">
        <f t="shared" si="304"/>
        <v/>
      </c>
      <c r="OR52" s="235" t="str">
        <f t="shared" si="305"/>
        <v/>
      </c>
      <c r="OS52" s="235" t="str">
        <f t="shared" si="306"/>
        <v/>
      </c>
      <c r="OT52" s="235" t="str">
        <f t="shared" si="307"/>
        <v/>
      </c>
      <c r="OU52" s="235" t="str">
        <f t="shared" si="308"/>
        <v/>
      </c>
      <c r="OV52" s="235" t="str">
        <f t="shared" si="309"/>
        <v/>
      </c>
      <c r="OW52" s="235" t="str">
        <f t="shared" si="310"/>
        <v/>
      </c>
      <c r="OX52" s="235" t="str">
        <f t="shared" si="311"/>
        <v/>
      </c>
      <c r="OY52" s="235" t="str">
        <f t="shared" si="312"/>
        <v/>
      </c>
      <c r="OZ52" s="235" t="str">
        <f t="shared" si="313"/>
        <v/>
      </c>
      <c r="PA52" s="235" t="str">
        <f t="shared" si="314"/>
        <v/>
      </c>
      <c r="PB52" s="235" t="str">
        <f t="shared" si="315"/>
        <v/>
      </c>
      <c r="PC52" s="235" t="str">
        <f t="shared" si="316"/>
        <v/>
      </c>
      <c r="PD52" s="235" t="str">
        <f t="shared" si="317"/>
        <v/>
      </c>
      <c r="PE52" s="235" t="str">
        <f t="shared" si="318"/>
        <v/>
      </c>
      <c r="PF52" s="235" t="str">
        <f t="shared" si="319"/>
        <v/>
      </c>
      <c r="PG52" s="235" t="str">
        <f t="shared" si="320"/>
        <v/>
      </c>
      <c r="PH52" s="235" t="str">
        <f t="shared" si="321"/>
        <v/>
      </c>
      <c r="PI52" s="235" t="str">
        <f t="shared" si="322"/>
        <v/>
      </c>
      <c r="PJ52" s="134" t="str">
        <f t="shared" si="323"/>
        <v/>
      </c>
      <c r="PK52" s="134" t="str">
        <f t="shared" si="324"/>
        <v/>
      </c>
      <c r="PL52" s="134" t="str">
        <f t="shared" si="325"/>
        <v/>
      </c>
      <c r="PM52" s="134" t="str">
        <f t="shared" si="326"/>
        <v/>
      </c>
      <c r="PN52" s="134" t="str">
        <f t="shared" si="327"/>
        <v/>
      </c>
      <c r="PO52" s="134" t="str">
        <f t="shared" si="328"/>
        <v/>
      </c>
      <c r="PP52" s="134" t="str">
        <f t="shared" si="329"/>
        <v/>
      </c>
      <c r="PQ52" s="134" t="str">
        <f t="shared" si="330"/>
        <v/>
      </c>
      <c r="PR52" s="134" t="str">
        <f t="shared" si="331"/>
        <v/>
      </c>
      <c r="PS52" s="134" t="str">
        <f t="shared" si="332"/>
        <v/>
      </c>
      <c r="PT52" s="134" t="str">
        <f t="shared" si="333"/>
        <v/>
      </c>
      <c r="PU52" s="134" t="str">
        <f t="shared" si="334"/>
        <v/>
      </c>
      <c r="PV52" s="134" t="str">
        <f t="shared" si="335"/>
        <v/>
      </c>
      <c r="PW52" s="134" t="str">
        <f t="shared" si="336"/>
        <v/>
      </c>
      <c r="PX52" s="134" t="str">
        <f t="shared" si="337"/>
        <v/>
      </c>
      <c r="PY52" s="134" t="str">
        <f t="shared" si="338"/>
        <v/>
      </c>
      <c r="PZ52" s="134" t="str">
        <f t="shared" si="339"/>
        <v/>
      </c>
      <c r="QA52" s="134" t="str">
        <f t="shared" si="340"/>
        <v/>
      </c>
      <c r="QB52" s="134" t="str">
        <f t="shared" si="341"/>
        <v/>
      </c>
      <c r="QC52" s="134" t="str">
        <f t="shared" si="342"/>
        <v/>
      </c>
      <c r="QD52" s="134" t="str">
        <f>IF(MT52=MW52,"",IF(MV52="","",IF(MV52&gt;=KONVERSI!$A$7,'KI3'!MW52&amp;" dalam"&amp;PJ52&amp;PK52&amp;PL52&amp;PM52&amp;PN52&amp;PO52&amp;PP52&amp;PQ52&amp;PR52&amp;PS52&amp;PT52&amp;PU52&amp;PV52&amp;PW52&amp;PX52&amp;PY52&amp;PZ52&amp;QA52&amp;QB52&amp;QC52,KONVERSI!$C$18&amp;" dalam"&amp;PJ52&amp;PK52&amp;PL52&amp;PM52&amp;PN52&amp;PO52&amp;PP52&amp;PQ52&amp;PR52&amp;PS52&amp;PT52&amp;PU52&amp;PV52&amp;PW52&amp;PX52&amp;PY52&amp;PZ52&amp;QA52&amp;QB52&amp;QC52)))</f>
        <v/>
      </c>
      <c r="QE52" s="134" t="str">
        <f t="shared" si="343"/>
        <v/>
      </c>
      <c r="QF52" s="236">
        <f t="shared" si="362"/>
        <v>0</v>
      </c>
      <c r="QG52" s="134" t="str">
        <f t="shared" si="363"/>
        <v/>
      </c>
    </row>
    <row r="53" ht="27.6" customHeight="1" spans="1:449">
      <c r="A53" s="136"/>
      <c r="B53" s="177">
        <v>45</v>
      </c>
      <c r="C53" s="178">
        <f>siswa!C49</f>
        <v>0</v>
      </c>
      <c r="D53" s="174">
        <f>siswa!D49</f>
        <v>0</v>
      </c>
      <c r="E53" s="181"/>
      <c r="F53" s="176"/>
      <c r="G53" s="176"/>
      <c r="H53" s="176"/>
      <c r="I53" s="176"/>
      <c r="J53" s="176"/>
      <c r="K53" s="176"/>
      <c r="L53" s="223" t="str">
        <f t="shared" si="174"/>
        <v/>
      </c>
      <c r="M53" s="181"/>
      <c r="N53" s="176"/>
      <c r="O53" s="176"/>
      <c r="P53" s="176"/>
      <c r="Q53" s="176"/>
      <c r="R53" s="176"/>
      <c r="S53" s="176"/>
      <c r="T53" s="223" t="str">
        <f t="shared" si="175"/>
        <v/>
      </c>
      <c r="U53" s="181"/>
      <c r="V53" s="176"/>
      <c r="W53" s="176"/>
      <c r="X53" s="176"/>
      <c r="Y53" s="176"/>
      <c r="Z53" s="176"/>
      <c r="AA53" s="176"/>
      <c r="AB53" s="223">
        <f t="shared" si="176"/>
        <v>0</v>
      </c>
      <c r="AC53" s="181"/>
      <c r="AD53" s="176"/>
      <c r="AE53" s="176"/>
      <c r="AF53" s="176"/>
      <c r="AG53" s="176"/>
      <c r="AH53" s="176"/>
      <c r="AI53" s="176"/>
      <c r="AJ53" s="223">
        <f t="shared" si="177"/>
        <v>0</v>
      </c>
      <c r="AK53" s="181"/>
      <c r="AL53" s="176"/>
      <c r="AM53" s="176"/>
      <c r="AN53" s="176"/>
      <c r="AO53" s="176"/>
      <c r="AP53" s="176"/>
      <c r="AQ53" s="176"/>
      <c r="AR53" s="223">
        <f t="shared" si="178"/>
        <v>0</v>
      </c>
      <c r="AS53" s="181"/>
      <c r="AT53" s="176"/>
      <c r="AU53" s="176"/>
      <c r="AV53" s="176"/>
      <c r="AW53" s="176"/>
      <c r="AX53" s="176"/>
      <c r="AY53" s="176"/>
      <c r="AZ53" s="223">
        <f t="shared" si="179"/>
        <v>0</v>
      </c>
      <c r="BA53" s="181"/>
      <c r="BB53" s="176"/>
      <c r="BC53" s="176"/>
      <c r="BD53" s="176"/>
      <c r="BE53" s="176"/>
      <c r="BF53" s="176"/>
      <c r="BG53" s="176"/>
      <c r="BH53" s="223">
        <f t="shared" si="180"/>
        <v>0</v>
      </c>
      <c r="BI53" s="181"/>
      <c r="BJ53" s="176"/>
      <c r="BK53" s="176"/>
      <c r="BL53" s="176"/>
      <c r="BM53" s="176"/>
      <c r="BN53" s="176"/>
      <c r="BO53" s="176"/>
      <c r="BP53" s="223">
        <f t="shared" si="181"/>
        <v>0</v>
      </c>
      <c r="BQ53" s="181"/>
      <c r="BR53" s="176"/>
      <c r="BS53" s="176"/>
      <c r="BT53" s="176"/>
      <c r="BU53" s="176"/>
      <c r="BV53" s="176"/>
      <c r="BW53" s="176"/>
      <c r="BX53" s="223">
        <f t="shared" si="182"/>
        <v>0</v>
      </c>
      <c r="BY53" s="181"/>
      <c r="BZ53" s="176"/>
      <c r="CA53" s="176"/>
      <c r="CB53" s="176"/>
      <c r="CC53" s="176"/>
      <c r="CD53" s="176"/>
      <c r="CE53" s="176"/>
      <c r="CF53" s="223">
        <f t="shared" si="183"/>
        <v>0</v>
      </c>
      <c r="CG53" s="181"/>
      <c r="CH53" s="176"/>
      <c r="CI53" s="176"/>
      <c r="CJ53" s="176"/>
      <c r="CK53" s="176"/>
      <c r="CL53" s="176"/>
      <c r="CM53" s="176"/>
      <c r="CN53" s="223">
        <f t="shared" si="184"/>
        <v>0</v>
      </c>
      <c r="CO53" s="181"/>
      <c r="CP53" s="176"/>
      <c r="CQ53" s="176"/>
      <c r="CR53" s="176"/>
      <c r="CS53" s="176"/>
      <c r="CT53" s="176"/>
      <c r="CU53" s="176"/>
      <c r="CV53" s="223">
        <f t="shared" si="185"/>
        <v>0</v>
      </c>
      <c r="CW53" s="181"/>
      <c r="CX53" s="176"/>
      <c r="CY53" s="176"/>
      <c r="CZ53" s="176"/>
      <c r="DA53" s="176"/>
      <c r="DB53" s="176"/>
      <c r="DC53" s="176"/>
      <c r="DD53" s="223">
        <f t="shared" si="186"/>
        <v>0</v>
      </c>
      <c r="DE53" s="181"/>
      <c r="DF53" s="176"/>
      <c r="DG53" s="176"/>
      <c r="DH53" s="176"/>
      <c r="DI53" s="176"/>
      <c r="DJ53" s="176"/>
      <c r="DK53" s="176"/>
      <c r="DL53" s="223">
        <f t="shared" si="187"/>
        <v>0</v>
      </c>
      <c r="DM53" s="181"/>
      <c r="DN53" s="176"/>
      <c r="DO53" s="176"/>
      <c r="DP53" s="176"/>
      <c r="DQ53" s="176"/>
      <c r="DR53" s="176"/>
      <c r="DS53" s="176"/>
      <c r="DT53" s="223">
        <f t="shared" si="188"/>
        <v>0</v>
      </c>
      <c r="DU53" s="181"/>
      <c r="DV53" s="176"/>
      <c r="DW53" s="176"/>
      <c r="DX53" s="176"/>
      <c r="DY53" s="176"/>
      <c r="DZ53" s="176"/>
      <c r="EA53" s="176"/>
      <c r="EB53" s="223">
        <f t="shared" si="189"/>
        <v>0</v>
      </c>
      <c r="EC53" s="181"/>
      <c r="ED53" s="176"/>
      <c r="EE53" s="176"/>
      <c r="EF53" s="176"/>
      <c r="EG53" s="176"/>
      <c r="EH53" s="176"/>
      <c r="EI53" s="176"/>
      <c r="EJ53" s="223">
        <f t="shared" si="190"/>
        <v>0</v>
      </c>
      <c r="EK53" s="181"/>
      <c r="EL53" s="176"/>
      <c r="EM53" s="176"/>
      <c r="EN53" s="176"/>
      <c r="EO53" s="176"/>
      <c r="EP53" s="176"/>
      <c r="EQ53" s="176"/>
      <c r="ER53" s="223">
        <f t="shared" si="191"/>
        <v>0</v>
      </c>
      <c r="ES53" s="181"/>
      <c r="ET53" s="176"/>
      <c r="EU53" s="176"/>
      <c r="EV53" s="176"/>
      <c r="EW53" s="176"/>
      <c r="EX53" s="176"/>
      <c r="EY53" s="176"/>
      <c r="EZ53" s="223">
        <f t="shared" si="192"/>
        <v>0</v>
      </c>
      <c r="FA53" s="181"/>
      <c r="FB53" s="176"/>
      <c r="FC53" s="176"/>
      <c r="FD53" s="176"/>
      <c r="FE53" s="176"/>
      <c r="FF53" s="176"/>
      <c r="FG53" s="176"/>
      <c r="FH53" s="223">
        <f t="shared" si="193"/>
        <v>0</v>
      </c>
      <c r="FI53" s="291" t="str">
        <f t="shared" si="194"/>
        <v/>
      </c>
      <c r="FJ53" s="250"/>
      <c r="FK53" s="250"/>
      <c r="FL53" s="291" t="str">
        <f t="shared" si="195"/>
        <v/>
      </c>
      <c r="FM53" s="312" t="str">
        <f>IFERROR(IF(FL53="","",IF(FL53&gt;=KONVERSI!$A$5,KONVERSI!$D$5,IF(FL53&gt;=KONVERSI!$A$6,KONVERSI!$D$6,IF(FL53&gt;=KONVERSI!$A$7,KONVERSI!$D$7,KONVERSI!$D$8)))),"")</f>
        <v/>
      </c>
      <c r="FN53" s="232" t="str">
        <f t="shared" si="196"/>
        <v/>
      </c>
      <c r="FO53" s="313"/>
      <c r="FP53" s="314">
        <f t="shared" si="197"/>
        <v>0</v>
      </c>
      <c r="FQ53" s="194" t="str">
        <f t="shared" si="33"/>
        <v/>
      </c>
      <c r="FR53" s="194" t="str">
        <f t="shared" si="34"/>
        <v/>
      </c>
      <c r="FS53" s="194" t="str">
        <f t="shared" si="35"/>
        <v/>
      </c>
      <c r="FT53" s="194" t="str">
        <f t="shared" si="36"/>
        <v/>
      </c>
      <c r="FU53" s="194" t="str">
        <f t="shared" si="37"/>
        <v/>
      </c>
      <c r="FV53" s="194" t="str">
        <f t="shared" si="345"/>
        <v/>
      </c>
      <c r="FW53" s="194" t="str">
        <f t="shared" si="39"/>
        <v/>
      </c>
      <c r="FX53" s="194" t="str">
        <f t="shared" si="344"/>
        <v/>
      </c>
      <c r="FY53" s="194" t="str">
        <f t="shared" si="40"/>
        <v/>
      </c>
      <c r="FZ53" s="194" t="str">
        <f t="shared" si="41"/>
        <v/>
      </c>
      <c r="GA53" s="194" t="str">
        <f t="shared" si="42"/>
        <v/>
      </c>
      <c r="GB53" s="194" t="str">
        <f t="shared" si="346"/>
        <v/>
      </c>
      <c r="GC53" s="194" t="str">
        <f t="shared" si="44"/>
        <v/>
      </c>
      <c r="GD53" s="194" t="str">
        <f t="shared" si="45"/>
        <v/>
      </c>
      <c r="GE53" s="194" t="str">
        <f t="shared" si="46"/>
        <v/>
      </c>
      <c r="GF53" s="194" t="str">
        <f t="shared" si="47"/>
        <v/>
      </c>
      <c r="GG53" s="194" t="str">
        <f t="shared" si="48"/>
        <v/>
      </c>
      <c r="GH53" s="194" t="str">
        <f t="shared" si="347"/>
        <v/>
      </c>
      <c r="GI53" s="194" t="str">
        <f t="shared" si="50"/>
        <v/>
      </c>
      <c r="GJ53" s="194" t="str">
        <f t="shared" si="51"/>
        <v/>
      </c>
      <c r="GK53" s="194" t="str">
        <f t="shared" si="52"/>
        <v/>
      </c>
      <c r="GL53" s="194" t="str">
        <f t="shared" si="53"/>
        <v/>
      </c>
      <c r="GM53" s="194" t="str">
        <f t="shared" si="54"/>
        <v/>
      </c>
      <c r="GN53" s="194" t="str">
        <f t="shared" si="348"/>
        <v/>
      </c>
      <c r="GO53" s="194" t="str">
        <f t="shared" si="56"/>
        <v/>
      </c>
      <c r="GP53" s="194" t="str">
        <f t="shared" si="57"/>
        <v/>
      </c>
      <c r="GQ53" s="194" t="str">
        <f t="shared" si="58"/>
        <v/>
      </c>
      <c r="GR53" s="194" t="str">
        <f t="shared" si="59"/>
        <v/>
      </c>
      <c r="GS53" s="194" t="str">
        <f t="shared" si="60"/>
        <v/>
      </c>
      <c r="GT53" s="194" t="str">
        <f t="shared" si="349"/>
        <v/>
      </c>
      <c r="GU53" s="194" t="str">
        <f t="shared" si="62"/>
        <v/>
      </c>
      <c r="GV53" s="194" t="str">
        <f t="shared" si="63"/>
        <v/>
      </c>
      <c r="GW53" s="194" t="str">
        <f t="shared" si="64"/>
        <v/>
      </c>
      <c r="GX53" s="194" t="str">
        <f t="shared" si="65"/>
        <v/>
      </c>
      <c r="GY53" s="194" t="str">
        <f t="shared" si="66"/>
        <v/>
      </c>
      <c r="GZ53" s="194" t="str">
        <f t="shared" si="350"/>
        <v/>
      </c>
      <c r="HA53" s="194" t="str">
        <f t="shared" si="68"/>
        <v/>
      </c>
      <c r="HB53" s="194" t="str">
        <f t="shared" si="69"/>
        <v/>
      </c>
      <c r="HC53" s="194" t="str">
        <f t="shared" si="70"/>
        <v/>
      </c>
      <c r="HD53" s="194" t="str">
        <f t="shared" si="71"/>
        <v/>
      </c>
      <c r="HE53" s="194" t="str">
        <f t="shared" si="72"/>
        <v/>
      </c>
      <c r="HF53" s="194" t="str">
        <f t="shared" si="351"/>
        <v/>
      </c>
      <c r="HG53" s="194" t="str">
        <f t="shared" si="74"/>
        <v/>
      </c>
      <c r="HH53" s="194" t="str">
        <f t="shared" si="75"/>
        <v/>
      </c>
      <c r="HI53" s="194" t="str">
        <f t="shared" si="76"/>
        <v/>
      </c>
      <c r="HJ53" s="194" t="str">
        <f t="shared" si="77"/>
        <v/>
      </c>
      <c r="HK53" s="194" t="str">
        <f t="shared" si="78"/>
        <v/>
      </c>
      <c r="HL53" s="194" t="str">
        <f t="shared" si="352"/>
        <v/>
      </c>
      <c r="HM53" s="194" t="str">
        <f t="shared" si="80"/>
        <v/>
      </c>
      <c r="HN53" s="194" t="str">
        <f t="shared" si="81"/>
        <v/>
      </c>
      <c r="HO53" s="194" t="str">
        <f t="shared" si="82"/>
        <v/>
      </c>
      <c r="HP53" s="194" t="str">
        <f t="shared" si="83"/>
        <v/>
      </c>
      <c r="HQ53" s="194" t="str">
        <f t="shared" si="84"/>
        <v/>
      </c>
      <c r="HR53" s="194" t="str">
        <f t="shared" si="353"/>
        <v/>
      </c>
      <c r="HS53" s="194" t="str">
        <f t="shared" si="86"/>
        <v/>
      </c>
      <c r="HT53" s="194" t="str">
        <f t="shared" si="87"/>
        <v/>
      </c>
      <c r="HU53" s="194" t="str">
        <f t="shared" si="88"/>
        <v/>
      </c>
      <c r="HV53" s="194" t="str">
        <f t="shared" si="89"/>
        <v/>
      </c>
      <c r="HW53" s="194" t="str">
        <f t="shared" si="90"/>
        <v/>
      </c>
      <c r="HX53" s="194" t="str">
        <f t="shared" si="354"/>
        <v/>
      </c>
      <c r="HY53" s="194" t="str">
        <f t="shared" si="92"/>
        <v/>
      </c>
      <c r="HZ53" s="194" t="str">
        <f t="shared" si="93"/>
        <v/>
      </c>
      <c r="IA53" s="194" t="str">
        <f t="shared" si="94"/>
        <v/>
      </c>
      <c r="IB53" s="194" t="str">
        <f t="shared" si="95"/>
        <v/>
      </c>
      <c r="IC53" s="194" t="str">
        <f t="shared" si="96"/>
        <v/>
      </c>
      <c r="ID53" s="194" t="str">
        <f t="shared" si="355"/>
        <v/>
      </c>
      <c r="IE53" s="194" t="str">
        <f t="shared" si="98"/>
        <v/>
      </c>
      <c r="IF53" s="194" t="str">
        <f t="shared" si="99"/>
        <v/>
      </c>
      <c r="IG53" s="194" t="str">
        <f t="shared" si="100"/>
        <v/>
      </c>
      <c r="IH53" s="194" t="str">
        <f t="shared" si="101"/>
        <v/>
      </c>
      <c r="II53" s="194" t="str">
        <f t="shared" si="102"/>
        <v/>
      </c>
      <c r="IJ53" s="194" t="str">
        <f t="shared" si="356"/>
        <v/>
      </c>
      <c r="IK53" s="194" t="str">
        <f t="shared" si="104"/>
        <v/>
      </c>
      <c r="IL53" s="194" t="str">
        <f t="shared" si="105"/>
        <v/>
      </c>
      <c r="IM53" s="194" t="str">
        <f t="shared" si="106"/>
        <v/>
      </c>
      <c r="IN53" s="194" t="str">
        <f t="shared" si="107"/>
        <v/>
      </c>
      <c r="IO53" s="194" t="str">
        <f t="shared" si="108"/>
        <v/>
      </c>
      <c r="IP53" s="194" t="str">
        <f t="shared" si="357"/>
        <v/>
      </c>
      <c r="IQ53" s="194" t="str">
        <f t="shared" si="110"/>
        <v/>
      </c>
      <c r="IR53" s="194" t="str">
        <f t="shared" si="111"/>
        <v/>
      </c>
      <c r="IS53" s="194" t="str">
        <f t="shared" si="112"/>
        <v/>
      </c>
      <c r="IT53" s="194" t="str">
        <f t="shared" si="113"/>
        <v/>
      </c>
      <c r="IU53" s="194" t="str">
        <f t="shared" si="114"/>
        <v/>
      </c>
      <c r="IV53" s="194" t="str">
        <f t="shared" si="358"/>
        <v/>
      </c>
      <c r="IW53" s="194" t="str">
        <f t="shared" si="364"/>
        <v/>
      </c>
      <c r="IX53" s="194" t="str">
        <f t="shared" si="365"/>
        <v/>
      </c>
      <c r="IY53" s="194" t="str">
        <f t="shared" si="366"/>
        <v/>
      </c>
      <c r="IZ53" s="194" t="str">
        <f t="shared" si="367"/>
        <v/>
      </c>
      <c r="JA53" s="194" t="str">
        <f t="shared" si="368"/>
        <v/>
      </c>
      <c r="JB53" s="194" t="str">
        <f t="shared" si="369"/>
        <v/>
      </c>
      <c r="JC53" s="194" t="str">
        <f t="shared" si="370"/>
        <v/>
      </c>
      <c r="JD53" s="194" t="str">
        <f t="shared" si="371"/>
        <v/>
      </c>
      <c r="JE53" s="194" t="str">
        <f t="shared" si="372"/>
        <v/>
      </c>
      <c r="JF53" s="194" t="str">
        <f t="shared" si="373"/>
        <v/>
      </c>
      <c r="JG53" s="194" t="str">
        <f t="shared" si="374"/>
        <v/>
      </c>
      <c r="JH53" s="194" t="str">
        <f t="shared" si="379"/>
        <v/>
      </c>
      <c r="JI53" s="194" t="str">
        <f t="shared" si="380"/>
        <v/>
      </c>
      <c r="JJ53" s="194" t="str">
        <f t="shared" si="381"/>
        <v/>
      </c>
      <c r="JK53" s="194" t="str">
        <f t="shared" si="382"/>
        <v/>
      </c>
      <c r="JL53" s="194" t="str">
        <f t="shared" si="383"/>
        <v/>
      </c>
      <c r="JM53" s="194" t="str">
        <f t="shared" si="384"/>
        <v/>
      </c>
      <c r="JN53" s="194" t="str">
        <f t="shared" si="385"/>
        <v/>
      </c>
      <c r="JO53" s="194" t="str">
        <f t="shared" si="386"/>
        <v/>
      </c>
      <c r="JP53" s="194" t="str">
        <f t="shared" si="387"/>
        <v/>
      </c>
      <c r="JQ53" s="194" t="str">
        <f t="shared" si="388"/>
        <v/>
      </c>
      <c r="JR53" s="194" t="str">
        <f t="shared" si="389"/>
        <v/>
      </c>
      <c r="JS53" s="194" t="str">
        <f t="shared" si="390"/>
        <v/>
      </c>
      <c r="JT53" s="194" t="str">
        <f t="shared" si="391"/>
        <v/>
      </c>
      <c r="JU53" s="194" t="str">
        <f t="shared" si="392"/>
        <v/>
      </c>
      <c r="JV53" s="194" t="str">
        <f t="shared" si="393"/>
        <v/>
      </c>
      <c r="JW53" s="194" t="str">
        <f t="shared" si="394"/>
        <v/>
      </c>
      <c r="JX53" s="194" t="str">
        <f t="shared" si="395"/>
        <v/>
      </c>
      <c r="JY53" s="194" t="str">
        <f t="shared" si="396"/>
        <v/>
      </c>
      <c r="JZ53" s="194" t="str">
        <f t="shared" si="397"/>
        <v/>
      </c>
      <c r="KA53" s="194" t="str">
        <f t="shared" si="398"/>
        <v/>
      </c>
      <c r="KB53" s="194" t="str">
        <f t="shared" si="399"/>
        <v/>
      </c>
      <c r="KC53" s="194" t="str">
        <f t="shared" si="400"/>
        <v/>
      </c>
      <c r="KD53" s="194" t="str">
        <f t="shared" si="401"/>
        <v/>
      </c>
      <c r="KE53" s="194" t="str">
        <f t="shared" si="402"/>
        <v/>
      </c>
      <c r="KF53" s="194" t="str">
        <f t="shared" si="403"/>
        <v/>
      </c>
      <c r="KG53" s="194">
        <f>SUM(LE53:LX53)/COUNTA(RefKI3KI4!$B$5:$B$24)</f>
        <v>0</v>
      </c>
      <c r="KH53" s="232">
        <f t="shared" si="198"/>
        <v>0</v>
      </c>
      <c r="KI53" s="340" t="str">
        <f t="shared" si="199"/>
        <v>ok</v>
      </c>
      <c r="KJ53" s="340" t="str">
        <f t="shared" si="200"/>
        <v>ok</v>
      </c>
      <c r="KK53" s="340" t="str">
        <f t="shared" si="201"/>
        <v/>
      </c>
      <c r="KL53" s="340" t="str">
        <f t="shared" si="202"/>
        <v/>
      </c>
      <c r="KM53" s="340" t="str">
        <f t="shared" si="203"/>
        <v/>
      </c>
      <c r="KN53" s="340" t="str">
        <f t="shared" si="204"/>
        <v/>
      </c>
      <c r="KO53" s="340" t="str">
        <f t="shared" si="205"/>
        <v/>
      </c>
      <c r="KP53" s="340" t="str">
        <f t="shared" si="206"/>
        <v/>
      </c>
      <c r="KQ53" s="340" t="str">
        <f t="shared" si="207"/>
        <v/>
      </c>
      <c r="KR53" s="340" t="str">
        <f t="shared" si="208"/>
        <v/>
      </c>
      <c r="KS53" s="340" t="str">
        <f t="shared" si="209"/>
        <v/>
      </c>
      <c r="KT53" s="340" t="str">
        <f t="shared" si="210"/>
        <v/>
      </c>
      <c r="KU53" s="340" t="str">
        <f t="shared" si="211"/>
        <v/>
      </c>
      <c r="KV53" s="340" t="str">
        <f t="shared" si="212"/>
        <v/>
      </c>
      <c r="KW53" s="340" t="str">
        <f t="shared" si="213"/>
        <v/>
      </c>
      <c r="KX53" s="340" t="str">
        <f t="shared" si="214"/>
        <v/>
      </c>
      <c r="KY53" s="340" t="str">
        <f t="shared" si="215"/>
        <v/>
      </c>
      <c r="KZ53" s="340" t="str">
        <f t="shared" si="216"/>
        <v/>
      </c>
      <c r="LA53" s="340" t="str">
        <f t="shared" si="217"/>
        <v/>
      </c>
      <c r="LB53" s="340" t="str">
        <f t="shared" si="218"/>
        <v/>
      </c>
      <c r="LC53" s="340">
        <f t="shared" si="219"/>
        <v>0</v>
      </c>
      <c r="LD53" s="228">
        <v>45</v>
      </c>
      <c r="LE53" s="229" t="str">
        <f t="shared" si="220"/>
        <v/>
      </c>
      <c r="LF53" s="229" t="str">
        <f t="shared" si="221"/>
        <v/>
      </c>
      <c r="LG53" s="229" t="str">
        <f t="shared" si="222"/>
        <v/>
      </c>
      <c r="LH53" s="229" t="str">
        <f t="shared" si="223"/>
        <v/>
      </c>
      <c r="LI53" s="229" t="str">
        <f t="shared" si="224"/>
        <v/>
      </c>
      <c r="LJ53" s="229" t="str">
        <f t="shared" si="225"/>
        <v/>
      </c>
      <c r="LK53" s="229" t="str">
        <f t="shared" si="226"/>
        <v/>
      </c>
      <c r="LL53" s="229" t="str">
        <f t="shared" si="227"/>
        <v/>
      </c>
      <c r="LM53" s="229" t="str">
        <f t="shared" si="228"/>
        <v/>
      </c>
      <c r="LN53" s="229" t="str">
        <f t="shared" si="229"/>
        <v/>
      </c>
      <c r="LO53" s="229" t="str">
        <f t="shared" si="230"/>
        <v/>
      </c>
      <c r="LP53" s="229" t="str">
        <f t="shared" si="231"/>
        <v/>
      </c>
      <c r="LQ53" s="229" t="str">
        <f t="shared" si="232"/>
        <v/>
      </c>
      <c r="LR53" s="229" t="str">
        <f t="shared" si="233"/>
        <v/>
      </c>
      <c r="LS53" s="229" t="str">
        <f t="shared" si="234"/>
        <v/>
      </c>
      <c r="LT53" s="229" t="str">
        <f t="shared" si="235"/>
        <v/>
      </c>
      <c r="LU53" s="229" t="str">
        <f t="shared" si="236"/>
        <v/>
      </c>
      <c r="LV53" s="229" t="str">
        <f t="shared" si="237"/>
        <v/>
      </c>
      <c r="LW53" s="229" t="str">
        <f t="shared" si="238"/>
        <v/>
      </c>
      <c r="LX53" s="229" t="str">
        <f t="shared" si="239"/>
        <v/>
      </c>
      <c r="LY53" s="231" t="str">
        <f t="shared" si="240"/>
        <v/>
      </c>
      <c r="LZ53" s="231" t="str">
        <f t="shared" si="241"/>
        <v/>
      </c>
      <c r="MA53" s="231" t="str">
        <f t="shared" si="242"/>
        <v/>
      </c>
      <c r="MB53" s="231" t="str">
        <f t="shared" si="243"/>
        <v/>
      </c>
      <c r="MC53" s="231" t="str">
        <f t="shared" si="244"/>
        <v/>
      </c>
      <c r="MD53" s="231" t="str">
        <f t="shared" si="245"/>
        <v/>
      </c>
      <c r="ME53" s="231" t="str">
        <f t="shared" si="246"/>
        <v/>
      </c>
      <c r="MF53" s="231" t="str">
        <f t="shared" si="247"/>
        <v/>
      </c>
      <c r="MG53" s="231" t="str">
        <f t="shared" si="248"/>
        <v/>
      </c>
      <c r="MH53" s="231" t="str">
        <f t="shared" si="249"/>
        <v/>
      </c>
      <c r="MI53" s="231" t="str">
        <f t="shared" si="250"/>
        <v/>
      </c>
      <c r="MJ53" s="231" t="str">
        <f t="shared" si="251"/>
        <v/>
      </c>
      <c r="MK53" s="231" t="str">
        <f t="shared" si="252"/>
        <v/>
      </c>
      <c r="ML53" s="231" t="str">
        <f t="shared" si="253"/>
        <v/>
      </c>
      <c r="MM53" s="231" t="str">
        <f t="shared" si="254"/>
        <v/>
      </c>
      <c r="MN53" s="231" t="str">
        <f t="shared" si="255"/>
        <v/>
      </c>
      <c r="MO53" s="231" t="str">
        <f t="shared" si="256"/>
        <v/>
      </c>
      <c r="MP53" s="231" t="str">
        <f t="shared" si="257"/>
        <v/>
      </c>
      <c r="MQ53" s="231" t="str">
        <f t="shared" si="258"/>
        <v/>
      </c>
      <c r="MR53" s="231" t="str">
        <f t="shared" si="259"/>
        <v/>
      </c>
      <c r="MS53" s="231" t="str">
        <f t="shared" si="359"/>
        <v/>
      </c>
      <c r="MT53" s="232" t="str">
        <f>IF(MS53="","",IF(MS53&gt;=KONVERSI!$A$5,KONVERSI!$E$5,IF(MS53&gt;=KONVERSI!$A$6,KONVERSI!$E$6,IF(MS53&gt;=KONVERSI!$A$7,KONVERSI!$E$7,KONVERSI!$E$8))))</f>
        <v/>
      </c>
      <c r="MU53" s="233" t="str">
        <f t="shared" si="360"/>
        <v/>
      </c>
      <c r="MV53" s="234" t="str">
        <f t="shared" si="260"/>
        <v/>
      </c>
      <c r="MW53" s="232" t="str">
        <f>IF(MV53="","",IF(MV53&gt;=KONVERSI!$A$5,KONVERSI!$E$5,IF(MV53&gt;=KONVERSI!$A$6,KONVERSI!$E$6,IF(MV53&gt;=KONVERSI!$A$7,KONVERSI!$E$7,KONVERSI!$E$8))))</f>
        <v/>
      </c>
      <c r="MX53" s="134" t="str">
        <f>IF(FI53&lt;$FN$4," "&amp;KONVERSI!$C$18&amp;INDEX($LY$8:$MR$8,MATCH(MV53,LY53:MR53,0))&amp;".",IF(KG53=0,"",IF(MV53&lt;&gt;0,MU53&amp;MW53&amp;".",MU53&amp;".")))</f>
        <v/>
      </c>
      <c r="MY53" s="235" t="str">
        <f t="shared" si="261"/>
        <v/>
      </c>
      <c r="MZ53" s="235" t="str">
        <f t="shared" si="262"/>
        <v/>
      </c>
      <c r="NA53" s="235" t="str">
        <f t="shared" si="263"/>
        <v/>
      </c>
      <c r="NB53" s="235" t="str">
        <f t="shared" si="264"/>
        <v/>
      </c>
      <c r="NC53" s="235" t="str">
        <f t="shared" si="265"/>
        <v/>
      </c>
      <c r="ND53" s="235" t="str">
        <f t="shared" si="266"/>
        <v/>
      </c>
      <c r="NE53" s="235" t="str">
        <f t="shared" si="267"/>
        <v/>
      </c>
      <c r="NF53" s="235" t="str">
        <f t="shared" si="268"/>
        <v/>
      </c>
      <c r="NG53" s="235" t="str">
        <f t="shared" si="269"/>
        <v/>
      </c>
      <c r="NH53" s="235" t="str">
        <f t="shared" si="270"/>
        <v/>
      </c>
      <c r="NI53" s="235" t="str">
        <f t="shared" si="271"/>
        <v/>
      </c>
      <c r="NJ53" s="235" t="str">
        <f t="shared" si="272"/>
        <v/>
      </c>
      <c r="NK53" s="235" t="str">
        <f t="shared" si="273"/>
        <v/>
      </c>
      <c r="NL53" s="235" t="str">
        <f t="shared" si="274"/>
        <v/>
      </c>
      <c r="NM53" s="235" t="str">
        <f t="shared" si="275"/>
        <v/>
      </c>
      <c r="NN53" s="235" t="str">
        <f t="shared" si="276"/>
        <v/>
      </c>
      <c r="NO53" s="235" t="str">
        <f t="shared" si="277"/>
        <v/>
      </c>
      <c r="NP53" s="235" t="str">
        <f t="shared" si="278"/>
        <v/>
      </c>
      <c r="NQ53" s="235" t="str">
        <f t="shared" si="279"/>
        <v/>
      </c>
      <c r="NR53" s="235" t="str">
        <f t="shared" si="280"/>
        <v/>
      </c>
      <c r="NS53" s="134" t="str">
        <f t="shared" si="281"/>
        <v/>
      </c>
      <c r="NT53" s="134" t="str">
        <f t="shared" si="282"/>
        <v/>
      </c>
      <c r="NU53" s="134" t="str">
        <f t="shared" si="283"/>
        <v/>
      </c>
      <c r="NV53" s="134" t="str">
        <f t="shared" si="284"/>
        <v/>
      </c>
      <c r="NW53" s="134" t="str">
        <f t="shared" si="285"/>
        <v/>
      </c>
      <c r="NX53" s="134" t="str">
        <f t="shared" si="286"/>
        <v/>
      </c>
      <c r="NY53" s="134" t="str">
        <f t="shared" si="287"/>
        <v/>
      </c>
      <c r="NZ53" s="134" t="str">
        <f t="shared" si="288"/>
        <v/>
      </c>
      <c r="OA53" s="134" t="str">
        <f t="shared" si="289"/>
        <v/>
      </c>
      <c r="OB53" s="134" t="str">
        <f t="shared" si="290"/>
        <v/>
      </c>
      <c r="OC53" s="134" t="str">
        <f t="shared" si="291"/>
        <v/>
      </c>
      <c r="OD53" s="134" t="str">
        <f t="shared" si="292"/>
        <v/>
      </c>
      <c r="OE53" s="134" t="str">
        <f t="shared" si="293"/>
        <v/>
      </c>
      <c r="OF53" s="134" t="str">
        <f t="shared" si="294"/>
        <v/>
      </c>
      <c r="OG53" s="134" t="str">
        <f t="shared" si="295"/>
        <v/>
      </c>
      <c r="OH53" s="134" t="str">
        <f t="shared" si="296"/>
        <v/>
      </c>
      <c r="OI53" s="134" t="str">
        <f t="shared" si="297"/>
        <v/>
      </c>
      <c r="OJ53" s="134" t="str">
        <f t="shared" si="298"/>
        <v/>
      </c>
      <c r="OK53" s="134" t="str">
        <f t="shared" si="299"/>
        <v/>
      </c>
      <c r="OL53" s="134" t="str">
        <f t="shared" si="300"/>
        <v/>
      </c>
      <c r="OM53" s="134" t="str">
        <f t="shared" si="301"/>
        <v/>
      </c>
      <c r="ON53" s="134" t="str">
        <f t="shared" si="302"/>
        <v>  </v>
      </c>
      <c r="OO53" s="236">
        <f t="shared" si="361"/>
        <v>0</v>
      </c>
      <c r="OP53" s="235" t="str">
        <f t="shared" si="303"/>
        <v/>
      </c>
      <c r="OQ53" s="235" t="str">
        <f t="shared" si="304"/>
        <v/>
      </c>
      <c r="OR53" s="235" t="str">
        <f t="shared" si="305"/>
        <v/>
      </c>
      <c r="OS53" s="235" t="str">
        <f t="shared" si="306"/>
        <v/>
      </c>
      <c r="OT53" s="235" t="str">
        <f t="shared" si="307"/>
        <v/>
      </c>
      <c r="OU53" s="235" t="str">
        <f t="shared" si="308"/>
        <v/>
      </c>
      <c r="OV53" s="235" t="str">
        <f t="shared" si="309"/>
        <v/>
      </c>
      <c r="OW53" s="235" t="str">
        <f t="shared" si="310"/>
        <v/>
      </c>
      <c r="OX53" s="235" t="str">
        <f t="shared" si="311"/>
        <v/>
      </c>
      <c r="OY53" s="235" t="str">
        <f t="shared" si="312"/>
        <v/>
      </c>
      <c r="OZ53" s="235" t="str">
        <f t="shared" si="313"/>
        <v/>
      </c>
      <c r="PA53" s="235" t="str">
        <f t="shared" si="314"/>
        <v/>
      </c>
      <c r="PB53" s="235" t="str">
        <f t="shared" si="315"/>
        <v/>
      </c>
      <c r="PC53" s="235" t="str">
        <f t="shared" si="316"/>
        <v/>
      </c>
      <c r="PD53" s="235" t="str">
        <f t="shared" si="317"/>
        <v/>
      </c>
      <c r="PE53" s="235" t="str">
        <f t="shared" si="318"/>
        <v/>
      </c>
      <c r="PF53" s="235" t="str">
        <f t="shared" si="319"/>
        <v/>
      </c>
      <c r="PG53" s="235" t="str">
        <f t="shared" si="320"/>
        <v/>
      </c>
      <c r="PH53" s="235" t="str">
        <f t="shared" si="321"/>
        <v/>
      </c>
      <c r="PI53" s="235" t="str">
        <f t="shared" si="322"/>
        <v/>
      </c>
      <c r="PJ53" s="134" t="str">
        <f t="shared" si="323"/>
        <v/>
      </c>
      <c r="PK53" s="134" t="str">
        <f t="shared" si="324"/>
        <v/>
      </c>
      <c r="PL53" s="134" t="str">
        <f t="shared" si="325"/>
        <v/>
      </c>
      <c r="PM53" s="134" t="str">
        <f t="shared" si="326"/>
        <v/>
      </c>
      <c r="PN53" s="134" t="str">
        <f t="shared" si="327"/>
        <v/>
      </c>
      <c r="PO53" s="134" t="str">
        <f t="shared" si="328"/>
        <v/>
      </c>
      <c r="PP53" s="134" t="str">
        <f t="shared" si="329"/>
        <v/>
      </c>
      <c r="PQ53" s="134" t="str">
        <f t="shared" si="330"/>
        <v/>
      </c>
      <c r="PR53" s="134" t="str">
        <f t="shared" si="331"/>
        <v/>
      </c>
      <c r="PS53" s="134" t="str">
        <f t="shared" si="332"/>
        <v/>
      </c>
      <c r="PT53" s="134" t="str">
        <f t="shared" si="333"/>
        <v/>
      </c>
      <c r="PU53" s="134" t="str">
        <f t="shared" si="334"/>
        <v/>
      </c>
      <c r="PV53" s="134" t="str">
        <f t="shared" si="335"/>
        <v/>
      </c>
      <c r="PW53" s="134" t="str">
        <f t="shared" si="336"/>
        <v/>
      </c>
      <c r="PX53" s="134" t="str">
        <f t="shared" si="337"/>
        <v/>
      </c>
      <c r="PY53" s="134" t="str">
        <f t="shared" si="338"/>
        <v/>
      </c>
      <c r="PZ53" s="134" t="str">
        <f t="shared" si="339"/>
        <v/>
      </c>
      <c r="QA53" s="134" t="str">
        <f t="shared" si="340"/>
        <v/>
      </c>
      <c r="QB53" s="134" t="str">
        <f t="shared" si="341"/>
        <v/>
      </c>
      <c r="QC53" s="134" t="str">
        <f t="shared" si="342"/>
        <v/>
      </c>
      <c r="QD53" s="134" t="str">
        <f>IF(MT53=MW53,"",IF(MV53="","",IF(MV53&gt;=KONVERSI!$A$7,'KI3'!MW53&amp;" dalam"&amp;PJ53&amp;PK53&amp;PL53&amp;PM53&amp;PN53&amp;PO53&amp;PP53&amp;PQ53&amp;PR53&amp;PS53&amp;PT53&amp;PU53&amp;PV53&amp;PW53&amp;PX53&amp;PY53&amp;PZ53&amp;QA53&amp;QB53&amp;QC53,KONVERSI!$C$18&amp;" dalam"&amp;PJ53&amp;PK53&amp;PL53&amp;PM53&amp;PN53&amp;PO53&amp;PP53&amp;PQ53&amp;PR53&amp;PS53&amp;PT53&amp;PU53&amp;PV53&amp;PW53&amp;PX53&amp;PY53&amp;PZ53&amp;QA53&amp;QB53&amp;QC53)))</f>
        <v/>
      </c>
      <c r="QE53" s="134" t="str">
        <f t="shared" si="343"/>
        <v/>
      </c>
      <c r="QF53" s="236">
        <f t="shared" si="362"/>
        <v>0</v>
      </c>
      <c r="QG53" s="134" t="str">
        <f t="shared" si="363"/>
        <v/>
      </c>
    </row>
    <row r="54" ht="27.6" customHeight="1" spans="1:449">
      <c r="A54" s="136"/>
      <c r="B54" s="177">
        <v>46</v>
      </c>
      <c r="C54" s="178">
        <f>siswa!C50</f>
        <v>0</v>
      </c>
      <c r="D54" s="174">
        <f>siswa!D50</f>
        <v>0</v>
      </c>
      <c r="E54" s="181"/>
      <c r="F54" s="176"/>
      <c r="G54" s="176"/>
      <c r="H54" s="176"/>
      <c r="I54" s="176"/>
      <c r="J54" s="176"/>
      <c r="K54" s="176"/>
      <c r="L54" s="223" t="str">
        <f t="shared" si="174"/>
        <v/>
      </c>
      <c r="M54" s="181"/>
      <c r="N54" s="176"/>
      <c r="O54" s="176"/>
      <c r="P54" s="176"/>
      <c r="Q54" s="176"/>
      <c r="R54" s="176"/>
      <c r="S54" s="176"/>
      <c r="T54" s="223" t="str">
        <f t="shared" si="175"/>
        <v/>
      </c>
      <c r="U54" s="181"/>
      <c r="V54" s="176"/>
      <c r="W54" s="176"/>
      <c r="X54" s="176"/>
      <c r="Y54" s="176"/>
      <c r="Z54" s="176"/>
      <c r="AA54" s="176"/>
      <c r="AB54" s="223">
        <f t="shared" si="176"/>
        <v>0</v>
      </c>
      <c r="AC54" s="181"/>
      <c r="AD54" s="176"/>
      <c r="AE54" s="176"/>
      <c r="AF54" s="176"/>
      <c r="AG54" s="176"/>
      <c r="AH54" s="176"/>
      <c r="AI54" s="176"/>
      <c r="AJ54" s="223">
        <f t="shared" si="177"/>
        <v>0</v>
      </c>
      <c r="AK54" s="181"/>
      <c r="AL54" s="176"/>
      <c r="AM54" s="176"/>
      <c r="AN54" s="176"/>
      <c r="AO54" s="176"/>
      <c r="AP54" s="176"/>
      <c r="AQ54" s="176"/>
      <c r="AR54" s="223">
        <f t="shared" si="178"/>
        <v>0</v>
      </c>
      <c r="AS54" s="181"/>
      <c r="AT54" s="176"/>
      <c r="AU54" s="176"/>
      <c r="AV54" s="176"/>
      <c r="AW54" s="176"/>
      <c r="AX54" s="176"/>
      <c r="AY54" s="176"/>
      <c r="AZ54" s="223">
        <f t="shared" si="179"/>
        <v>0</v>
      </c>
      <c r="BA54" s="181"/>
      <c r="BB54" s="176"/>
      <c r="BC54" s="176"/>
      <c r="BD54" s="176"/>
      <c r="BE54" s="176"/>
      <c r="BF54" s="176"/>
      <c r="BG54" s="176"/>
      <c r="BH54" s="223">
        <f t="shared" si="180"/>
        <v>0</v>
      </c>
      <c r="BI54" s="181"/>
      <c r="BJ54" s="176"/>
      <c r="BK54" s="176"/>
      <c r="BL54" s="176"/>
      <c r="BM54" s="176"/>
      <c r="BN54" s="176"/>
      <c r="BO54" s="176"/>
      <c r="BP54" s="223">
        <f t="shared" si="181"/>
        <v>0</v>
      </c>
      <c r="BQ54" s="181"/>
      <c r="BR54" s="176"/>
      <c r="BS54" s="176"/>
      <c r="BT54" s="176"/>
      <c r="BU54" s="176"/>
      <c r="BV54" s="176"/>
      <c r="BW54" s="176"/>
      <c r="BX54" s="223">
        <f t="shared" si="182"/>
        <v>0</v>
      </c>
      <c r="BY54" s="181"/>
      <c r="BZ54" s="176"/>
      <c r="CA54" s="176"/>
      <c r="CB54" s="176"/>
      <c r="CC54" s="176"/>
      <c r="CD54" s="176"/>
      <c r="CE54" s="176"/>
      <c r="CF54" s="223">
        <f t="shared" si="183"/>
        <v>0</v>
      </c>
      <c r="CG54" s="181"/>
      <c r="CH54" s="176"/>
      <c r="CI54" s="176"/>
      <c r="CJ54" s="176"/>
      <c r="CK54" s="176"/>
      <c r="CL54" s="176"/>
      <c r="CM54" s="176"/>
      <c r="CN54" s="223">
        <f t="shared" si="184"/>
        <v>0</v>
      </c>
      <c r="CO54" s="181"/>
      <c r="CP54" s="176"/>
      <c r="CQ54" s="176"/>
      <c r="CR54" s="176"/>
      <c r="CS54" s="176"/>
      <c r="CT54" s="176"/>
      <c r="CU54" s="176"/>
      <c r="CV54" s="223">
        <f t="shared" si="185"/>
        <v>0</v>
      </c>
      <c r="CW54" s="181"/>
      <c r="CX54" s="176"/>
      <c r="CY54" s="176"/>
      <c r="CZ54" s="176"/>
      <c r="DA54" s="176"/>
      <c r="DB54" s="176"/>
      <c r="DC54" s="176"/>
      <c r="DD54" s="223">
        <f t="shared" si="186"/>
        <v>0</v>
      </c>
      <c r="DE54" s="181"/>
      <c r="DF54" s="176"/>
      <c r="DG54" s="176"/>
      <c r="DH54" s="176"/>
      <c r="DI54" s="176"/>
      <c r="DJ54" s="176"/>
      <c r="DK54" s="176"/>
      <c r="DL54" s="223">
        <f t="shared" si="187"/>
        <v>0</v>
      </c>
      <c r="DM54" s="181"/>
      <c r="DN54" s="176"/>
      <c r="DO54" s="176"/>
      <c r="DP54" s="176"/>
      <c r="DQ54" s="176"/>
      <c r="DR54" s="176"/>
      <c r="DS54" s="176"/>
      <c r="DT54" s="223">
        <f t="shared" si="188"/>
        <v>0</v>
      </c>
      <c r="DU54" s="181"/>
      <c r="DV54" s="176"/>
      <c r="DW54" s="176"/>
      <c r="DX54" s="176"/>
      <c r="DY54" s="176"/>
      <c r="DZ54" s="176"/>
      <c r="EA54" s="176"/>
      <c r="EB54" s="223">
        <f t="shared" si="189"/>
        <v>0</v>
      </c>
      <c r="EC54" s="181"/>
      <c r="ED54" s="176"/>
      <c r="EE54" s="176"/>
      <c r="EF54" s="176"/>
      <c r="EG54" s="176"/>
      <c r="EH54" s="176"/>
      <c r="EI54" s="176"/>
      <c r="EJ54" s="223">
        <f t="shared" si="190"/>
        <v>0</v>
      </c>
      <c r="EK54" s="181"/>
      <c r="EL54" s="176"/>
      <c r="EM54" s="176"/>
      <c r="EN54" s="176"/>
      <c r="EO54" s="176"/>
      <c r="EP54" s="176"/>
      <c r="EQ54" s="176"/>
      <c r="ER54" s="223">
        <f t="shared" si="191"/>
        <v>0</v>
      </c>
      <c r="ES54" s="181"/>
      <c r="ET54" s="176"/>
      <c r="EU54" s="176"/>
      <c r="EV54" s="176"/>
      <c r="EW54" s="176"/>
      <c r="EX54" s="176"/>
      <c r="EY54" s="176"/>
      <c r="EZ54" s="223">
        <f t="shared" si="192"/>
        <v>0</v>
      </c>
      <c r="FA54" s="181"/>
      <c r="FB54" s="176"/>
      <c r="FC54" s="176"/>
      <c r="FD54" s="176"/>
      <c r="FE54" s="176"/>
      <c r="FF54" s="176"/>
      <c r="FG54" s="176"/>
      <c r="FH54" s="223">
        <f t="shared" si="193"/>
        <v>0</v>
      </c>
      <c r="FI54" s="291" t="str">
        <f t="shared" si="194"/>
        <v/>
      </c>
      <c r="FJ54" s="250"/>
      <c r="FK54" s="250"/>
      <c r="FL54" s="291" t="str">
        <f t="shared" si="195"/>
        <v/>
      </c>
      <c r="FM54" s="312" t="str">
        <f>IFERROR(IF(FL54="","",IF(FL54&gt;=KONVERSI!$A$5,KONVERSI!$D$5,IF(FL54&gt;=KONVERSI!$A$6,KONVERSI!$D$6,IF(FL54&gt;=KONVERSI!$A$7,KONVERSI!$D$7,KONVERSI!$D$8)))),"")</f>
        <v/>
      </c>
      <c r="FN54" s="232" t="str">
        <f t="shared" si="196"/>
        <v/>
      </c>
      <c r="FO54" s="313"/>
      <c r="FP54" s="314">
        <f t="shared" si="197"/>
        <v>0</v>
      </c>
      <c r="FQ54" s="194" t="str">
        <f t="shared" si="33"/>
        <v/>
      </c>
      <c r="FR54" s="194" t="str">
        <f t="shared" si="34"/>
        <v/>
      </c>
      <c r="FS54" s="194" t="str">
        <f t="shared" si="35"/>
        <v/>
      </c>
      <c r="FT54" s="194" t="str">
        <f t="shared" si="36"/>
        <v/>
      </c>
      <c r="FU54" s="194" t="str">
        <f t="shared" si="37"/>
        <v/>
      </c>
      <c r="FV54" s="194" t="str">
        <f t="shared" si="345"/>
        <v/>
      </c>
      <c r="FW54" s="194" t="str">
        <f t="shared" si="39"/>
        <v/>
      </c>
      <c r="FX54" s="194" t="str">
        <f t="shared" si="344"/>
        <v/>
      </c>
      <c r="FY54" s="194" t="str">
        <f t="shared" si="40"/>
        <v/>
      </c>
      <c r="FZ54" s="194" t="str">
        <f t="shared" si="41"/>
        <v/>
      </c>
      <c r="GA54" s="194" t="str">
        <f t="shared" si="42"/>
        <v/>
      </c>
      <c r="GB54" s="194" t="str">
        <f t="shared" si="346"/>
        <v/>
      </c>
      <c r="GC54" s="194" t="str">
        <f t="shared" si="44"/>
        <v/>
      </c>
      <c r="GD54" s="194" t="str">
        <f t="shared" si="45"/>
        <v/>
      </c>
      <c r="GE54" s="194" t="str">
        <f t="shared" si="46"/>
        <v/>
      </c>
      <c r="GF54" s="194" t="str">
        <f t="shared" si="47"/>
        <v/>
      </c>
      <c r="GG54" s="194" t="str">
        <f t="shared" si="48"/>
        <v/>
      </c>
      <c r="GH54" s="194" t="str">
        <f t="shared" si="347"/>
        <v/>
      </c>
      <c r="GI54" s="194" t="str">
        <f t="shared" si="50"/>
        <v/>
      </c>
      <c r="GJ54" s="194" t="str">
        <f t="shared" si="51"/>
        <v/>
      </c>
      <c r="GK54" s="194" t="str">
        <f t="shared" si="52"/>
        <v/>
      </c>
      <c r="GL54" s="194" t="str">
        <f t="shared" si="53"/>
        <v/>
      </c>
      <c r="GM54" s="194" t="str">
        <f t="shared" si="54"/>
        <v/>
      </c>
      <c r="GN54" s="194" t="str">
        <f t="shared" si="348"/>
        <v/>
      </c>
      <c r="GO54" s="194" t="str">
        <f t="shared" si="56"/>
        <v/>
      </c>
      <c r="GP54" s="194" t="str">
        <f t="shared" si="57"/>
        <v/>
      </c>
      <c r="GQ54" s="194" t="str">
        <f t="shared" si="58"/>
        <v/>
      </c>
      <c r="GR54" s="194" t="str">
        <f t="shared" si="59"/>
        <v/>
      </c>
      <c r="GS54" s="194" t="str">
        <f t="shared" si="60"/>
        <v/>
      </c>
      <c r="GT54" s="194" t="str">
        <f t="shared" si="349"/>
        <v/>
      </c>
      <c r="GU54" s="194" t="str">
        <f t="shared" si="62"/>
        <v/>
      </c>
      <c r="GV54" s="194" t="str">
        <f t="shared" si="63"/>
        <v/>
      </c>
      <c r="GW54" s="194" t="str">
        <f t="shared" si="64"/>
        <v/>
      </c>
      <c r="GX54" s="194" t="str">
        <f t="shared" si="65"/>
        <v/>
      </c>
      <c r="GY54" s="194" t="str">
        <f t="shared" si="66"/>
        <v/>
      </c>
      <c r="GZ54" s="194" t="str">
        <f t="shared" si="350"/>
        <v/>
      </c>
      <c r="HA54" s="194" t="str">
        <f t="shared" si="68"/>
        <v/>
      </c>
      <c r="HB54" s="194" t="str">
        <f t="shared" si="69"/>
        <v/>
      </c>
      <c r="HC54" s="194" t="str">
        <f t="shared" si="70"/>
        <v/>
      </c>
      <c r="HD54" s="194" t="str">
        <f t="shared" si="71"/>
        <v/>
      </c>
      <c r="HE54" s="194" t="str">
        <f t="shared" si="72"/>
        <v/>
      </c>
      <c r="HF54" s="194" t="str">
        <f t="shared" si="351"/>
        <v/>
      </c>
      <c r="HG54" s="194" t="str">
        <f t="shared" si="74"/>
        <v/>
      </c>
      <c r="HH54" s="194" t="str">
        <f t="shared" si="75"/>
        <v/>
      </c>
      <c r="HI54" s="194" t="str">
        <f t="shared" si="76"/>
        <v/>
      </c>
      <c r="HJ54" s="194" t="str">
        <f t="shared" si="77"/>
        <v/>
      </c>
      <c r="HK54" s="194" t="str">
        <f t="shared" si="78"/>
        <v/>
      </c>
      <c r="HL54" s="194" t="str">
        <f t="shared" si="352"/>
        <v/>
      </c>
      <c r="HM54" s="194" t="str">
        <f t="shared" si="80"/>
        <v/>
      </c>
      <c r="HN54" s="194" t="str">
        <f t="shared" si="81"/>
        <v/>
      </c>
      <c r="HO54" s="194" t="str">
        <f t="shared" si="82"/>
        <v/>
      </c>
      <c r="HP54" s="194" t="str">
        <f t="shared" si="83"/>
        <v/>
      </c>
      <c r="HQ54" s="194" t="str">
        <f t="shared" si="84"/>
        <v/>
      </c>
      <c r="HR54" s="194" t="str">
        <f t="shared" si="353"/>
        <v/>
      </c>
      <c r="HS54" s="194" t="str">
        <f t="shared" si="86"/>
        <v/>
      </c>
      <c r="HT54" s="194" t="str">
        <f t="shared" si="87"/>
        <v/>
      </c>
      <c r="HU54" s="194" t="str">
        <f t="shared" si="88"/>
        <v/>
      </c>
      <c r="HV54" s="194" t="str">
        <f t="shared" si="89"/>
        <v/>
      </c>
      <c r="HW54" s="194" t="str">
        <f t="shared" si="90"/>
        <v/>
      </c>
      <c r="HX54" s="194" t="str">
        <f t="shared" si="354"/>
        <v/>
      </c>
      <c r="HY54" s="194" t="str">
        <f t="shared" si="92"/>
        <v/>
      </c>
      <c r="HZ54" s="194" t="str">
        <f t="shared" si="93"/>
        <v/>
      </c>
      <c r="IA54" s="194" t="str">
        <f t="shared" si="94"/>
        <v/>
      </c>
      <c r="IB54" s="194" t="str">
        <f t="shared" si="95"/>
        <v/>
      </c>
      <c r="IC54" s="194" t="str">
        <f t="shared" si="96"/>
        <v/>
      </c>
      <c r="ID54" s="194" t="str">
        <f t="shared" si="355"/>
        <v/>
      </c>
      <c r="IE54" s="194" t="str">
        <f t="shared" si="98"/>
        <v/>
      </c>
      <c r="IF54" s="194" t="str">
        <f t="shared" si="99"/>
        <v/>
      </c>
      <c r="IG54" s="194" t="str">
        <f t="shared" si="100"/>
        <v/>
      </c>
      <c r="IH54" s="194" t="str">
        <f t="shared" si="101"/>
        <v/>
      </c>
      <c r="II54" s="194" t="str">
        <f t="shared" si="102"/>
        <v/>
      </c>
      <c r="IJ54" s="194" t="str">
        <f t="shared" si="356"/>
        <v/>
      </c>
      <c r="IK54" s="194" t="str">
        <f t="shared" si="104"/>
        <v/>
      </c>
      <c r="IL54" s="194" t="str">
        <f t="shared" si="105"/>
        <v/>
      </c>
      <c r="IM54" s="194" t="str">
        <f t="shared" si="106"/>
        <v/>
      </c>
      <c r="IN54" s="194" t="str">
        <f t="shared" si="107"/>
        <v/>
      </c>
      <c r="IO54" s="194" t="str">
        <f t="shared" si="108"/>
        <v/>
      </c>
      <c r="IP54" s="194" t="str">
        <f t="shared" si="357"/>
        <v/>
      </c>
      <c r="IQ54" s="194" t="str">
        <f t="shared" si="110"/>
        <v/>
      </c>
      <c r="IR54" s="194" t="str">
        <f t="shared" si="111"/>
        <v/>
      </c>
      <c r="IS54" s="194" t="str">
        <f t="shared" si="112"/>
        <v/>
      </c>
      <c r="IT54" s="194" t="str">
        <f t="shared" si="113"/>
        <v/>
      </c>
      <c r="IU54" s="194" t="str">
        <f t="shared" si="114"/>
        <v/>
      </c>
      <c r="IV54" s="194" t="str">
        <f t="shared" si="358"/>
        <v/>
      </c>
      <c r="IW54" s="194" t="str">
        <f t="shared" si="364"/>
        <v/>
      </c>
      <c r="IX54" s="194" t="str">
        <f t="shared" si="365"/>
        <v/>
      </c>
      <c r="IY54" s="194" t="str">
        <f t="shared" si="366"/>
        <v/>
      </c>
      <c r="IZ54" s="194" t="str">
        <f t="shared" si="367"/>
        <v/>
      </c>
      <c r="JA54" s="194" t="str">
        <f t="shared" si="368"/>
        <v/>
      </c>
      <c r="JB54" s="194" t="str">
        <f t="shared" si="369"/>
        <v/>
      </c>
      <c r="JC54" s="194" t="str">
        <f t="shared" si="370"/>
        <v/>
      </c>
      <c r="JD54" s="194" t="str">
        <f t="shared" si="371"/>
        <v/>
      </c>
      <c r="JE54" s="194" t="str">
        <f t="shared" si="372"/>
        <v/>
      </c>
      <c r="JF54" s="194" t="str">
        <f t="shared" si="373"/>
        <v/>
      </c>
      <c r="JG54" s="194" t="str">
        <f t="shared" si="374"/>
        <v/>
      </c>
      <c r="JH54" s="194" t="str">
        <f t="shared" si="379"/>
        <v/>
      </c>
      <c r="JI54" s="194" t="str">
        <f t="shared" si="380"/>
        <v/>
      </c>
      <c r="JJ54" s="194" t="str">
        <f t="shared" si="381"/>
        <v/>
      </c>
      <c r="JK54" s="194" t="str">
        <f t="shared" si="382"/>
        <v/>
      </c>
      <c r="JL54" s="194" t="str">
        <f t="shared" si="383"/>
        <v/>
      </c>
      <c r="JM54" s="194" t="str">
        <f t="shared" si="384"/>
        <v/>
      </c>
      <c r="JN54" s="194" t="str">
        <f t="shared" si="385"/>
        <v/>
      </c>
      <c r="JO54" s="194" t="str">
        <f t="shared" si="386"/>
        <v/>
      </c>
      <c r="JP54" s="194" t="str">
        <f t="shared" si="387"/>
        <v/>
      </c>
      <c r="JQ54" s="194" t="str">
        <f t="shared" si="388"/>
        <v/>
      </c>
      <c r="JR54" s="194" t="str">
        <f t="shared" si="389"/>
        <v/>
      </c>
      <c r="JS54" s="194" t="str">
        <f t="shared" si="390"/>
        <v/>
      </c>
      <c r="JT54" s="194" t="str">
        <f t="shared" si="391"/>
        <v/>
      </c>
      <c r="JU54" s="194" t="str">
        <f t="shared" si="392"/>
        <v/>
      </c>
      <c r="JV54" s="194" t="str">
        <f t="shared" si="393"/>
        <v/>
      </c>
      <c r="JW54" s="194" t="str">
        <f t="shared" si="394"/>
        <v/>
      </c>
      <c r="JX54" s="194" t="str">
        <f t="shared" si="395"/>
        <v/>
      </c>
      <c r="JY54" s="194" t="str">
        <f t="shared" si="396"/>
        <v/>
      </c>
      <c r="JZ54" s="194" t="str">
        <f t="shared" si="397"/>
        <v/>
      </c>
      <c r="KA54" s="194" t="str">
        <f t="shared" si="398"/>
        <v/>
      </c>
      <c r="KB54" s="194" t="str">
        <f t="shared" si="399"/>
        <v/>
      </c>
      <c r="KC54" s="194" t="str">
        <f t="shared" si="400"/>
        <v/>
      </c>
      <c r="KD54" s="194" t="str">
        <f t="shared" si="401"/>
        <v/>
      </c>
      <c r="KE54" s="194" t="str">
        <f t="shared" si="402"/>
        <v/>
      </c>
      <c r="KF54" s="194" t="str">
        <f t="shared" si="403"/>
        <v/>
      </c>
      <c r="KG54" s="194">
        <f>SUM(LE54:LX54)/COUNTA(RefKI3KI4!$B$5:$B$24)</f>
        <v>0</v>
      </c>
      <c r="KH54" s="232">
        <f t="shared" si="198"/>
        <v>0</v>
      </c>
      <c r="KI54" s="340" t="str">
        <f t="shared" si="199"/>
        <v>ok</v>
      </c>
      <c r="KJ54" s="340" t="str">
        <f t="shared" si="200"/>
        <v>ok</v>
      </c>
      <c r="KK54" s="340" t="str">
        <f t="shared" si="201"/>
        <v/>
      </c>
      <c r="KL54" s="340" t="str">
        <f t="shared" si="202"/>
        <v/>
      </c>
      <c r="KM54" s="340" t="str">
        <f t="shared" si="203"/>
        <v/>
      </c>
      <c r="KN54" s="340" t="str">
        <f t="shared" si="204"/>
        <v/>
      </c>
      <c r="KO54" s="340" t="str">
        <f t="shared" si="205"/>
        <v/>
      </c>
      <c r="KP54" s="340" t="str">
        <f t="shared" si="206"/>
        <v/>
      </c>
      <c r="KQ54" s="340" t="str">
        <f t="shared" si="207"/>
        <v/>
      </c>
      <c r="KR54" s="340" t="str">
        <f t="shared" si="208"/>
        <v/>
      </c>
      <c r="KS54" s="340" t="str">
        <f t="shared" si="209"/>
        <v/>
      </c>
      <c r="KT54" s="340" t="str">
        <f t="shared" si="210"/>
        <v/>
      </c>
      <c r="KU54" s="340" t="str">
        <f t="shared" si="211"/>
        <v/>
      </c>
      <c r="KV54" s="340" t="str">
        <f t="shared" si="212"/>
        <v/>
      </c>
      <c r="KW54" s="340" t="str">
        <f t="shared" si="213"/>
        <v/>
      </c>
      <c r="KX54" s="340" t="str">
        <f t="shared" si="214"/>
        <v/>
      </c>
      <c r="KY54" s="340" t="str">
        <f t="shared" si="215"/>
        <v/>
      </c>
      <c r="KZ54" s="340" t="str">
        <f t="shared" si="216"/>
        <v/>
      </c>
      <c r="LA54" s="340" t="str">
        <f t="shared" si="217"/>
        <v/>
      </c>
      <c r="LB54" s="340" t="str">
        <f t="shared" si="218"/>
        <v/>
      </c>
      <c r="LC54" s="340">
        <f t="shared" si="219"/>
        <v>0</v>
      </c>
      <c r="LD54" s="228">
        <v>46</v>
      </c>
      <c r="LE54" s="229" t="str">
        <f t="shared" si="220"/>
        <v/>
      </c>
      <c r="LF54" s="229" t="str">
        <f t="shared" si="221"/>
        <v/>
      </c>
      <c r="LG54" s="229" t="str">
        <f t="shared" si="222"/>
        <v/>
      </c>
      <c r="LH54" s="229" t="str">
        <f t="shared" si="223"/>
        <v/>
      </c>
      <c r="LI54" s="229" t="str">
        <f t="shared" si="224"/>
        <v/>
      </c>
      <c r="LJ54" s="229" t="str">
        <f t="shared" si="225"/>
        <v/>
      </c>
      <c r="LK54" s="229" t="str">
        <f t="shared" si="226"/>
        <v/>
      </c>
      <c r="LL54" s="229" t="str">
        <f t="shared" si="227"/>
        <v/>
      </c>
      <c r="LM54" s="229" t="str">
        <f t="shared" si="228"/>
        <v/>
      </c>
      <c r="LN54" s="229" t="str">
        <f t="shared" si="229"/>
        <v/>
      </c>
      <c r="LO54" s="229" t="str">
        <f t="shared" si="230"/>
        <v/>
      </c>
      <c r="LP54" s="229" t="str">
        <f t="shared" si="231"/>
        <v/>
      </c>
      <c r="LQ54" s="229" t="str">
        <f t="shared" si="232"/>
        <v/>
      </c>
      <c r="LR54" s="229" t="str">
        <f t="shared" si="233"/>
        <v/>
      </c>
      <c r="LS54" s="229" t="str">
        <f t="shared" si="234"/>
        <v/>
      </c>
      <c r="LT54" s="229" t="str">
        <f t="shared" si="235"/>
        <v/>
      </c>
      <c r="LU54" s="229" t="str">
        <f t="shared" si="236"/>
        <v/>
      </c>
      <c r="LV54" s="229" t="str">
        <f t="shared" si="237"/>
        <v/>
      </c>
      <c r="LW54" s="229" t="str">
        <f t="shared" si="238"/>
        <v/>
      </c>
      <c r="LX54" s="229" t="str">
        <f t="shared" si="239"/>
        <v/>
      </c>
      <c r="LY54" s="231" t="str">
        <f t="shared" si="240"/>
        <v/>
      </c>
      <c r="LZ54" s="231" t="str">
        <f t="shared" si="241"/>
        <v/>
      </c>
      <c r="MA54" s="231" t="str">
        <f t="shared" si="242"/>
        <v/>
      </c>
      <c r="MB54" s="231" t="str">
        <f t="shared" si="243"/>
        <v/>
      </c>
      <c r="MC54" s="231" t="str">
        <f t="shared" si="244"/>
        <v/>
      </c>
      <c r="MD54" s="231" t="str">
        <f t="shared" si="245"/>
        <v/>
      </c>
      <c r="ME54" s="231" t="str">
        <f t="shared" si="246"/>
        <v/>
      </c>
      <c r="MF54" s="231" t="str">
        <f t="shared" si="247"/>
        <v/>
      </c>
      <c r="MG54" s="231" t="str">
        <f t="shared" si="248"/>
        <v/>
      </c>
      <c r="MH54" s="231" t="str">
        <f t="shared" si="249"/>
        <v/>
      </c>
      <c r="MI54" s="231" t="str">
        <f t="shared" si="250"/>
        <v/>
      </c>
      <c r="MJ54" s="231" t="str">
        <f t="shared" si="251"/>
        <v/>
      </c>
      <c r="MK54" s="231" t="str">
        <f t="shared" si="252"/>
        <v/>
      </c>
      <c r="ML54" s="231" t="str">
        <f t="shared" si="253"/>
        <v/>
      </c>
      <c r="MM54" s="231" t="str">
        <f t="shared" si="254"/>
        <v/>
      </c>
      <c r="MN54" s="231" t="str">
        <f t="shared" si="255"/>
        <v/>
      </c>
      <c r="MO54" s="231" t="str">
        <f t="shared" si="256"/>
        <v/>
      </c>
      <c r="MP54" s="231" t="str">
        <f t="shared" si="257"/>
        <v/>
      </c>
      <c r="MQ54" s="231" t="str">
        <f t="shared" si="258"/>
        <v/>
      </c>
      <c r="MR54" s="231" t="str">
        <f t="shared" si="259"/>
        <v/>
      </c>
      <c r="MS54" s="231" t="str">
        <f t="shared" si="359"/>
        <v/>
      </c>
      <c r="MT54" s="232" t="str">
        <f>IF(MS54="","",IF(MS54&gt;=KONVERSI!$A$5,KONVERSI!$E$5,IF(MS54&gt;=KONVERSI!$A$6,KONVERSI!$E$6,IF(MS54&gt;=KONVERSI!$A$7,KONVERSI!$E$7,KONVERSI!$E$8))))</f>
        <v/>
      </c>
      <c r="MU54" s="233" t="str">
        <f t="shared" si="360"/>
        <v/>
      </c>
      <c r="MV54" s="234" t="str">
        <f t="shared" si="260"/>
        <v/>
      </c>
      <c r="MW54" s="232" t="str">
        <f>IF(MV54="","",IF(MV54&gt;=KONVERSI!$A$5,KONVERSI!$E$5,IF(MV54&gt;=KONVERSI!$A$6,KONVERSI!$E$6,IF(MV54&gt;=KONVERSI!$A$7,KONVERSI!$E$7,KONVERSI!$E$8))))</f>
        <v/>
      </c>
      <c r="MX54" s="134" t="str">
        <f>IF(FI54&lt;$FN$4," "&amp;KONVERSI!$C$18&amp;INDEX($LY$8:$MR$8,MATCH(MV54,LY54:MR54,0))&amp;".",IF(KG54=0,"",IF(MV54&lt;&gt;0,MU54&amp;MW54&amp;".",MU54&amp;".")))</f>
        <v/>
      </c>
      <c r="MY54" s="235" t="str">
        <f t="shared" si="261"/>
        <v/>
      </c>
      <c r="MZ54" s="235" t="str">
        <f t="shared" si="262"/>
        <v/>
      </c>
      <c r="NA54" s="235" t="str">
        <f t="shared" si="263"/>
        <v/>
      </c>
      <c r="NB54" s="235" t="str">
        <f t="shared" si="264"/>
        <v/>
      </c>
      <c r="NC54" s="235" t="str">
        <f t="shared" si="265"/>
        <v/>
      </c>
      <c r="ND54" s="235" t="str">
        <f t="shared" si="266"/>
        <v/>
      </c>
      <c r="NE54" s="235" t="str">
        <f t="shared" si="267"/>
        <v/>
      </c>
      <c r="NF54" s="235" t="str">
        <f t="shared" si="268"/>
        <v/>
      </c>
      <c r="NG54" s="235" t="str">
        <f t="shared" si="269"/>
        <v/>
      </c>
      <c r="NH54" s="235" t="str">
        <f t="shared" si="270"/>
        <v/>
      </c>
      <c r="NI54" s="235" t="str">
        <f t="shared" si="271"/>
        <v/>
      </c>
      <c r="NJ54" s="235" t="str">
        <f t="shared" si="272"/>
        <v/>
      </c>
      <c r="NK54" s="235" t="str">
        <f t="shared" si="273"/>
        <v/>
      </c>
      <c r="NL54" s="235" t="str">
        <f t="shared" si="274"/>
        <v/>
      </c>
      <c r="NM54" s="235" t="str">
        <f t="shared" si="275"/>
        <v/>
      </c>
      <c r="NN54" s="235" t="str">
        <f t="shared" si="276"/>
        <v/>
      </c>
      <c r="NO54" s="235" t="str">
        <f t="shared" si="277"/>
        <v/>
      </c>
      <c r="NP54" s="235" t="str">
        <f t="shared" si="278"/>
        <v/>
      </c>
      <c r="NQ54" s="235" t="str">
        <f t="shared" si="279"/>
        <v/>
      </c>
      <c r="NR54" s="235" t="str">
        <f t="shared" si="280"/>
        <v/>
      </c>
      <c r="NS54" s="134" t="str">
        <f t="shared" si="281"/>
        <v/>
      </c>
      <c r="NT54" s="134" t="str">
        <f t="shared" si="282"/>
        <v/>
      </c>
      <c r="NU54" s="134" t="str">
        <f t="shared" si="283"/>
        <v/>
      </c>
      <c r="NV54" s="134" t="str">
        <f t="shared" si="284"/>
        <v/>
      </c>
      <c r="NW54" s="134" t="str">
        <f t="shared" si="285"/>
        <v/>
      </c>
      <c r="NX54" s="134" t="str">
        <f t="shared" si="286"/>
        <v/>
      </c>
      <c r="NY54" s="134" t="str">
        <f t="shared" si="287"/>
        <v/>
      </c>
      <c r="NZ54" s="134" t="str">
        <f t="shared" si="288"/>
        <v/>
      </c>
      <c r="OA54" s="134" t="str">
        <f t="shared" si="289"/>
        <v/>
      </c>
      <c r="OB54" s="134" t="str">
        <f t="shared" si="290"/>
        <v/>
      </c>
      <c r="OC54" s="134" t="str">
        <f t="shared" si="291"/>
        <v/>
      </c>
      <c r="OD54" s="134" t="str">
        <f t="shared" si="292"/>
        <v/>
      </c>
      <c r="OE54" s="134" t="str">
        <f t="shared" si="293"/>
        <v/>
      </c>
      <c r="OF54" s="134" t="str">
        <f t="shared" si="294"/>
        <v/>
      </c>
      <c r="OG54" s="134" t="str">
        <f t="shared" si="295"/>
        <v/>
      </c>
      <c r="OH54" s="134" t="str">
        <f t="shared" si="296"/>
        <v/>
      </c>
      <c r="OI54" s="134" t="str">
        <f t="shared" si="297"/>
        <v/>
      </c>
      <c r="OJ54" s="134" t="str">
        <f t="shared" si="298"/>
        <v/>
      </c>
      <c r="OK54" s="134" t="str">
        <f t="shared" si="299"/>
        <v/>
      </c>
      <c r="OL54" s="134" t="str">
        <f t="shared" si="300"/>
        <v/>
      </c>
      <c r="OM54" s="134" t="str">
        <f t="shared" si="301"/>
        <v/>
      </c>
      <c r="ON54" s="134" t="str">
        <f t="shared" si="302"/>
        <v>  </v>
      </c>
      <c r="OO54" s="236">
        <f t="shared" si="361"/>
        <v>0</v>
      </c>
      <c r="OP54" s="235" t="str">
        <f t="shared" si="303"/>
        <v/>
      </c>
      <c r="OQ54" s="235" t="str">
        <f t="shared" si="304"/>
        <v/>
      </c>
      <c r="OR54" s="235" t="str">
        <f t="shared" si="305"/>
        <v/>
      </c>
      <c r="OS54" s="235" t="str">
        <f t="shared" si="306"/>
        <v/>
      </c>
      <c r="OT54" s="235" t="str">
        <f t="shared" si="307"/>
        <v/>
      </c>
      <c r="OU54" s="235" t="str">
        <f t="shared" si="308"/>
        <v/>
      </c>
      <c r="OV54" s="235" t="str">
        <f t="shared" si="309"/>
        <v/>
      </c>
      <c r="OW54" s="235" t="str">
        <f t="shared" si="310"/>
        <v/>
      </c>
      <c r="OX54" s="235" t="str">
        <f t="shared" si="311"/>
        <v/>
      </c>
      <c r="OY54" s="235" t="str">
        <f t="shared" si="312"/>
        <v/>
      </c>
      <c r="OZ54" s="235" t="str">
        <f t="shared" si="313"/>
        <v/>
      </c>
      <c r="PA54" s="235" t="str">
        <f t="shared" si="314"/>
        <v/>
      </c>
      <c r="PB54" s="235" t="str">
        <f t="shared" si="315"/>
        <v/>
      </c>
      <c r="PC54" s="235" t="str">
        <f t="shared" si="316"/>
        <v/>
      </c>
      <c r="PD54" s="235" t="str">
        <f t="shared" si="317"/>
        <v/>
      </c>
      <c r="PE54" s="235" t="str">
        <f t="shared" si="318"/>
        <v/>
      </c>
      <c r="PF54" s="235" t="str">
        <f t="shared" si="319"/>
        <v/>
      </c>
      <c r="PG54" s="235" t="str">
        <f t="shared" si="320"/>
        <v/>
      </c>
      <c r="PH54" s="235" t="str">
        <f t="shared" si="321"/>
        <v/>
      </c>
      <c r="PI54" s="235" t="str">
        <f t="shared" si="322"/>
        <v/>
      </c>
      <c r="PJ54" s="134" t="str">
        <f t="shared" si="323"/>
        <v/>
      </c>
      <c r="PK54" s="134" t="str">
        <f t="shared" si="324"/>
        <v/>
      </c>
      <c r="PL54" s="134" t="str">
        <f t="shared" si="325"/>
        <v/>
      </c>
      <c r="PM54" s="134" t="str">
        <f t="shared" si="326"/>
        <v/>
      </c>
      <c r="PN54" s="134" t="str">
        <f t="shared" si="327"/>
        <v/>
      </c>
      <c r="PO54" s="134" t="str">
        <f t="shared" si="328"/>
        <v/>
      </c>
      <c r="PP54" s="134" t="str">
        <f t="shared" si="329"/>
        <v/>
      </c>
      <c r="PQ54" s="134" t="str">
        <f t="shared" si="330"/>
        <v/>
      </c>
      <c r="PR54" s="134" t="str">
        <f t="shared" si="331"/>
        <v/>
      </c>
      <c r="PS54" s="134" t="str">
        <f t="shared" si="332"/>
        <v/>
      </c>
      <c r="PT54" s="134" t="str">
        <f t="shared" si="333"/>
        <v/>
      </c>
      <c r="PU54" s="134" t="str">
        <f t="shared" si="334"/>
        <v/>
      </c>
      <c r="PV54" s="134" t="str">
        <f t="shared" si="335"/>
        <v/>
      </c>
      <c r="PW54" s="134" t="str">
        <f t="shared" si="336"/>
        <v/>
      </c>
      <c r="PX54" s="134" t="str">
        <f t="shared" si="337"/>
        <v/>
      </c>
      <c r="PY54" s="134" t="str">
        <f t="shared" si="338"/>
        <v/>
      </c>
      <c r="PZ54" s="134" t="str">
        <f t="shared" si="339"/>
        <v/>
      </c>
      <c r="QA54" s="134" t="str">
        <f t="shared" si="340"/>
        <v/>
      </c>
      <c r="QB54" s="134" t="str">
        <f t="shared" si="341"/>
        <v/>
      </c>
      <c r="QC54" s="134" t="str">
        <f t="shared" si="342"/>
        <v/>
      </c>
      <c r="QD54" s="134" t="str">
        <f>IF(MT54=MW54,"",IF(MV54="","",IF(MV54&gt;=KONVERSI!$A$7,'KI3'!MW54&amp;" dalam"&amp;PJ54&amp;PK54&amp;PL54&amp;PM54&amp;PN54&amp;PO54&amp;PP54&amp;PQ54&amp;PR54&amp;PS54&amp;PT54&amp;PU54&amp;PV54&amp;PW54&amp;PX54&amp;PY54&amp;PZ54&amp;QA54&amp;QB54&amp;QC54,KONVERSI!$C$18&amp;" dalam"&amp;PJ54&amp;PK54&amp;PL54&amp;PM54&amp;PN54&amp;PO54&amp;PP54&amp;PQ54&amp;PR54&amp;PS54&amp;PT54&amp;PU54&amp;PV54&amp;PW54&amp;PX54&amp;PY54&amp;PZ54&amp;QA54&amp;QB54&amp;QC54)))</f>
        <v/>
      </c>
      <c r="QE54" s="134" t="str">
        <f t="shared" si="343"/>
        <v/>
      </c>
      <c r="QF54" s="236">
        <f t="shared" si="362"/>
        <v>0</v>
      </c>
      <c r="QG54" s="134" t="str">
        <f t="shared" si="363"/>
        <v/>
      </c>
    </row>
    <row r="55" ht="27.6" customHeight="1" spans="1:449">
      <c r="A55" s="136"/>
      <c r="B55" s="177">
        <v>47</v>
      </c>
      <c r="C55" s="178">
        <f>siswa!C51</f>
        <v>0</v>
      </c>
      <c r="D55" s="174">
        <f>siswa!D51</f>
        <v>0</v>
      </c>
      <c r="E55" s="181"/>
      <c r="F55" s="176"/>
      <c r="G55" s="176"/>
      <c r="H55" s="176"/>
      <c r="I55" s="176"/>
      <c r="J55" s="176"/>
      <c r="K55" s="176"/>
      <c r="L55" s="223" t="str">
        <f t="shared" si="174"/>
        <v/>
      </c>
      <c r="M55" s="181"/>
      <c r="N55" s="176"/>
      <c r="O55" s="176"/>
      <c r="P55" s="176"/>
      <c r="Q55" s="176"/>
      <c r="R55" s="176"/>
      <c r="S55" s="176"/>
      <c r="T55" s="223" t="str">
        <f t="shared" si="175"/>
        <v/>
      </c>
      <c r="U55" s="181"/>
      <c r="V55" s="176"/>
      <c r="W55" s="176"/>
      <c r="X55" s="176"/>
      <c r="Y55" s="176"/>
      <c r="Z55" s="176"/>
      <c r="AA55" s="176"/>
      <c r="AB55" s="223">
        <f t="shared" si="176"/>
        <v>0</v>
      </c>
      <c r="AC55" s="181"/>
      <c r="AD55" s="176"/>
      <c r="AE55" s="176"/>
      <c r="AF55" s="176"/>
      <c r="AG55" s="176"/>
      <c r="AH55" s="176"/>
      <c r="AI55" s="176"/>
      <c r="AJ55" s="223">
        <f t="shared" si="177"/>
        <v>0</v>
      </c>
      <c r="AK55" s="181"/>
      <c r="AL55" s="176"/>
      <c r="AM55" s="176"/>
      <c r="AN55" s="176"/>
      <c r="AO55" s="176"/>
      <c r="AP55" s="176"/>
      <c r="AQ55" s="176"/>
      <c r="AR55" s="223">
        <f t="shared" si="178"/>
        <v>0</v>
      </c>
      <c r="AS55" s="181"/>
      <c r="AT55" s="176"/>
      <c r="AU55" s="176"/>
      <c r="AV55" s="176"/>
      <c r="AW55" s="176"/>
      <c r="AX55" s="176"/>
      <c r="AY55" s="176"/>
      <c r="AZ55" s="223">
        <f t="shared" si="179"/>
        <v>0</v>
      </c>
      <c r="BA55" s="181"/>
      <c r="BB55" s="176"/>
      <c r="BC55" s="176"/>
      <c r="BD55" s="176"/>
      <c r="BE55" s="176"/>
      <c r="BF55" s="176"/>
      <c r="BG55" s="176"/>
      <c r="BH55" s="223">
        <f t="shared" si="180"/>
        <v>0</v>
      </c>
      <c r="BI55" s="181"/>
      <c r="BJ55" s="176"/>
      <c r="BK55" s="176"/>
      <c r="BL55" s="176"/>
      <c r="BM55" s="176"/>
      <c r="BN55" s="176"/>
      <c r="BO55" s="176"/>
      <c r="BP55" s="223">
        <f t="shared" si="181"/>
        <v>0</v>
      </c>
      <c r="BQ55" s="181"/>
      <c r="BR55" s="176"/>
      <c r="BS55" s="176"/>
      <c r="BT55" s="176"/>
      <c r="BU55" s="176"/>
      <c r="BV55" s="176"/>
      <c r="BW55" s="176"/>
      <c r="BX55" s="223">
        <f t="shared" si="182"/>
        <v>0</v>
      </c>
      <c r="BY55" s="181"/>
      <c r="BZ55" s="176"/>
      <c r="CA55" s="176"/>
      <c r="CB55" s="176"/>
      <c r="CC55" s="176"/>
      <c r="CD55" s="176"/>
      <c r="CE55" s="176"/>
      <c r="CF55" s="223">
        <f t="shared" si="183"/>
        <v>0</v>
      </c>
      <c r="CG55" s="181"/>
      <c r="CH55" s="176"/>
      <c r="CI55" s="176"/>
      <c r="CJ55" s="176"/>
      <c r="CK55" s="176"/>
      <c r="CL55" s="176"/>
      <c r="CM55" s="176"/>
      <c r="CN55" s="223">
        <f t="shared" si="184"/>
        <v>0</v>
      </c>
      <c r="CO55" s="181"/>
      <c r="CP55" s="176"/>
      <c r="CQ55" s="176"/>
      <c r="CR55" s="176"/>
      <c r="CS55" s="176"/>
      <c r="CT55" s="176"/>
      <c r="CU55" s="176"/>
      <c r="CV55" s="223">
        <f t="shared" si="185"/>
        <v>0</v>
      </c>
      <c r="CW55" s="181"/>
      <c r="CX55" s="176"/>
      <c r="CY55" s="176"/>
      <c r="CZ55" s="176"/>
      <c r="DA55" s="176"/>
      <c r="DB55" s="176"/>
      <c r="DC55" s="176"/>
      <c r="DD55" s="223">
        <f t="shared" si="186"/>
        <v>0</v>
      </c>
      <c r="DE55" s="181"/>
      <c r="DF55" s="176"/>
      <c r="DG55" s="176"/>
      <c r="DH55" s="176"/>
      <c r="DI55" s="176"/>
      <c r="DJ55" s="176"/>
      <c r="DK55" s="176"/>
      <c r="DL55" s="223">
        <f t="shared" si="187"/>
        <v>0</v>
      </c>
      <c r="DM55" s="181"/>
      <c r="DN55" s="176"/>
      <c r="DO55" s="176"/>
      <c r="DP55" s="176"/>
      <c r="DQ55" s="176"/>
      <c r="DR55" s="176"/>
      <c r="DS55" s="176"/>
      <c r="DT55" s="223">
        <f t="shared" si="188"/>
        <v>0</v>
      </c>
      <c r="DU55" s="181"/>
      <c r="DV55" s="176"/>
      <c r="DW55" s="176"/>
      <c r="DX55" s="176"/>
      <c r="DY55" s="176"/>
      <c r="DZ55" s="176"/>
      <c r="EA55" s="176"/>
      <c r="EB55" s="223">
        <f t="shared" si="189"/>
        <v>0</v>
      </c>
      <c r="EC55" s="181"/>
      <c r="ED55" s="176"/>
      <c r="EE55" s="176"/>
      <c r="EF55" s="176"/>
      <c r="EG55" s="176"/>
      <c r="EH55" s="176"/>
      <c r="EI55" s="176"/>
      <c r="EJ55" s="223">
        <f t="shared" si="190"/>
        <v>0</v>
      </c>
      <c r="EK55" s="181"/>
      <c r="EL55" s="176"/>
      <c r="EM55" s="176"/>
      <c r="EN55" s="176"/>
      <c r="EO55" s="176"/>
      <c r="EP55" s="176"/>
      <c r="EQ55" s="176"/>
      <c r="ER55" s="223">
        <f t="shared" si="191"/>
        <v>0</v>
      </c>
      <c r="ES55" s="181"/>
      <c r="ET55" s="176"/>
      <c r="EU55" s="176"/>
      <c r="EV55" s="176"/>
      <c r="EW55" s="176"/>
      <c r="EX55" s="176"/>
      <c r="EY55" s="176"/>
      <c r="EZ55" s="223">
        <f t="shared" si="192"/>
        <v>0</v>
      </c>
      <c r="FA55" s="181"/>
      <c r="FB55" s="176"/>
      <c r="FC55" s="176"/>
      <c r="FD55" s="176"/>
      <c r="FE55" s="176"/>
      <c r="FF55" s="176"/>
      <c r="FG55" s="176"/>
      <c r="FH55" s="223">
        <f t="shared" si="193"/>
        <v>0</v>
      </c>
      <c r="FI55" s="291" t="str">
        <f t="shared" si="194"/>
        <v/>
      </c>
      <c r="FJ55" s="250"/>
      <c r="FK55" s="250"/>
      <c r="FL55" s="291" t="str">
        <f t="shared" si="195"/>
        <v/>
      </c>
      <c r="FM55" s="312" t="str">
        <f>IFERROR(IF(FL55="","",IF(FL55&gt;=KONVERSI!$A$5,KONVERSI!$D$5,IF(FL55&gt;=KONVERSI!$A$6,KONVERSI!$D$6,IF(FL55&gt;=KONVERSI!$A$7,KONVERSI!$D$7,KONVERSI!$D$8)))),"")</f>
        <v/>
      </c>
      <c r="FN55" s="232" t="str">
        <f t="shared" si="196"/>
        <v/>
      </c>
      <c r="FO55" s="313"/>
      <c r="FP55" s="314">
        <f t="shared" si="197"/>
        <v>0</v>
      </c>
      <c r="FQ55" s="194" t="str">
        <f t="shared" si="33"/>
        <v/>
      </c>
      <c r="FR55" s="194" t="str">
        <f t="shared" si="34"/>
        <v/>
      </c>
      <c r="FS55" s="194" t="str">
        <f t="shared" si="35"/>
        <v/>
      </c>
      <c r="FT55" s="194" t="str">
        <f t="shared" si="36"/>
        <v/>
      </c>
      <c r="FU55" s="194" t="str">
        <f t="shared" si="37"/>
        <v/>
      </c>
      <c r="FV55" s="194" t="str">
        <f t="shared" si="345"/>
        <v/>
      </c>
      <c r="FW55" s="194" t="str">
        <f t="shared" si="39"/>
        <v/>
      </c>
      <c r="FX55" s="194" t="str">
        <f t="shared" si="344"/>
        <v/>
      </c>
      <c r="FY55" s="194" t="str">
        <f t="shared" si="40"/>
        <v/>
      </c>
      <c r="FZ55" s="194" t="str">
        <f t="shared" si="41"/>
        <v/>
      </c>
      <c r="GA55" s="194" t="str">
        <f t="shared" si="42"/>
        <v/>
      </c>
      <c r="GB55" s="194" t="str">
        <f t="shared" si="346"/>
        <v/>
      </c>
      <c r="GC55" s="194" t="str">
        <f t="shared" si="44"/>
        <v/>
      </c>
      <c r="GD55" s="194" t="str">
        <f t="shared" si="45"/>
        <v/>
      </c>
      <c r="GE55" s="194" t="str">
        <f t="shared" si="46"/>
        <v/>
      </c>
      <c r="GF55" s="194" t="str">
        <f t="shared" si="47"/>
        <v/>
      </c>
      <c r="GG55" s="194" t="str">
        <f t="shared" si="48"/>
        <v/>
      </c>
      <c r="GH55" s="194" t="str">
        <f t="shared" si="347"/>
        <v/>
      </c>
      <c r="GI55" s="194" t="str">
        <f t="shared" si="50"/>
        <v/>
      </c>
      <c r="GJ55" s="194" t="str">
        <f t="shared" si="51"/>
        <v/>
      </c>
      <c r="GK55" s="194" t="str">
        <f t="shared" si="52"/>
        <v/>
      </c>
      <c r="GL55" s="194" t="str">
        <f t="shared" si="53"/>
        <v/>
      </c>
      <c r="GM55" s="194" t="str">
        <f t="shared" si="54"/>
        <v/>
      </c>
      <c r="GN55" s="194" t="str">
        <f t="shared" si="348"/>
        <v/>
      </c>
      <c r="GO55" s="194" t="str">
        <f t="shared" si="56"/>
        <v/>
      </c>
      <c r="GP55" s="194" t="str">
        <f t="shared" si="57"/>
        <v/>
      </c>
      <c r="GQ55" s="194" t="str">
        <f t="shared" si="58"/>
        <v/>
      </c>
      <c r="GR55" s="194" t="str">
        <f t="shared" si="59"/>
        <v/>
      </c>
      <c r="GS55" s="194" t="str">
        <f t="shared" si="60"/>
        <v/>
      </c>
      <c r="GT55" s="194" t="str">
        <f t="shared" si="349"/>
        <v/>
      </c>
      <c r="GU55" s="194" t="str">
        <f t="shared" si="62"/>
        <v/>
      </c>
      <c r="GV55" s="194" t="str">
        <f t="shared" si="63"/>
        <v/>
      </c>
      <c r="GW55" s="194" t="str">
        <f t="shared" si="64"/>
        <v/>
      </c>
      <c r="GX55" s="194" t="str">
        <f t="shared" si="65"/>
        <v/>
      </c>
      <c r="GY55" s="194" t="str">
        <f t="shared" si="66"/>
        <v/>
      </c>
      <c r="GZ55" s="194" t="str">
        <f t="shared" si="350"/>
        <v/>
      </c>
      <c r="HA55" s="194" t="str">
        <f t="shared" si="68"/>
        <v/>
      </c>
      <c r="HB55" s="194" t="str">
        <f t="shared" si="69"/>
        <v/>
      </c>
      <c r="HC55" s="194" t="str">
        <f t="shared" si="70"/>
        <v/>
      </c>
      <c r="HD55" s="194" t="str">
        <f t="shared" si="71"/>
        <v/>
      </c>
      <c r="HE55" s="194" t="str">
        <f t="shared" si="72"/>
        <v/>
      </c>
      <c r="HF55" s="194" t="str">
        <f t="shared" si="351"/>
        <v/>
      </c>
      <c r="HG55" s="194" t="str">
        <f t="shared" si="74"/>
        <v/>
      </c>
      <c r="HH55" s="194" t="str">
        <f t="shared" si="75"/>
        <v/>
      </c>
      <c r="HI55" s="194" t="str">
        <f t="shared" si="76"/>
        <v/>
      </c>
      <c r="HJ55" s="194" t="str">
        <f t="shared" si="77"/>
        <v/>
      </c>
      <c r="HK55" s="194" t="str">
        <f t="shared" si="78"/>
        <v/>
      </c>
      <c r="HL55" s="194" t="str">
        <f t="shared" si="352"/>
        <v/>
      </c>
      <c r="HM55" s="194" t="str">
        <f t="shared" si="80"/>
        <v/>
      </c>
      <c r="HN55" s="194" t="str">
        <f t="shared" si="81"/>
        <v/>
      </c>
      <c r="HO55" s="194" t="str">
        <f t="shared" si="82"/>
        <v/>
      </c>
      <c r="HP55" s="194" t="str">
        <f t="shared" si="83"/>
        <v/>
      </c>
      <c r="HQ55" s="194" t="str">
        <f t="shared" si="84"/>
        <v/>
      </c>
      <c r="HR55" s="194" t="str">
        <f t="shared" si="353"/>
        <v/>
      </c>
      <c r="HS55" s="194" t="str">
        <f t="shared" si="86"/>
        <v/>
      </c>
      <c r="HT55" s="194" t="str">
        <f t="shared" si="87"/>
        <v/>
      </c>
      <c r="HU55" s="194" t="str">
        <f t="shared" si="88"/>
        <v/>
      </c>
      <c r="HV55" s="194" t="str">
        <f t="shared" si="89"/>
        <v/>
      </c>
      <c r="HW55" s="194" t="str">
        <f t="shared" si="90"/>
        <v/>
      </c>
      <c r="HX55" s="194" t="str">
        <f t="shared" si="354"/>
        <v/>
      </c>
      <c r="HY55" s="194" t="str">
        <f t="shared" si="92"/>
        <v/>
      </c>
      <c r="HZ55" s="194" t="str">
        <f t="shared" si="93"/>
        <v/>
      </c>
      <c r="IA55" s="194" t="str">
        <f t="shared" si="94"/>
        <v/>
      </c>
      <c r="IB55" s="194" t="str">
        <f t="shared" si="95"/>
        <v/>
      </c>
      <c r="IC55" s="194" t="str">
        <f t="shared" si="96"/>
        <v/>
      </c>
      <c r="ID55" s="194" t="str">
        <f t="shared" si="355"/>
        <v/>
      </c>
      <c r="IE55" s="194" t="str">
        <f t="shared" si="98"/>
        <v/>
      </c>
      <c r="IF55" s="194" t="str">
        <f t="shared" si="99"/>
        <v/>
      </c>
      <c r="IG55" s="194" t="str">
        <f t="shared" si="100"/>
        <v/>
      </c>
      <c r="IH55" s="194" t="str">
        <f t="shared" si="101"/>
        <v/>
      </c>
      <c r="II55" s="194" t="str">
        <f t="shared" si="102"/>
        <v/>
      </c>
      <c r="IJ55" s="194" t="str">
        <f t="shared" si="356"/>
        <v/>
      </c>
      <c r="IK55" s="194" t="str">
        <f t="shared" si="104"/>
        <v/>
      </c>
      <c r="IL55" s="194" t="str">
        <f t="shared" si="105"/>
        <v/>
      </c>
      <c r="IM55" s="194" t="str">
        <f t="shared" si="106"/>
        <v/>
      </c>
      <c r="IN55" s="194" t="str">
        <f t="shared" si="107"/>
        <v/>
      </c>
      <c r="IO55" s="194" t="str">
        <f t="shared" si="108"/>
        <v/>
      </c>
      <c r="IP55" s="194" t="str">
        <f t="shared" si="357"/>
        <v/>
      </c>
      <c r="IQ55" s="194" t="str">
        <f t="shared" si="110"/>
        <v/>
      </c>
      <c r="IR55" s="194" t="str">
        <f t="shared" si="111"/>
        <v/>
      </c>
      <c r="IS55" s="194" t="str">
        <f t="shared" si="112"/>
        <v/>
      </c>
      <c r="IT55" s="194" t="str">
        <f t="shared" si="113"/>
        <v/>
      </c>
      <c r="IU55" s="194" t="str">
        <f t="shared" si="114"/>
        <v/>
      </c>
      <c r="IV55" s="194" t="str">
        <f t="shared" si="358"/>
        <v/>
      </c>
      <c r="IW55" s="194" t="str">
        <f t="shared" si="364"/>
        <v/>
      </c>
      <c r="IX55" s="194" t="str">
        <f t="shared" si="365"/>
        <v/>
      </c>
      <c r="IY55" s="194" t="str">
        <f t="shared" si="366"/>
        <v/>
      </c>
      <c r="IZ55" s="194" t="str">
        <f t="shared" si="367"/>
        <v/>
      </c>
      <c r="JA55" s="194" t="str">
        <f t="shared" si="368"/>
        <v/>
      </c>
      <c r="JB55" s="194" t="str">
        <f t="shared" si="369"/>
        <v/>
      </c>
      <c r="JC55" s="194" t="str">
        <f t="shared" si="370"/>
        <v/>
      </c>
      <c r="JD55" s="194" t="str">
        <f t="shared" si="371"/>
        <v/>
      </c>
      <c r="JE55" s="194" t="str">
        <f t="shared" si="372"/>
        <v/>
      </c>
      <c r="JF55" s="194" t="str">
        <f t="shared" si="373"/>
        <v/>
      </c>
      <c r="JG55" s="194" t="str">
        <f t="shared" si="374"/>
        <v/>
      </c>
      <c r="JH55" s="194" t="str">
        <f t="shared" si="379"/>
        <v/>
      </c>
      <c r="JI55" s="194" t="str">
        <f t="shared" si="380"/>
        <v/>
      </c>
      <c r="JJ55" s="194" t="str">
        <f t="shared" si="381"/>
        <v/>
      </c>
      <c r="JK55" s="194" t="str">
        <f t="shared" si="382"/>
        <v/>
      </c>
      <c r="JL55" s="194" t="str">
        <f t="shared" si="383"/>
        <v/>
      </c>
      <c r="JM55" s="194" t="str">
        <f t="shared" si="384"/>
        <v/>
      </c>
      <c r="JN55" s="194" t="str">
        <f t="shared" si="385"/>
        <v/>
      </c>
      <c r="JO55" s="194" t="str">
        <f t="shared" si="386"/>
        <v/>
      </c>
      <c r="JP55" s="194" t="str">
        <f t="shared" si="387"/>
        <v/>
      </c>
      <c r="JQ55" s="194" t="str">
        <f t="shared" si="388"/>
        <v/>
      </c>
      <c r="JR55" s="194" t="str">
        <f t="shared" si="389"/>
        <v/>
      </c>
      <c r="JS55" s="194" t="str">
        <f t="shared" si="390"/>
        <v/>
      </c>
      <c r="JT55" s="194" t="str">
        <f t="shared" si="391"/>
        <v/>
      </c>
      <c r="JU55" s="194" t="str">
        <f t="shared" si="392"/>
        <v/>
      </c>
      <c r="JV55" s="194" t="str">
        <f t="shared" si="393"/>
        <v/>
      </c>
      <c r="JW55" s="194" t="str">
        <f t="shared" si="394"/>
        <v/>
      </c>
      <c r="JX55" s="194" t="str">
        <f t="shared" si="395"/>
        <v/>
      </c>
      <c r="JY55" s="194" t="str">
        <f t="shared" si="396"/>
        <v/>
      </c>
      <c r="JZ55" s="194" t="str">
        <f t="shared" si="397"/>
        <v/>
      </c>
      <c r="KA55" s="194" t="str">
        <f t="shared" si="398"/>
        <v/>
      </c>
      <c r="KB55" s="194" t="str">
        <f t="shared" si="399"/>
        <v/>
      </c>
      <c r="KC55" s="194" t="str">
        <f t="shared" si="400"/>
        <v/>
      </c>
      <c r="KD55" s="194" t="str">
        <f t="shared" si="401"/>
        <v/>
      </c>
      <c r="KE55" s="194" t="str">
        <f t="shared" si="402"/>
        <v/>
      </c>
      <c r="KF55" s="194" t="str">
        <f t="shared" si="403"/>
        <v/>
      </c>
      <c r="KG55" s="194">
        <f>SUM(LE55:LX55)/COUNTA(RefKI3KI4!$B$5:$B$24)</f>
        <v>0</v>
      </c>
      <c r="KH55" s="232">
        <f t="shared" si="198"/>
        <v>0</v>
      </c>
      <c r="KI55" s="340" t="str">
        <f t="shared" si="199"/>
        <v>ok</v>
      </c>
      <c r="KJ55" s="340" t="str">
        <f t="shared" si="200"/>
        <v>ok</v>
      </c>
      <c r="KK55" s="340" t="str">
        <f t="shared" si="201"/>
        <v/>
      </c>
      <c r="KL55" s="340" t="str">
        <f t="shared" si="202"/>
        <v/>
      </c>
      <c r="KM55" s="340" t="str">
        <f t="shared" si="203"/>
        <v/>
      </c>
      <c r="KN55" s="340" t="str">
        <f t="shared" si="204"/>
        <v/>
      </c>
      <c r="KO55" s="340" t="str">
        <f t="shared" si="205"/>
        <v/>
      </c>
      <c r="KP55" s="340" t="str">
        <f t="shared" si="206"/>
        <v/>
      </c>
      <c r="KQ55" s="340" t="str">
        <f t="shared" si="207"/>
        <v/>
      </c>
      <c r="KR55" s="340" t="str">
        <f t="shared" si="208"/>
        <v/>
      </c>
      <c r="KS55" s="340" t="str">
        <f t="shared" si="209"/>
        <v/>
      </c>
      <c r="KT55" s="340" t="str">
        <f t="shared" si="210"/>
        <v/>
      </c>
      <c r="KU55" s="340" t="str">
        <f t="shared" si="211"/>
        <v/>
      </c>
      <c r="KV55" s="340" t="str">
        <f t="shared" si="212"/>
        <v/>
      </c>
      <c r="KW55" s="340" t="str">
        <f t="shared" si="213"/>
        <v/>
      </c>
      <c r="KX55" s="340" t="str">
        <f t="shared" si="214"/>
        <v/>
      </c>
      <c r="KY55" s="340" t="str">
        <f t="shared" si="215"/>
        <v/>
      </c>
      <c r="KZ55" s="340" t="str">
        <f t="shared" si="216"/>
        <v/>
      </c>
      <c r="LA55" s="340" t="str">
        <f t="shared" si="217"/>
        <v/>
      </c>
      <c r="LB55" s="340" t="str">
        <f t="shared" si="218"/>
        <v/>
      </c>
      <c r="LC55" s="340">
        <f t="shared" si="219"/>
        <v>0</v>
      </c>
      <c r="LD55" s="228">
        <v>47</v>
      </c>
      <c r="LE55" s="229" t="str">
        <f t="shared" si="220"/>
        <v/>
      </c>
      <c r="LF55" s="229" t="str">
        <f t="shared" si="221"/>
        <v/>
      </c>
      <c r="LG55" s="229" t="str">
        <f t="shared" si="222"/>
        <v/>
      </c>
      <c r="LH55" s="229" t="str">
        <f t="shared" si="223"/>
        <v/>
      </c>
      <c r="LI55" s="229" t="str">
        <f t="shared" si="224"/>
        <v/>
      </c>
      <c r="LJ55" s="229" t="str">
        <f t="shared" si="225"/>
        <v/>
      </c>
      <c r="LK55" s="229" t="str">
        <f t="shared" si="226"/>
        <v/>
      </c>
      <c r="LL55" s="229" t="str">
        <f t="shared" si="227"/>
        <v/>
      </c>
      <c r="LM55" s="229" t="str">
        <f t="shared" si="228"/>
        <v/>
      </c>
      <c r="LN55" s="229" t="str">
        <f t="shared" si="229"/>
        <v/>
      </c>
      <c r="LO55" s="229" t="str">
        <f t="shared" si="230"/>
        <v/>
      </c>
      <c r="LP55" s="229" t="str">
        <f t="shared" si="231"/>
        <v/>
      </c>
      <c r="LQ55" s="229" t="str">
        <f t="shared" si="232"/>
        <v/>
      </c>
      <c r="LR55" s="229" t="str">
        <f t="shared" si="233"/>
        <v/>
      </c>
      <c r="LS55" s="229" t="str">
        <f t="shared" si="234"/>
        <v/>
      </c>
      <c r="LT55" s="229" t="str">
        <f t="shared" si="235"/>
        <v/>
      </c>
      <c r="LU55" s="229" t="str">
        <f t="shared" si="236"/>
        <v/>
      </c>
      <c r="LV55" s="229" t="str">
        <f t="shared" si="237"/>
        <v/>
      </c>
      <c r="LW55" s="229" t="str">
        <f t="shared" si="238"/>
        <v/>
      </c>
      <c r="LX55" s="229" t="str">
        <f t="shared" si="239"/>
        <v/>
      </c>
      <c r="LY55" s="231" t="str">
        <f t="shared" si="240"/>
        <v/>
      </c>
      <c r="LZ55" s="231" t="str">
        <f t="shared" si="241"/>
        <v/>
      </c>
      <c r="MA55" s="231" t="str">
        <f t="shared" si="242"/>
        <v/>
      </c>
      <c r="MB55" s="231" t="str">
        <f t="shared" si="243"/>
        <v/>
      </c>
      <c r="MC55" s="231" t="str">
        <f t="shared" si="244"/>
        <v/>
      </c>
      <c r="MD55" s="231" t="str">
        <f t="shared" si="245"/>
        <v/>
      </c>
      <c r="ME55" s="231" t="str">
        <f t="shared" si="246"/>
        <v/>
      </c>
      <c r="MF55" s="231" t="str">
        <f t="shared" si="247"/>
        <v/>
      </c>
      <c r="MG55" s="231" t="str">
        <f t="shared" si="248"/>
        <v/>
      </c>
      <c r="MH55" s="231" t="str">
        <f t="shared" si="249"/>
        <v/>
      </c>
      <c r="MI55" s="231" t="str">
        <f t="shared" si="250"/>
        <v/>
      </c>
      <c r="MJ55" s="231" t="str">
        <f t="shared" si="251"/>
        <v/>
      </c>
      <c r="MK55" s="231" t="str">
        <f t="shared" si="252"/>
        <v/>
      </c>
      <c r="ML55" s="231" t="str">
        <f t="shared" si="253"/>
        <v/>
      </c>
      <c r="MM55" s="231" t="str">
        <f t="shared" si="254"/>
        <v/>
      </c>
      <c r="MN55" s="231" t="str">
        <f t="shared" si="255"/>
        <v/>
      </c>
      <c r="MO55" s="231" t="str">
        <f t="shared" si="256"/>
        <v/>
      </c>
      <c r="MP55" s="231" t="str">
        <f t="shared" si="257"/>
        <v/>
      </c>
      <c r="MQ55" s="231" t="str">
        <f t="shared" si="258"/>
        <v/>
      </c>
      <c r="MR55" s="231" t="str">
        <f t="shared" si="259"/>
        <v/>
      </c>
      <c r="MS55" s="231" t="str">
        <f t="shared" si="359"/>
        <v/>
      </c>
      <c r="MT55" s="232" t="str">
        <f>IF(MS55="","",IF(MS55&gt;=KONVERSI!$A$5,KONVERSI!$E$5,IF(MS55&gt;=KONVERSI!$A$6,KONVERSI!$E$6,IF(MS55&gt;=KONVERSI!$A$7,KONVERSI!$E$7,KONVERSI!$E$8))))</f>
        <v/>
      </c>
      <c r="MU55" s="233" t="str">
        <f t="shared" si="360"/>
        <v/>
      </c>
      <c r="MV55" s="234" t="str">
        <f t="shared" si="260"/>
        <v/>
      </c>
      <c r="MW55" s="232" t="str">
        <f>IF(MV55="","",IF(MV55&gt;=KONVERSI!$A$5,KONVERSI!$E$5,IF(MV55&gt;=KONVERSI!$A$6,KONVERSI!$E$6,IF(MV55&gt;=KONVERSI!$A$7,KONVERSI!$E$7,KONVERSI!$E$8))))</f>
        <v/>
      </c>
      <c r="MX55" s="134" t="str">
        <f>IF(FI55&lt;$FN$4," "&amp;KONVERSI!$C$18&amp;INDEX($LY$8:$MR$8,MATCH(MV55,LY55:MR55,0))&amp;".",IF(KG55=0,"",IF(MV55&lt;&gt;0,MU55&amp;MW55&amp;".",MU55&amp;".")))</f>
        <v/>
      </c>
      <c r="MY55" s="235" t="str">
        <f t="shared" si="261"/>
        <v/>
      </c>
      <c r="MZ55" s="235" t="str">
        <f t="shared" si="262"/>
        <v/>
      </c>
      <c r="NA55" s="235" t="str">
        <f t="shared" si="263"/>
        <v/>
      </c>
      <c r="NB55" s="235" t="str">
        <f t="shared" si="264"/>
        <v/>
      </c>
      <c r="NC55" s="235" t="str">
        <f t="shared" si="265"/>
        <v/>
      </c>
      <c r="ND55" s="235" t="str">
        <f t="shared" si="266"/>
        <v/>
      </c>
      <c r="NE55" s="235" t="str">
        <f t="shared" si="267"/>
        <v/>
      </c>
      <c r="NF55" s="235" t="str">
        <f t="shared" si="268"/>
        <v/>
      </c>
      <c r="NG55" s="235" t="str">
        <f t="shared" si="269"/>
        <v/>
      </c>
      <c r="NH55" s="235" t="str">
        <f t="shared" si="270"/>
        <v/>
      </c>
      <c r="NI55" s="235" t="str">
        <f t="shared" si="271"/>
        <v/>
      </c>
      <c r="NJ55" s="235" t="str">
        <f t="shared" si="272"/>
        <v/>
      </c>
      <c r="NK55" s="235" t="str">
        <f t="shared" si="273"/>
        <v/>
      </c>
      <c r="NL55" s="235" t="str">
        <f t="shared" si="274"/>
        <v/>
      </c>
      <c r="NM55" s="235" t="str">
        <f t="shared" si="275"/>
        <v/>
      </c>
      <c r="NN55" s="235" t="str">
        <f t="shared" si="276"/>
        <v/>
      </c>
      <c r="NO55" s="235" t="str">
        <f t="shared" si="277"/>
        <v/>
      </c>
      <c r="NP55" s="235" t="str">
        <f t="shared" si="278"/>
        <v/>
      </c>
      <c r="NQ55" s="235" t="str">
        <f t="shared" si="279"/>
        <v/>
      </c>
      <c r="NR55" s="235" t="str">
        <f t="shared" si="280"/>
        <v/>
      </c>
      <c r="NS55" s="134" t="str">
        <f t="shared" si="281"/>
        <v/>
      </c>
      <c r="NT55" s="134" t="str">
        <f t="shared" si="282"/>
        <v/>
      </c>
      <c r="NU55" s="134" t="str">
        <f t="shared" si="283"/>
        <v/>
      </c>
      <c r="NV55" s="134" t="str">
        <f t="shared" si="284"/>
        <v/>
      </c>
      <c r="NW55" s="134" t="str">
        <f t="shared" si="285"/>
        <v/>
      </c>
      <c r="NX55" s="134" t="str">
        <f t="shared" si="286"/>
        <v/>
      </c>
      <c r="NY55" s="134" t="str">
        <f t="shared" si="287"/>
        <v/>
      </c>
      <c r="NZ55" s="134" t="str">
        <f t="shared" si="288"/>
        <v/>
      </c>
      <c r="OA55" s="134" t="str">
        <f t="shared" si="289"/>
        <v/>
      </c>
      <c r="OB55" s="134" t="str">
        <f t="shared" si="290"/>
        <v/>
      </c>
      <c r="OC55" s="134" t="str">
        <f t="shared" si="291"/>
        <v/>
      </c>
      <c r="OD55" s="134" t="str">
        <f t="shared" si="292"/>
        <v/>
      </c>
      <c r="OE55" s="134" t="str">
        <f t="shared" si="293"/>
        <v/>
      </c>
      <c r="OF55" s="134" t="str">
        <f t="shared" si="294"/>
        <v/>
      </c>
      <c r="OG55" s="134" t="str">
        <f t="shared" si="295"/>
        <v/>
      </c>
      <c r="OH55" s="134" t="str">
        <f t="shared" si="296"/>
        <v/>
      </c>
      <c r="OI55" s="134" t="str">
        <f t="shared" si="297"/>
        <v/>
      </c>
      <c r="OJ55" s="134" t="str">
        <f t="shared" si="298"/>
        <v/>
      </c>
      <c r="OK55" s="134" t="str">
        <f t="shared" si="299"/>
        <v/>
      </c>
      <c r="OL55" s="134" t="str">
        <f t="shared" si="300"/>
        <v/>
      </c>
      <c r="OM55" s="134" t="str">
        <f t="shared" si="301"/>
        <v/>
      </c>
      <c r="ON55" s="134" t="str">
        <f t="shared" si="302"/>
        <v>  </v>
      </c>
      <c r="OO55" s="236">
        <f t="shared" si="361"/>
        <v>0</v>
      </c>
      <c r="OP55" s="235" t="str">
        <f t="shared" si="303"/>
        <v/>
      </c>
      <c r="OQ55" s="235" t="str">
        <f t="shared" si="304"/>
        <v/>
      </c>
      <c r="OR55" s="235" t="str">
        <f t="shared" si="305"/>
        <v/>
      </c>
      <c r="OS55" s="235" t="str">
        <f t="shared" si="306"/>
        <v/>
      </c>
      <c r="OT55" s="235" t="str">
        <f t="shared" si="307"/>
        <v/>
      </c>
      <c r="OU55" s="235" t="str">
        <f t="shared" si="308"/>
        <v/>
      </c>
      <c r="OV55" s="235" t="str">
        <f t="shared" si="309"/>
        <v/>
      </c>
      <c r="OW55" s="235" t="str">
        <f t="shared" si="310"/>
        <v/>
      </c>
      <c r="OX55" s="235" t="str">
        <f t="shared" si="311"/>
        <v/>
      </c>
      <c r="OY55" s="235" t="str">
        <f t="shared" si="312"/>
        <v/>
      </c>
      <c r="OZ55" s="235" t="str">
        <f t="shared" si="313"/>
        <v/>
      </c>
      <c r="PA55" s="235" t="str">
        <f t="shared" si="314"/>
        <v/>
      </c>
      <c r="PB55" s="235" t="str">
        <f t="shared" si="315"/>
        <v/>
      </c>
      <c r="PC55" s="235" t="str">
        <f t="shared" si="316"/>
        <v/>
      </c>
      <c r="PD55" s="235" t="str">
        <f t="shared" si="317"/>
        <v/>
      </c>
      <c r="PE55" s="235" t="str">
        <f t="shared" si="318"/>
        <v/>
      </c>
      <c r="PF55" s="235" t="str">
        <f t="shared" si="319"/>
        <v/>
      </c>
      <c r="PG55" s="235" t="str">
        <f t="shared" si="320"/>
        <v/>
      </c>
      <c r="PH55" s="235" t="str">
        <f t="shared" si="321"/>
        <v/>
      </c>
      <c r="PI55" s="235" t="str">
        <f t="shared" si="322"/>
        <v/>
      </c>
      <c r="PJ55" s="134" t="str">
        <f t="shared" si="323"/>
        <v/>
      </c>
      <c r="PK55" s="134" t="str">
        <f t="shared" si="324"/>
        <v/>
      </c>
      <c r="PL55" s="134" t="str">
        <f t="shared" si="325"/>
        <v/>
      </c>
      <c r="PM55" s="134" t="str">
        <f t="shared" si="326"/>
        <v/>
      </c>
      <c r="PN55" s="134" t="str">
        <f t="shared" si="327"/>
        <v/>
      </c>
      <c r="PO55" s="134" t="str">
        <f t="shared" si="328"/>
        <v/>
      </c>
      <c r="PP55" s="134" t="str">
        <f t="shared" si="329"/>
        <v/>
      </c>
      <c r="PQ55" s="134" t="str">
        <f t="shared" si="330"/>
        <v/>
      </c>
      <c r="PR55" s="134" t="str">
        <f t="shared" si="331"/>
        <v/>
      </c>
      <c r="PS55" s="134" t="str">
        <f t="shared" si="332"/>
        <v/>
      </c>
      <c r="PT55" s="134" t="str">
        <f t="shared" si="333"/>
        <v/>
      </c>
      <c r="PU55" s="134" t="str">
        <f t="shared" si="334"/>
        <v/>
      </c>
      <c r="PV55" s="134" t="str">
        <f t="shared" si="335"/>
        <v/>
      </c>
      <c r="PW55" s="134" t="str">
        <f t="shared" si="336"/>
        <v/>
      </c>
      <c r="PX55" s="134" t="str">
        <f t="shared" si="337"/>
        <v/>
      </c>
      <c r="PY55" s="134" t="str">
        <f t="shared" si="338"/>
        <v/>
      </c>
      <c r="PZ55" s="134" t="str">
        <f t="shared" si="339"/>
        <v/>
      </c>
      <c r="QA55" s="134" t="str">
        <f t="shared" si="340"/>
        <v/>
      </c>
      <c r="QB55" s="134" t="str">
        <f t="shared" si="341"/>
        <v/>
      </c>
      <c r="QC55" s="134" t="str">
        <f t="shared" si="342"/>
        <v/>
      </c>
      <c r="QD55" s="134" t="str">
        <f>IF(MT55=MW55,"",IF(MV55="","",IF(MV55&gt;=KONVERSI!$A$7,'KI3'!MW55&amp;" dalam"&amp;PJ55&amp;PK55&amp;PL55&amp;PM55&amp;PN55&amp;PO55&amp;PP55&amp;PQ55&amp;PR55&amp;PS55&amp;PT55&amp;PU55&amp;PV55&amp;PW55&amp;PX55&amp;PY55&amp;PZ55&amp;QA55&amp;QB55&amp;QC55,KONVERSI!$C$18&amp;" dalam"&amp;PJ55&amp;PK55&amp;PL55&amp;PM55&amp;PN55&amp;PO55&amp;PP55&amp;PQ55&amp;PR55&amp;PS55&amp;PT55&amp;PU55&amp;PV55&amp;PW55&amp;PX55&amp;PY55&amp;PZ55&amp;QA55&amp;QB55&amp;QC55)))</f>
        <v/>
      </c>
      <c r="QE55" s="134" t="str">
        <f t="shared" si="343"/>
        <v/>
      </c>
      <c r="QF55" s="236">
        <f t="shared" si="362"/>
        <v>0</v>
      </c>
      <c r="QG55" s="134" t="str">
        <f t="shared" si="363"/>
        <v/>
      </c>
    </row>
    <row r="56" ht="27.6" customHeight="1" spans="1:449">
      <c r="A56" s="136"/>
      <c r="B56" s="177">
        <v>48</v>
      </c>
      <c r="C56" s="178">
        <f>siswa!C52</f>
        <v>0</v>
      </c>
      <c r="D56" s="174">
        <f>siswa!D52</f>
        <v>0</v>
      </c>
      <c r="E56" s="181"/>
      <c r="F56" s="176"/>
      <c r="G56" s="176"/>
      <c r="H56" s="176"/>
      <c r="I56" s="176"/>
      <c r="J56" s="176"/>
      <c r="K56" s="176"/>
      <c r="L56" s="223" t="str">
        <f t="shared" si="174"/>
        <v/>
      </c>
      <c r="M56" s="181"/>
      <c r="N56" s="176"/>
      <c r="O56" s="176"/>
      <c r="P56" s="176"/>
      <c r="Q56" s="176"/>
      <c r="R56" s="176"/>
      <c r="S56" s="176"/>
      <c r="T56" s="223" t="str">
        <f t="shared" si="175"/>
        <v/>
      </c>
      <c r="U56" s="181"/>
      <c r="V56" s="176"/>
      <c r="W56" s="176"/>
      <c r="X56" s="176"/>
      <c r="Y56" s="176"/>
      <c r="Z56" s="176"/>
      <c r="AA56" s="176"/>
      <c r="AB56" s="223">
        <f t="shared" si="176"/>
        <v>0</v>
      </c>
      <c r="AC56" s="181"/>
      <c r="AD56" s="176"/>
      <c r="AE56" s="176"/>
      <c r="AF56" s="176"/>
      <c r="AG56" s="176"/>
      <c r="AH56" s="176"/>
      <c r="AI56" s="176"/>
      <c r="AJ56" s="223">
        <f t="shared" si="177"/>
        <v>0</v>
      </c>
      <c r="AK56" s="181"/>
      <c r="AL56" s="176"/>
      <c r="AM56" s="176"/>
      <c r="AN56" s="176"/>
      <c r="AO56" s="176"/>
      <c r="AP56" s="176"/>
      <c r="AQ56" s="176"/>
      <c r="AR56" s="223">
        <f t="shared" si="178"/>
        <v>0</v>
      </c>
      <c r="AS56" s="181"/>
      <c r="AT56" s="176"/>
      <c r="AU56" s="176"/>
      <c r="AV56" s="176"/>
      <c r="AW56" s="176"/>
      <c r="AX56" s="176"/>
      <c r="AY56" s="176"/>
      <c r="AZ56" s="223">
        <f t="shared" si="179"/>
        <v>0</v>
      </c>
      <c r="BA56" s="181"/>
      <c r="BB56" s="176"/>
      <c r="BC56" s="176"/>
      <c r="BD56" s="176"/>
      <c r="BE56" s="176"/>
      <c r="BF56" s="176"/>
      <c r="BG56" s="176"/>
      <c r="BH56" s="223">
        <f t="shared" si="180"/>
        <v>0</v>
      </c>
      <c r="BI56" s="181"/>
      <c r="BJ56" s="176"/>
      <c r="BK56" s="176"/>
      <c r="BL56" s="176"/>
      <c r="BM56" s="176"/>
      <c r="BN56" s="176"/>
      <c r="BO56" s="176"/>
      <c r="BP56" s="223">
        <f t="shared" si="181"/>
        <v>0</v>
      </c>
      <c r="BQ56" s="181"/>
      <c r="BR56" s="176"/>
      <c r="BS56" s="176"/>
      <c r="BT56" s="176"/>
      <c r="BU56" s="176"/>
      <c r="BV56" s="176"/>
      <c r="BW56" s="176"/>
      <c r="BX56" s="223">
        <f t="shared" si="182"/>
        <v>0</v>
      </c>
      <c r="BY56" s="181"/>
      <c r="BZ56" s="176"/>
      <c r="CA56" s="176"/>
      <c r="CB56" s="176"/>
      <c r="CC56" s="176"/>
      <c r="CD56" s="176"/>
      <c r="CE56" s="176"/>
      <c r="CF56" s="223">
        <f t="shared" si="183"/>
        <v>0</v>
      </c>
      <c r="CG56" s="181"/>
      <c r="CH56" s="176"/>
      <c r="CI56" s="176"/>
      <c r="CJ56" s="176"/>
      <c r="CK56" s="176"/>
      <c r="CL56" s="176"/>
      <c r="CM56" s="176"/>
      <c r="CN56" s="223">
        <f t="shared" si="184"/>
        <v>0</v>
      </c>
      <c r="CO56" s="181"/>
      <c r="CP56" s="176"/>
      <c r="CQ56" s="176"/>
      <c r="CR56" s="176"/>
      <c r="CS56" s="176"/>
      <c r="CT56" s="176"/>
      <c r="CU56" s="176"/>
      <c r="CV56" s="223">
        <f t="shared" si="185"/>
        <v>0</v>
      </c>
      <c r="CW56" s="181"/>
      <c r="CX56" s="176"/>
      <c r="CY56" s="176"/>
      <c r="CZ56" s="176"/>
      <c r="DA56" s="176"/>
      <c r="DB56" s="176"/>
      <c r="DC56" s="176"/>
      <c r="DD56" s="223">
        <f t="shared" si="186"/>
        <v>0</v>
      </c>
      <c r="DE56" s="181"/>
      <c r="DF56" s="176"/>
      <c r="DG56" s="176"/>
      <c r="DH56" s="176"/>
      <c r="DI56" s="176"/>
      <c r="DJ56" s="176"/>
      <c r="DK56" s="176"/>
      <c r="DL56" s="223">
        <f t="shared" si="187"/>
        <v>0</v>
      </c>
      <c r="DM56" s="181"/>
      <c r="DN56" s="176"/>
      <c r="DO56" s="176"/>
      <c r="DP56" s="176"/>
      <c r="DQ56" s="176"/>
      <c r="DR56" s="176"/>
      <c r="DS56" s="176"/>
      <c r="DT56" s="223">
        <f t="shared" si="188"/>
        <v>0</v>
      </c>
      <c r="DU56" s="181"/>
      <c r="DV56" s="176"/>
      <c r="DW56" s="176"/>
      <c r="DX56" s="176"/>
      <c r="DY56" s="176"/>
      <c r="DZ56" s="176"/>
      <c r="EA56" s="176"/>
      <c r="EB56" s="223">
        <f t="shared" si="189"/>
        <v>0</v>
      </c>
      <c r="EC56" s="181"/>
      <c r="ED56" s="176"/>
      <c r="EE56" s="176"/>
      <c r="EF56" s="176"/>
      <c r="EG56" s="176"/>
      <c r="EH56" s="176"/>
      <c r="EI56" s="176"/>
      <c r="EJ56" s="223">
        <f t="shared" si="190"/>
        <v>0</v>
      </c>
      <c r="EK56" s="181"/>
      <c r="EL56" s="176"/>
      <c r="EM56" s="176"/>
      <c r="EN56" s="176"/>
      <c r="EO56" s="176"/>
      <c r="EP56" s="176"/>
      <c r="EQ56" s="176"/>
      <c r="ER56" s="223">
        <f t="shared" si="191"/>
        <v>0</v>
      </c>
      <c r="ES56" s="181"/>
      <c r="ET56" s="176"/>
      <c r="EU56" s="176"/>
      <c r="EV56" s="176"/>
      <c r="EW56" s="176"/>
      <c r="EX56" s="176"/>
      <c r="EY56" s="176"/>
      <c r="EZ56" s="223">
        <f t="shared" si="192"/>
        <v>0</v>
      </c>
      <c r="FA56" s="181"/>
      <c r="FB56" s="176"/>
      <c r="FC56" s="176"/>
      <c r="FD56" s="176"/>
      <c r="FE56" s="176"/>
      <c r="FF56" s="176"/>
      <c r="FG56" s="176"/>
      <c r="FH56" s="223">
        <f t="shared" si="193"/>
        <v>0</v>
      </c>
      <c r="FI56" s="291" t="str">
        <f t="shared" si="194"/>
        <v/>
      </c>
      <c r="FJ56" s="250"/>
      <c r="FK56" s="250"/>
      <c r="FL56" s="291" t="str">
        <f t="shared" si="195"/>
        <v/>
      </c>
      <c r="FM56" s="312" t="str">
        <f>IFERROR(IF(FL56="","",IF(FL56&gt;=KONVERSI!$A$5,KONVERSI!$D$5,IF(FL56&gt;=KONVERSI!$A$6,KONVERSI!$D$6,IF(FL56&gt;=KONVERSI!$A$7,KONVERSI!$D$7,KONVERSI!$D$8)))),"")</f>
        <v/>
      </c>
      <c r="FN56" s="232" t="str">
        <f t="shared" si="196"/>
        <v/>
      </c>
      <c r="FO56" s="313"/>
      <c r="FP56" s="314">
        <f t="shared" si="197"/>
        <v>0</v>
      </c>
      <c r="FQ56" s="194" t="str">
        <f t="shared" si="33"/>
        <v/>
      </c>
      <c r="FR56" s="194" t="str">
        <f t="shared" si="34"/>
        <v/>
      </c>
      <c r="FS56" s="194" t="str">
        <f t="shared" si="35"/>
        <v/>
      </c>
      <c r="FT56" s="194" t="str">
        <f t="shared" si="36"/>
        <v/>
      </c>
      <c r="FU56" s="194" t="str">
        <f t="shared" si="37"/>
        <v/>
      </c>
      <c r="FV56" s="194" t="str">
        <f t="shared" si="345"/>
        <v/>
      </c>
      <c r="FW56" s="194" t="str">
        <f t="shared" si="39"/>
        <v/>
      </c>
      <c r="FX56" s="194" t="str">
        <f t="shared" si="344"/>
        <v/>
      </c>
      <c r="FY56" s="194" t="str">
        <f t="shared" si="40"/>
        <v/>
      </c>
      <c r="FZ56" s="194" t="str">
        <f t="shared" si="41"/>
        <v/>
      </c>
      <c r="GA56" s="194" t="str">
        <f t="shared" si="42"/>
        <v/>
      </c>
      <c r="GB56" s="194" t="str">
        <f t="shared" si="346"/>
        <v/>
      </c>
      <c r="GC56" s="194" t="str">
        <f t="shared" si="44"/>
        <v/>
      </c>
      <c r="GD56" s="194" t="str">
        <f t="shared" si="45"/>
        <v/>
      </c>
      <c r="GE56" s="194" t="str">
        <f t="shared" si="46"/>
        <v/>
      </c>
      <c r="GF56" s="194" t="str">
        <f t="shared" si="47"/>
        <v/>
      </c>
      <c r="GG56" s="194" t="str">
        <f t="shared" si="48"/>
        <v/>
      </c>
      <c r="GH56" s="194" t="str">
        <f t="shared" si="347"/>
        <v/>
      </c>
      <c r="GI56" s="194" t="str">
        <f t="shared" si="50"/>
        <v/>
      </c>
      <c r="GJ56" s="194" t="str">
        <f t="shared" si="51"/>
        <v/>
      </c>
      <c r="GK56" s="194" t="str">
        <f t="shared" si="52"/>
        <v/>
      </c>
      <c r="GL56" s="194" t="str">
        <f t="shared" si="53"/>
        <v/>
      </c>
      <c r="GM56" s="194" t="str">
        <f t="shared" si="54"/>
        <v/>
      </c>
      <c r="GN56" s="194" t="str">
        <f t="shared" si="348"/>
        <v/>
      </c>
      <c r="GO56" s="194" t="str">
        <f t="shared" si="56"/>
        <v/>
      </c>
      <c r="GP56" s="194" t="str">
        <f t="shared" si="57"/>
        <v/>
      </c>
      <c r="GQ56" s="194" t="str">
        <f t="shared" si="58"/>
        <v/>
      </c>
      <c r="GR56" s="194" t="str">
        <f t="shared" si="59"/>
        <v/>
      </c>
      <c r="GS56" s="194" t="str">
        <f t="shared" si="60"/>
        <v/>
      </c>
      <c r="GT56" s="194" t="str">
        <f t="shared" si="349"/>
        <v/>
      </c>
      <c r="GU56" s="194" t="str">
        <f t="shared" si="62"/>
        <v/>
      </c>
      <c r="GV56" s="194" t="str">
        <f t="shared" si="63"/>
        <v/>
      </c>
      <c r="GW56" s="194" t="str">
        <f t="shared" si="64"/>
        <v/>
      </c>
      <c r="GX56" s="194" t="str">
        <f t="shared" si="65"/>
        <v/>
      </c>
      <c r="GY56" s="194" t="str">
        <f t="shared" si="66"/>
        <v/>
      </c>
      <c r="GZ56" s="194" t="str">
        <f t="shared" si="350"/>
        <v/>
      </c>
      <c r="HA56" s="194" t="str">
        <f t="shared" si="68"/>
        <v/>
      </c>
      <c r="HB56" s="194" t="str">
        <f t="shared" si="69"/>
        <v/>
      </c>
      <c r="HC56" s="194" t="str">
        <f t="shared" si="70"/>
        <v/>
      </c>
      <c r="HD56" s="194" t="str">
        <f t="shared" si="71"/>
        <v/>
      </c>
      <c r="HE56" s="194" t="str">
        <f t="shared" si="72"/>
        <v/>
      </c>
      <c r="HF56" s="194" t="str">
        <f t="shared" si="351"/>
        <v/>
      </c>
      <c r="HG56" s="194" t="str">
        <f t="shared" si="74"/>
        <v/>
      </c>
      <c r="HH56" s="194" t="str">
        <f t="shared" si="75"/>
        <v/>
      </c>
      <c r="HI56" s="194" t="str">
        <f t="shared" si="76"/>
        <v/>
      </c>
      <c r="HJ56" s="194" t="str">
        <f t="shared" si="77"/>
        <v/>
      </c>
      <c r="HK56" s="194" t="str">
        <f t="shared" si="78"/>
        <v/>
      </c>
      <c r="HL56" s="194" t="str">
        <f t="shared" si="352"/>
        <v/>
      </c>
      <c r="HM56" s="194" t="str">
        <f t="shared" si="80"/>
        <v/>
      </c>
      <c r="HN56" s="194" t="str">
        <f t="shared" si="81"/>
        <v/>
      </c>
      <c r="HO56" s="194" t="str">
        <f t="shared" si="82"/>
        <v/>
      </c>
      <c r="HP56" s="194" t="str">
        <f t="shared" si="83"/>
        <v/>
      </c>
      <c r="HQ56" s="194" t="str">
        <f t="shared" si="84"/>
        <v/>
      </c>
      <c r="HR56" s="194" t="str">
        <f t="shared" si="353"/>
        <v/>
      </c>
      <c r="HS56" s="194" t="str">
        <f t="shared" si="86"/>
        <v/>
      </c>
      <c r="HT56" s="194" t="str">
        <f t="shared" si="87"/>
        <v/>
      </c>
      <c r="HU56" s="194" t="str">
        <f t="shared" si="88"/>
        <v/>
      </c>
      <c r="HV56" s="194" t="str">
        <f t="shared" si="89"/>
        <v/>
      </c>
      <c r="HW56" s="194" t="str">
        <f t="shared" si="90"/>
        <v/>
      </c>
      <c r="HX56" s="194" t="str">
        <f t="shared" si="354"/>
        <v/>
      </c>
      <c r="HY56" s="194" t="str">
        <f t="shared" si="92"/>
        <v/>
      </c>
      <c r="HZ56" s="194" t="str">
        <f t="shared" si="93"/>
        <v/>
      </c>
      <c r="IA56" s="194" t="str">
        <f t="shared" si="94"/>
        <v/>
      </c>
      <c r="IB56" s="194" t="str">
        <f t="shared" si="95"/>
        <v/>
      </c>
      <c r="IC56" s="194" t="str">
        <f t="shared" si="96"/>
        <v/>
      </c>
      <c r="ID56" s="194" t="str">
        <f t="shared" si="355"/>
        <v/>
      </c>
      <c r="IE56" s="194" t="str">
        <f t="shared" si="98"/>
        <v/>
      </c>
      <c r="IF56" s="194" t="str">
        <f t="shared" si="99"/>
        <v/>
      </c>
      <c r="IG56" s="194" t="str">
        <f t="shared" si="100"/>
        <v/>
      </c>
      <c r="IH56" s="194" t="str">
        <f t="shared" si="101"/>
        <v/>
      </c>
      <c r="II56" s="194" t="str">
        <f t="shared" si="102"/>
        <v/>
      </c>
      <c r="IJ56" s="194" t="str">
        <f t="shared" si="356"/>
        <v/>
      </c>
      <c r="IK56" s="194" t="str">
        <f t="shared" si="104"/>
        <v/>
      </c>
      <c r="IL56" s="194" t="str">
        <f t="shared" si="105"/>
        <v/>
      </c>
      <c r="IM56" s="194" t="str">
        <f t="shared" si="106"/>
        <v/>
      </c>
      <c r="IN56" s="194" t="str">
        <f t="shared" si="107"/>
        <v/>
      </c>
      <c r="IO56" s="194" t="str">
        <f t="shared" si="108"/>
        <v/>
      </c>
      <c r="IP56" s="194" t="str">
        <f t="shared" si="357"/>
        <v/>
      </c>
      <c r="IQ56" s="194" t="str">
        <f t="shared" si="110"/>
        <v/>
      </c>
      <c r="IR56" s="194" t="str">
        <f t="shared" si="111"/>
        <v/>
      </c>
      <c r="IS56" s="194" t="str">
        <f t="shared" si="112"/>
        <v/>
      </c>
      <c r="IT56" s="194" t="str">
        <f t="shared" si="113"/>
        <v/>
      </c>
      <c r="IU56" s="194" t="str">
        <f t="shared" si="114"/>
        <v/>
      </c>
      <c r="IV56" s="194" t="str">
        <f t="shared" si="358"/>
        <v/>
      </c>
      <c r="IW56" s="194" t="str">
        <f t="shared" si="364"/>
        <v/>
      </c>
      <c r="IX56" s="194" t="str">
        <f t="shared" si="365"/>
        <v/>
      </c>
      <c r="IY56" s="194" t="str">
        <f t="shared" si="366"/>
        <v/>
      </c>
      <c r="IZ56" s="194" t="str">
        <f t="shared" si="367"/>
        <v/>
      </c>
      <c r="JA56" s="194" t="str">
        <f t="shared" si="368"/>
        <v/>
      </c>
      <c r="JB56" s="194" t="str">
        <f t="shared" si="369"/>
        <v/>
      </c>
      <c r="JC56" s="194" t="str">
        <f t="shared" si="370"/>
        <v/>
      </c>
      <c r="JD56" s="194" t="str">
        <f t="shared" si="371"/>
        <v/>
      </c>
      <c r="JE56" s="194" t="str">
        <f t="shared" si="372"/>
        <v/>
      </c>
      <c r="JF56" s="194" t="str">
        <f t="shared" si="373"/>
        <v/>
      </c>
      <c r="JG56" s="194" t="str">
        <f t="shared" si="374"/>
        <v/>
      </c>
      <c r="JH56" s="194" t="str">
        <f t="shared" si="379"/>
        <v/>
      </c>
      <c r="JI56" s="194" t="str">
        <f t="shared" si="380"/>
        <v/>
      </c>
      <c r="JJ56" s="194" t="str">
        <f t="shared" si="381"/>
        <v/>
      </c>
      <c r="JK56" s="194" t="str">
        <f t="shared" si="382"/>
        <v/>
      </c>
      <c r="JL56" s="194" t="str">
        <f t="shared" si="383"/>
        <v/>
      </c>
      <c r="JM56" s="194" t="str">
        <f t="shared" si="384"/>
        <v/>
      </c>
      <c r="JN56" s="194" t="str">
        <f t="shared" si="385"/>
        <v/>
      </c>
      <c r="JO56" s="194" t="str">
        <f t="shared" si="386"/>
        <v/>
      </c>
      <c r="JP56" s="194" t="str">
        <f t="shared" si="387"/>
        <v/>
      </c>
      <c r="JQ56" s="194" t="str">
        <f t="shared" si="388"/>
        <v/>
      </c>
      <c r="JR56" s="194" t="str">
        <f t="shared" si="389"/>
        <v/>
      </c>
      <c r="JS56" s="194" t="str">
        <f t="shared" si="390"/>
        <v/>
      </c>
      <c r="JT56" s="194" t="str">
        <f t="shared" si="391"/>
        <v/>
      </c>
      <c r="JU56" s="194" t="str">
        <f t="shared" si="392"/>
        <v/>
      </c>
      <c r="JV56" s="194" t="str">
        <f t="shared" si="393"/>
        <v/>
      </c>
      <c r="JW56" s="194" t="str">
        <f t="shared" si="394"/>
        <v/>
      </c>
      <c r="JX56" s="194" t="str">
        <f t="shared" si="395"/>
        <v/>
      </c>
      <c r="JY56" s="194" t="str">
        <f t="shared" si="396"/>
        <v/>
      </c>
      <c r="JZ56" s="194" t="str">
        <f t="shared" si="397"/>
        <v/>
      </c>
      <c r="KA56" s="194" t="str">
        <f t="shared" si="398"/>
        <v/>
      </c>
      <c r="KB56" s="194" t="str">
        <f t="shared" si="399"/>
        <v/>
      </c>
      <c r="KC56" s="194" t="str">
        <f t="shared" si="400"/>
        <v/>
      </c>
      <c r="KD56" s="194" t="str">
        <f t="shared" si="401"/>
        <v/>
      </c>
      <c r="KE56" s="194" t="str">
        <f t="shared" si="402"/>
        <v/>
      </c>
      <c r="KF56" s="194" t="str">
        <f t="shared" si="403"/>
        <v/>
      </c>
      <c r="KG56" s="194">
        <f>SUM(LE56:LX56)/COUNTA(RefKI3KI4!$B$5:$B$24)</f>
        <v>0</v>
      </c>
      <c r="KH56" s="232">
        <f t="shared" si="198"/>
        <v>0</v>
      </c>
      <c r="KI56" s="340" t="str">
        <f t="shared" si="199"/>
        <v>ok</v>
      </c>
      <c r="KJ56" s="340" t="str">
        <f t="shared" si="200"/>
        <v>ok</v>
      </c>
      <c r="KK56" s="340" t="str">
        <f t="shared" si="201"/>
        <v/>
      </c>
      <c r="KL56" s="340" t="str">
        <f t="shared" si="202"/>
        <v/>
      </c>
      <c r="KM56" s="340" t="str">
        <f t="shared" si="203"/>
        <v/>
      </c>
      <c r="KN56" s="340" t="str">
        <f t="shared" si="204"/>
        <v/>
      </c>
      <c r="KO56" s="340" t="str">
        <f t="shared" si="205"/>
        <v/>
      </c>
      <c r="KP56" s="340" t="str">
        <f t="shared" si="206"/>
        <v/>
      </c>
      <c r="KQ56" s="340" t="str">
        <f t="shared" si="207"/>
        <v/>
      </c>
      <c r="KR56" s="340" t="str">
        <f t="shared" si="208"/>
        <v/>
      </c>
      <c r="KS56" s="340" t="str">
        <f t="shared" si="209"/>
        <v/>
      </c>
      <c r="KT56" s="340" t="str">
        <f t="shared" si="210"/>
        <v/>
      </c>
      <c r="KU56" s="340" t="str">
        <f t="shared" si="211"/>
        <v/>
      </c>
      <c r="KV56" s="340" t="str">
        <f t="shared" si="212"/>
        <v/>
      </c>
      <c r="KW56" s="340" t="str">
        <f t="shared" si="213"/>
        <v/>
      </c>
      <c r="KX56" s="340" t="str">
        <f t="shared" si="214"/>
        <v/>
      </c>
      <c r="KY56" s="340" t="str">
        <f t="shared" si="215"/>
        <v/>
      </c>
      <c r="KZ56" s="340" t="str">
        <f t="shared" si="216"/>
        <v/>
      </c>
      <c r="LA56" s="340" t="str">
        <f t="shared" si="217"/>
        <v/>
      </c>
      <c r="LB56" s="340" t="str">
        <f t="shared" si="218"/>
        <v/>
      </c>
      <c r="LC56" s="340">
        <f t="shared" si="219"/>
        <v>0</v>
      </c>
      <c r="LD56" s="228">
        <v>48</v>
      </c>
      <c r="LE56" s="229" t="str">
        <f t="shared" si="220"/>
        <v/>
      </c>
      <c r="LF56" s="229" t="str">
        <f t="shared" si="221"/>
        <v/>
      </c>
      <c r="LG56" s="229" t="str">
        <f t="shared" si="222"/>
        <v/>
      </c>
      <c r="LH56" s="229" t="str">
        <f t="shared" si="223"/>
        <v/>
      </c>
      <c r="LI56" s="229" t="str">
        <f t="shared" si="224"/>
        <v/>
      </c>
      <c r="LJ56" s="229" t="str">
        <f t="shared" si="225"/>
        <v/>
      </c>
      <c r="LK56" s="229" t="str">
        <f t="shared" si="226"/>
        <v/>
      </c>
      <c r="LL56" s="229" t="str">
        <f t="shared" si="227"/>
        <v/>
      </c>
      <c r="LM56" s="229" t="str">
        <f t="shared" si="228"/>
        <v/>
      </c>
      <c r="LN56" s="229" t="str">
        <f t="shared" si="229"/>
        <v/>
      </c>
      <c r="LO56" s="229" t="str">
        <f t="shared" si="230"/>
        <v/>
      </c>
      <c r="LP56" s="229" t="str">
        <f t="shared" si="231"/>
        <v/>
      </c>
      <c r="LQ56" s="229" t="str">
        <f t="shared" si="232"/>
        <v/>
      </c>
      <c r="LR56" s="229" t="str">
        <f t="shared" si="233"/>
        <v/>
      </c>
      <c r="LS56" s="229" t="str">
        <f t="shared" si="234"/>
        <v/>
      </c>
      <c r="LT56" s="229" t="str">
        <f t="shared" si="235"/>
        <v/>
      </c>
      <c r="LU56" s="229" t="str">
        <f t="shared" si="236"/>
        <v/>
      </c>
      <c r="LV56" s="229" t="str">
        <f t="shared" si="237"/>
        <v/>
      </c>
      <c r="LW56" s="229" t="str">
        <f t="shared" si="238"/>
        <v/>
      </c>
      <c r="LX56" s="229" t="str">
        <f t="shared" si="239"/>
        <v/>
      </c>
      <c r="LY56" s="231" t="str">
        <f t="shared" si="240"/>
        <v/>
      </c>
      <c r="LZ56" s="231" t="str">
        <f t="shared" si="241"/>
        <v/>
      </c>
      <c r="MA56" s="231" t="str">
        <f t="shared" si="242"/>
        <v/>
      </c>
      <c r="MB56" s="231" t="str">
        <f t="shared" si="243"/>
        <v/>
      </c>
      <c r="MC56" s="231" t="str">
        <f t="shared" si="244"/>
        <v/>
      </c>
      <c r="MD56" s="231" t="str">
        <f t="shared" si="245"/>
        <v/>
      </c>
      <c r="ME56" s="231" t="str">
        <f t="shared" si="246"/>
        <v/>
      </c>
      <c r="MF56" s="231" t="str">
        <f t="shared" si="247"/>
        <v/>
      </c>
      <c r="MG56" s="231" t="str">
        <f t="shared" si="248"/>
        <v/>
      </c>
      <c r="MH56" s="231" t="str">
        <f t="shared" si="249"/>
        <v/>
      </c>
      <c r="MI56" s="231" t="str">
        <f t="shared" si="250"/>
        <v/>
      </c>
      <c r="MJ56" s="231" t="str">
        <f t="shared" si="251"/>
        <v/>
      </c>
      <c r="MK56" s="231" t="str">
        <f t="shared" si="252"/>
        <v/>
      </c>
      <c r="ML56" s="231" t="str">
        <f t="shared" si="253"/>
        <v/>
      </c>
      <c r="MM56" s="231" t="str">
        <f t="shared" si="254"/>
        <v/>
      </c>
      <c r="MN56" s="231" t="str">
        <f t="shared" si="255"/>
        <v/>
      </c>
      <c r="MO56" s="231" t="str">
        <f t="shared" si="256"/>
        <v/>
      </c>
      <c r="MP56" s="231" t="str">
        <f t="shared" si="257"/>
        <v/>
      </c>
      <c r="MQ56" s="231" t="str">
        <f t="shared" si="258"/>
        <v/>
      </c>
      <c r="MR56" s="231" t="str">
        <f t="shared" si="259"/>
        <v/>
      </c>
      <c r="MS56" s="231" t="str">
        <f t="shared" si="359"/>
        <v/>
      </c>
      <c r="MT56" s="232" t="str">
        <f>IF(MS56="","",IF(MS56&gt;=KONVERSI!$A$5,KONVERSI!$E$5,IF(MS56&gt;=KONVERSI!$A$6,KONVERSI!$E$6,IF(MS56&gt;=KONVERSI!$A$7,KONVERSI!$E$7,KONVERSI!$E$8))))</f>
        <v/>
      </c>
      <c r="MU56" s="233" t="str">
        <f t="shared" si="360"/>
        <v/>
      </c>
      <c r="MV56" s="234" t="str">
        <f t="shared" si="260"/>
        <v/>
      </c>
      <c r="MW56" s="232" t="str">
        <f>IF(MV56="","",IF(MV56&gt;=KONVERSI!$A$5,KONVERSI!$E$5,IF(MV56&gt;=KONVERSI!$A$6,KONVERSI!$E$6,IF(MV56&gt;=KONVERSI!$A$7,KONVERSI!$E$7,KONVERSI!$E$8))))</f>
        <v/>
      </c>
      <c r="MX56" s="134" t="str">
        <f>IF(FI56&lt;$FN$4," "&amp;KONVERSI!$C$18&amp;INDEX($LY$8:$MR$8,MATCH(MV56,LY56:MR56,0))&amp;".",IF(KG56=0,"",IF(MV56&lt;&gt;0,MU56&amp;MW56&amp;".",MU56&amp;".")))</f>
        <v/>
      </c>
      <c r="MY56" s="235" t="str">
        <f t="shared" si="261"/>
        <v/>
      </c>
      <c r="MZ56" s="235" t="str">
        <f t="shared" si="262"/>
        <v/>
      </c>
      <c r="NA56" s="235" t="str">
        <f t="shared" si="263"/>
        <v/>
      </c>
      <c r="NB56" s="235" t="str">
        <f t="shared" si="264"/>
        <v/>
      </c>
      <c r="NC56" s="235" t="str">
        <f t="shared" si="265"/>
        <v/>
      </c>
      <c r="ND56" s="235" t="str">
        <f t="shared" si="266"/>
        <v/>
      </c>
      <c r="NE56" s="235" t="str">
        <f t="shared" si="267"/>
        <v/>
      </c>
      <c r="NF56" s="235" t="str">
        <f t="shared" si="268"/>
        <v/>
      </c>
      <c r="NG56" s="235" t="str">
        <f t="shared" si="269"/>
        <v/>
      </c>
      <c r="NH56" s="235" t="str">
        <f t="shared" si="270"/>
        <v/>
      </c>
      <c r="NI56" s="235" t="str">
        <f t="shared" si="271"/>
        <v/>
      </c>
      <c r="NJ56" s="235" t="str">
        <f t="shared" si="272"/>
        <v/>
      </c>
      <c r="NK56" s="235" t="str">
        <f t="shared" si="273"/>
        <v/>
      </c>
      <c r="NL56" s="235" t="str">
        <f t="shared" si="274"/>
        <v/>
      </c>
      <c r="NM56" s="235" t="str">
        <f t="shared" si="275"/>
        <v/>
      </c>
      <c r="NN56" s="235" t="str">
        <f t="shared" si="276"/>
        <v/>
      </c>
      <c r="NO56" s="235" t="str">
        <f t="shared" si="277"/>
        <v/>
      </c>
      <c r="NP56" s="235" t="str">
        <f t="shared" si="278"/>
        <v/>
      </c>
      <c r="NQ56" s="235" t="str">
        <f t="shared" si="279"/>
        <v/>
      </c>
      <c r="NR56" s="235" t="str">
        <f t="shared" si="280"/>
        <v/>
      </c>
      <c r="NS56" s="134" t="str">
        <f t="shared" si="281"/>
        <v/>
      </c>
      <c r="NT56" s="134" t="str">
        <f t="shared" si="282"/>
        <v/>
      </c>
      <c r="NU56" s="134" t="str">
        <f t="shared" si="283"/>
        <v/>
      </c>
      <c r="NV56" s="134" t="str">
        <f t="shared" si="284"/>
        <v/>
      </c>
      <c r="NW56" s="134" t="str">
        <f t="shared" si="285"/>
        <v/>
      </c>
      <c r="NX56" s="134" t="str">
        <f t="shared" si="286"/>
        <v/>
      </c>
      <c r="NY56" s="134" t="str">
        <f t="shared" si="287"/>
        <v/>
      </c>
      <c r="NZ56" s="134" t="str">
        <f t="shared" si="288"/>
        <v/>
      </c>
      <c r="OA56" s="134" t="str">
        <f t="shared" si="289"/>
        <v/>
      </c>
      <c r="OB56" s="134" t="str">
        <f t="shared" si="290"/>
        <v/>
      </c>
      <c r="OC56" s="134" t="str">
        <f t="shared" si="291"/>
        <v/>
      </c>
      <c r="OD56" s="134" t="str">
        <f t="shared" si="292"/>
        <v/>
      </c>
      <c r="OE56" s="134" t="str">
        <f t="shared" si="293"/>
        <v/>
      </c>
      <c r="OF56" s="134" t="str">
        <f t="shared" si="294"/>
        <v/>
      </c>
      <c r="OG56" s="134" t="str">
        <f t="shared" si="295"/>
        <v/>
      </c>
      <c r="OH56" s="134" t="str">
        <f t="shared" si="296"/>
        <v/>
      </c>
      <c r="OI56" s="134" t="str">
        <f t="shared" si="297"/>
        <v/>
      </c>
      <c r="OJ56" s="134" t="str">
        <f t="shared" si="298"/>
        <v/>
      </c>
      <c r="OK56" s="134" t="str">
        <f t="shared" si="299"/>
        <v/>
      </c>
      <c r="OL56" s="134" t="str">
        <f t="shared" si="300"/>
        <v/>
      </c>
      <c r="OM56" s="134" t="str">
        <f t="shared" si="301"/>
        <v/>
      </c>
      <c r="ON56" s="134" t="str">
        <f t="shared" si="302"/>
        <v>  </v>
      </c>
      <c r="OO56" s="236">
        <f t="shared" si="361"/>
        <v>0</v>
      </c>
      <c r="OP56" s="235" t="str">
        <f t="shared" si="303"/>
        <v/>
      </c>
      <c r="OQ56" s="235" t="str">
        <f t="shared" si="304"/>
        <v/>
      </c>
      <c r="OR56" s="235" t="str">
        <f t="shared" si="305"/>
        <v/>
      </c>
      <c r="OS56" s="235" t="str">
        <f t="shared" si="306"/>
        <v/>
      </c>
      <c r="OT56" s="235" t="str">
        <f t="shared" si="307"/>
        <v/>
      </c>
      <c r="OU56" s="235" t="str">
        <f t="shared" si="308"/>
        <v/>
      </c>
      <c r="OV56" s="235" t="str">
        <f t="shared" si="309"/>
        <v/>
      </c>
      <c r="OW56" s="235" t="str">
        <f t="shared" si="310"/>
        <v/>
      </c>
      <c r="OX56" s="235" t="str">
        <f t="shared" si="311"/>
        <v/>
      </c>
      <c r="OY56" s="235" t="str">
        <f t="shared" si="312"/>
        <v/>
      </c>
      <c r="OZ56" s="235" t="str">
        <f t="shared" si="313"/>
        <v/>
      </c>
      <c r="PA56" s="235" t="str">
        <f t="shared" si="314"/>
        <v/>
      </c>
      <c r="PB56" s="235" t="str">
        <f t="shared" si="315"/>
        <v/>
      </c>
      <c r="PC56" s="235" t="str">
        <f t="shared" si="316"/>
        <v/>
      </c>
      <c r="PD56" s="235" t="str">
        <f t="shared" si="317"/>
        <v/>
      </c>
      <c r="PE56" s="235" t="str">
        <f t="shared" si="318"/>
        <v/>
      </c>
      <c r="PF56" s="235" t="str">
        <f t="shared" si="319"/>
        <v/>
      </c>
      <c r="PG56" s="235" t="str">
        <f t="shared" si="320"/>
        <v/>
      </c>
      <c r="PH56" s="235" t="str">
        <f t="shared" si="321"/>
        <v/>
      </c>
      <c r="PI56" s="235" t="str">
        <f t="shared" si="322"/>
        <v/>
      </c>
      <c r="PJ56" s="134" t="str">
        <f t="shared" si="323"/>
        <v/>
      </c>
      <c r="PK56" s="134" t="str">
        <f t="shared" si="324"/>
        <v/>
      </c>
      <c r="PL56" s="134" t="str">
        <f t="shared" si="325"/>
        <v/>
      </c>
      <c r="PM56" s="134" t="str">
        <f t="shared" si="326"/>
        <v/>
      </c>
      <c r="PN56" s="134" t="str">
        <f t="shared" si="327"/>
        <v/>
      </c>
      <c r="PO56" s="134" t="str">
        <f t="shared" si="328"/>
        <v/>
      </c>
      <c r="PP56" s="134" t="str">
        <f t="shared" si="329"/>
        <v/>
      </c>
      <c r="PQ56" s="134" t="str">
        <f t="shared" si="330"/>
        <v/>
      </c>
      <c r="PR56" s="134" t="str">
        <f t="shared" si="331"/>
        <v/>
      </c>
      <c r="PS56" s="134" t="str">
        <f t="shared" si="332"/>
        <v/>
      </c>
      <c r="PT56" s="134" t="str">
        <f t="shared" si="333"/>
        <v/>
      </c>
      <c r="PU56" s="134" t="str">
        <f t="shared" si="334"/>
        <v/>
      </c>
      <c r="PV56" s="134" t="str">
        <f t="shared" si="335"/>
        <v/>
      </c>
      <c r="PW56" s="134" t="str">
        <f t="shared" si="336"/>
        <v/>
      </c>
      <c r="PX56" s="134" t="str">
        <f t="shared" si="337"/>
        <v/>
      </c>
      <c r="PY56" s="134" t="str">
        <f t="shared" si="338"/>
        <v/>
      </c>
      <c r="PZ56" s="134" t="str">
        <f t="shared" si="339"/>
        <v/>
      </c>
      <c r="QA56" s="134" t="str">
        <f t="shared" si="340"/>
        <v/>
      </c>
      <c r="QB56" s="134" t="str">
        <f t="shared" si="341"/>
        <v/>
      </c>
      <c r="QC56" s="134" t="str">
        <f t="shared" si="342"/>
        <v/>
      </c>
      <c r="QD56" s="134" t="str">
        <f>IF(MT56=MW56,"",IF(MV56="","",IF(MV56&gt;=KONVERSI!$A$7,'KI3'!MW56&amp;" dalam"&amp;PJ56&amp;PK56&amp;PL56&amp;PM56&amp;PN56&amp;PO56&amp;PP56&amp;PQ56&amp;PR56&amp;PS56&amp;PT56&amp;PU56&amp;PV56&amp;PW56&amp;PX56&amp;PY56&amp;PZ56&amp;QA56&amp;QB56&amp;QC56,KONVERSI!$C$18&amp;" dalam"&amp;PJ56&amp;PK56&amp;PL56&amp;PM56&amp;PN56&amp;PO56&amp;PP56&amp;PQ56&amp;PR56&amp;PS56&amp;PT56&amp;PU56&amp;PV56&amp;PW56&amp;PX56&amp;PY56&amp;PZ56&amp;QA56&amp;QB56&amp;QC56)))</f>
        <v/>
      </c>
      <c r="QE56" s="134" t="str">
        <f t="shared" si="343"/>
        <v/>
      </c>
      <c r="QF56" s="236">
        <f t="shared" si="362"/>
        <v>0</v>
      </c>
      <c r="QG56" s="134" t="str">
        <f t="shared" si="363"/>
        <v/>
      </c>
    </row>
    <row r="57" ht="27.6" customHeight="1" spans="1:449">
      <c r="A57" s="136"/>
      <c r="B57" s="177">
        <v>49</v>
      </c>
      <c r="C57" s="180">
        <f>siswa!C53</f>
        <v>0</v>
      </c>
      <c r="D57" s="174">
        <f>siswa!D53</f>
        <v>0</v>
      </c>
      <c r="E57" s="181"/>
      <c r="F57" s="176"/>
      <c r="G57" s="176"/>
      <c r="H57" s="176"/>
      <c r="I57" s="176"/>
      <c r="J57" s="176"/>
      <c r="K57" s="176"/>
      <c r="L57" s="223" t="str">
        <f t="shared" si="174"/>
        <v/>
      </c>
      <c r="M57" s="181"/>
      <c r="N57" s="176"/>
      <c r="O57" s="176"/>
      <c r="P57" s="176"/>
      <c r="Q57" s="176"/>
      <c r="R57" s="176"/>
      <c r="S57" s="176"/>
      <c r="T57" s="223" t="str">
        <f t="shared" si="175"/>
        <v/>
      </c>
      <c r="U57" s="181"/>
      <c r="V57" s="176"/>
      <c r="W57" s="176"/>
      <c r="X57" s="176"/>
      <c r="Y57" s="176"/>
      <c r="Z57" s="176"/>
      <c r="AA57" s="176"/>
      <c r="AB57" s="223">
        <f t="shared" si="176"/>
        <v>0</v>
      </c>
      <c r="AC57" s="181"/>
      <c r="AD57" s="176"/>
      <c r="AE57" s="176"/>
      <c r="AF57" s="176"/>
      <c r="AG57" s="176"/>
      <c r="AH57" s="176"/>
      <c r="AI57" s="176"/>
      <c r="AJ57" s="223">
        <f t="shared" si="177"/>
        <v>0</v>
      </c>
      <c r="AK57" s="181"/>
      <c r="AL57" s="176"/>
      <c r="AM57" s="176"/>
      <c r="AN57" s="176"/>
      <c r="AO57" s="176"/>
      <c r="AP57" s="176"/>
      <c r="AQ57" s="176"/>
      <c r="AR57" s="223">
        <f t="shared" si="178"/>
        <v>0</v>
      </c>
      <c r="AS57" s="181"/>
      <c r="AT57" s="176"/>
      <c r="AU57" s="176"/>
      <c r="AV57" s="176"/>
      <c r="AW57" s="176"/>
      <c r="AX57" s="176"/>
      <c r="AY57" s="176"/>
      <c r="AZ57" s="223">
        <f t="shared" si="179"/>
        <v>0</v>
      </c>
      <c r="BA57" s="181"/>
      <c r="BB57" s="176"/>
      <c r="BC57" s="176"/>
      <c r="BD57" s="176"/>
      <c r="BE57" s="176"/>
      <c r="BF57" s="176"/>
      <c r="BG57" s="176"/>
      <c r="BH57" s="223">
        <f t="shared" si="180"/>
        <v>0</v>
      </c>
      <c r="BI57" s="181"/>
      <c r="BJ57" s="176"/>
      <c r="BK57" s="176"/>
      <c r="BL57" s="176"/>
      <c r="BM57" s="176"/>
      <c r="BN57" s="176"/>
      <c r="BO57" s="176"/>
      <c r="BP57" s="223">
        <f t="shared" si="181"/>
        <v>0</v>
      </c>
      <c r="BQ57" s="181"/>
      <c r="BR57" s="176"/>
      <c r="BS57" s="176"/>
      <c r="BT57" s="176"/>
      <c r="BU57" s="176"/>
      <c r="BV57" s="176"/>
      <c r="BW57" s="176"/>
      <c r="BX57" s="223">
        <f t="shared" si="182"/>
        <v>0</v>
      </c>
      <c r="BY57" s="181"/>
      <c r="BZ57" s="176"/>
      <c r="CA57" s="176"/>
      <c r="CB57" s="176"/>
      <c r="CC57" s="176"/>
      <c r="CD57" s="176"/>
      <c r="CE57" s="176"/>
      <c r="CF57" s="223">
        <f t="shared" si="183"/>
        <v>0</v>
      </c>
      <c r="CG57" s="181"/>
      <c r="CH57" s="176"/>
      <c r="CI57" s="176"/>
      <c r="CJ57" s="176"/>
      <c r="CK57" s="176"/>
      <c r="CL57" s="176"/>
      <c r="CM57" s="176"/>
      <c r="CN57" s="223">
        <f t="shared" si="184"/>
        <v>0</v>
      </c>
      <c r="CO57" s="181"/>
      <c r="CP57" s="176"/>
      <c r="CQ57" s="176"/>
      <c r="CR57" s="176"/>
      <c r="CS57" s="176"/>
      <c r="CT57" s="176"/>
      <c r="CU57" s="176"/>
      <c r="CV57" s="223">
        <f t="shared" si="185"/>
        <v>0</v>
      </c>
      <c r="CW57" s="181"/>
      <c r="CX57" s="176"/>
      <c r="CY57" s="176"/>
      <c r="CZ57" s="176"/>
      <c r="DA57" s="176"/>
      <c r="DB57" s="176"/>
      <c r="DC57" s="176"/>
      <c r="DD57" s="223">
        <f t="shared" si="186"/>
        <v>0</v>
      </c>
      <c r="DE57" s="181"/>
      <c r="DF57" s="176"/>
      <c r="DG57" s="176"/>
      <c r="DH57" s="176"/>
      <c r="DI57" s="176"/>
      <c r="DJ57" s="176"/>
      <c r="DK57" s="176"/>
      <c r="DL57" s="223">
        <f t="shared" si="187"/>
        <v>0</v>
      </c>
      <c r="DM57" s="181"/>
      <c r="DN57" s="176"/>
      <c r="DO57" s="176"/>
      <c r="DP57" s="176"/>
      <c r="DQ57" s="176"/>
      <c r="DR57" s="176"/>
      <c r="DS57" s="176"/>
      <c r="DT57" s="223">
        <f t="shared" si="188"/>
        <v>0</v>
      </c>
      <c r="DU57" s="181"/>
      <c r="DV57" s="176"/>
      <c r="DW57" s="176"/>
      <c r="DX57" s="176"/>
      <c r="DY57" s="176"/>
      <c r="DZ57" s="176"/>
      <c r="EA57" s="176"/>
      <c r="EB57" s="223">
        <f t="shared" si="189"/>
        <v>0</v>
      </c>
      <c r="EC57" s="181"/>
      <c r="ED57" s="176"/>
      <c r="EE57" s="176"/>
      <c r="EF57" s="176"/>
      <c r="EG57" s="176"/>
      <c r="EH57" s="176"/>
      <c r="EI57" s="176"/>
      <c r="EJ57" s="223">
        <f t="shared" si="190"/>
        <v>0</v>
      </c>
      <c r="EK57" s="181"/>
      <c r="EL57" s="176"/>
      <c r="EM57" s="176"/>
      <c r="EN57" s="176"/>
      <c r="EO57" s="176"/>
      <c r="EP57" s="176"/>
      <c r="EQ57" s="176"/>
      <c r="ER57" s="223">
        <f t="shared" si="191"/>
        <v>0</v>
      </c>
      <c r="ES57" s="181"/>
      <c r="ET57" s="176"/>
      <c r="EU57" s="176"/>
      <c r="EV57" s="176"/>
      <c r="EW57" s="176"/>
      <c r="EX57" s="176"/>
      <c r="EY57" s="176"/>
      <c r="EZ57" s="223">
        <f t="shared" si="192"/>
        <v>0</v>
      </c>
      <c r="FA57" s="181"/>
      <c r="FB57" s="176"/>
      <c r="FC57" s="176"/>
      <c r="FD57" s="176"/>
      <c r="FE57" s="176"/>
      <c r="FF57" s="176"/>
      <c r="FG57" s="176"/>
      <c r="FH57" s="223">
        <f t="shared" si="193"/>
        <v>0</v>
      </c>
      <c r="FI57" s="291" t="str">
        <f t="shared" si="194"/>
        <v/>
      </c>
      <c r="FJ57" s="250"/>
      <c r="FK57" s="250"/>
      <c r="FL57" s="291" t="str">
        <f t="shared" si="195"/>
        <v/>
      </c>
      <c r="FM57" s="312" t="str">
        <f>IFERROR(IF(FL57="","",IF(FL57&gt;=KONVERSI!$A$5,KONVERSI!$D$5,IF(FL57&gt;=KONVERSI!$A$6,KONVERSI!$D$6,IF(FL57&gt;=KONVERSI!$A$7,KONVERSI!$D$7,KONVERSI!$D$8)))),"")</f>
        <v/>
      </c>
      <c r="FN57" s="232" t="str">
        <f t="shared" si="196"/>
        <v/>
      </c>
      <c r="FO57" s="313"/>
      <c r="FP57" s="314">
        <f t="shared" si="197"/>
        <v>0</v>
      </c>
      <c r="FQ57" s="194" t="str">
        <f t="shared" ref="FQ57:FU58" si="404">IF($FQ$6="","",IF(E57="","",E57))</f>
        <v/>
      </c>
      <c r="FR57" s="194" t="str">
        <f t="shared" si="404"/>
        <v/>
      </c>
      <c r="FS57" s="194" t="str">
        <f t="shared" si="404"/>
        <v/>
      </c>
      <c r="FT57" s="194" t="str">
        <f t="shared" si="404"/>
        <v/>
      </c>
      <c r="FU57" s="194" t="str">
        <f t="shared" si="404"/>
        <v/>
      </c>
      <c r="FV57" s="194" t="str">
        <f t="shared" si="345"/>
        <v/>
      </c>
      <c r="FW57" s="194" t="str">
        <f t="shared" ref="FW57:GA58" si="405">IF($FW$6="","",IF(M57="","",M57))</f>
        <v/>
      </c>
      <c r="FX57" s="194" t="str">
        <f t="shared" si="405"/>
        <v/>
      </c>
      <c r="FY57" s="194" t="str">
        <f t="shared" si="405"/>
        <v/>
      </c>
      <c r="FZ57" s="194" t="str">
        <f t="shared" si="405"/>
        <v/>
      </c>
      <c r="GA57" s="194" t="str">
        <f t="shared" si="405"/>
        <v/>
      </c>
      <c r="GB57" s="194" t="str">
        <f t="shared" si="346"/>
        <v/>
      </c>
      <c r="GC57" s="194" t="str">
        <f t="shared" ref="GC57:GG58" si="406">IF($GC$6="","",IF(U57="","",U57))</f>
        <v/>
      </c>
      <c r="GD57" s="194" t="str">
        <f t="shared" si="406"/>
        <v/>
      </c>
      <c r="GE57" s="194" t="str">
        <f t="shared" si="406"/>
        <v/>
      </c>
      <c r="GF57" s="194" t="str">
        <f t="shared" si="406"/>
        <v/>
      </c>
      <c r="GG57" s="194" t="str">
        <f t="shared" si="406"/>
        <v/>
      </c>
      <c r="GH57" s="194" t="str">
        <f t="shared" si="347"/>
        <v/>
      </c>
      <c r="GI57" s="194" t="str">
        <f t="shared" ref="GI57:GM58" si="407">IF($GI$6="","",IF(AC57="","",AC57))</f>
        <v/>
      </c>
      <c r="GJ57" s="194" t="str">
        <f t="shared" si="407"/>
        <v/>
      </c>
      <c r="GK57" s="194" t="str">
        <f t="shared" si="407"/>
        <v/>
      </c>
      <c r="GL57" s="194" t="str">
        <f t="shared" si="407"/>
        <v/>
      </c>
      <c r="GM57" s="194" t="str">
        <f t="shared" si="407"/>
        <v/>
      </c>
      <c r="GN57" s="194" t="str">
        <f t="shared" si="348"/>
        <v/>
      </c>
      <c r="GO57" s="194" t="str">
        <f t="shared" ref="GO57:GS58" si="408">IF($GO$6="","",IF(AK57="","",AK57))</f>
        <v/>
      </c>
      <c r="GP57" s="194" t="str">
        <f t="shared" si="408"/>
        <v/>
      </c>
      <c r="GQ57" s="194" t="str">
        <f t="shared" si="408"/>
        <v/>
      </c>
      <c r="GR57" s="194" t="str">
        <f t="shared" si="408"/>
        <v/>
      </c>
      <c r="GS57" s="194" t="str">
        <f t="shared" si="408"/>
        <v/>
      </c>
      <c r="GT57" s="194" t="str">
        <f t="shared" si="349"/>
        <v/>
      </c>
      <c r="GU57" s="194" t="str">
        <f t="shared" ref="GU57:GY58" si="409">IF($GU$6="","",IF(AS57="","",AS57))</f>
        <v/>
      </c>
      <c r="GV57" s="194" t="str">
        <f t="shared" si="409"/>
        <v/>
      </c>
      <c r="GW57" s="194" t="str">
        <f t="shared" si="409"/>
        <v/>
      </c>
      <c r="GX57" s="194" t="str">
        <f t="shared" si="409"/>
        <v/>
      </c>
      <c r="GY57" s="194" t="str">
        <f t="shared" si="409"/>
        <v/>
      </c>
      <c r="GZ57" s="194" t="str">
        <f t="shared" si="350"/>
        <v/>
      </c>
      <c r="HA57" s="194" t="str">
        <f t="shared" ref="HA57:HE58" si="410">IF($HA$6="","",IF(BA57="","",BA57))</f>
        <v/>
      </c>
      <c r="HB57" s="194" t="str">
        <f t="shared" si="410"/>
        <v/>
      </c>
      <c r="HC57" s="194" t="str">
        <f t="shared" si="410"/>
        <v/>
      </c>
      <c r="HD57" s="194" t="str">
        <f t="shared" si="410"/>
        <v/>
      </c>
      <c r="HE57" s="194" t="str">
        <f t="shared" si="410"/>
        <v/>
      </c>
      <c r="HF57" s="194" t="str">
        <f t="shared" si="351"/>
        <v/>
      </c>
      <c r="HG57" s="194" t="str">
        <f t="shared" ref="HG57:HK58" si="411">IF($HG$6="","",IF(BI57="","",BI57))</f>
        <v/>
      </c>
      <c r="HH57" s="194" t="str">
        <f t="shared" si="411"/>
        <v/>
      </c>
      <c r="HI57" s="194" t="str">
        <f t="shared" si="411"/>
        <v/>
      </c>
      <c r="HJ57" s="194" t="str">
        <f t="shared" si="411"/>
        <v/>
      </c>
      <c r="HK57" s="194" t="str">
        <f t="shared" si="411"/>
        <v/>
      </c>
      <c r="HL57" s="194" t="str">
        <f t="shared" si="352"/>
        <v/>
      </c>
      <c r="HM57" s="194" t="str">
        <f t="shared" ref="HM57:HQ58" si="412">IF($HM$6="","",IF(BQ57="","",BQ57))</f>
        <v/>
      </c>
      <c r="HN57" s="194" t="str">
        <f t="shared" si="412"/>
        <v/>
      </c>
      <c r="HO57" s="194" t="str">
        <f t="shared" si="412"/>
        <v/>
      </c>
      <c r="HP57" s="194" t="str">
        <f t="shared" si="412"/>
        <v/>
      </c>
      <c r="HQ57" s="194" t="str">
        <f t="shared" si="412"/>
        <v/>
      </c>
      <c r="HR57" s="194" t="str">
        <f t="shared" si="353"/>
        <v/>
      </c>
      <c r="HS57" s="194" t="str">
        <f t="shared" ref="HS57:HW58" si="413">IF($HS$6="","",IF(BY57="","",BY57))</f>
        <v/>
      </c>
      <c r="HT57" s="194" t="str">
        <f t="shared" si="413"/>
        <v/>
      </c>
      <c r="HU57" s="194" t="str">
        <f t="shared" si="413"/>
        <v/>
      </c>
      <c r="HV57" s="194" t="str">
        <f t="shared" si="413"/>
        <v/>
      </c>
      <c r="HW57" s="194" t="str">
        <f t="shared" si="413"/>
        <v/>
      </c>
      <c r="HX57" s="194" t="str">
        <f t="shared" si="354"/>
        <v/>
      </c>
      <c r="HY57" s="194" t="str">
        <f t="shared" ref="HY57:IC58" si="414">IF($HY$6="","",IF(CG57="","",CG57))</f>
        <v/>
      </c>
      <c r="HZ57" s="194" t="str">
        <f t="shared" si="414"/>
        <v/>
      </c>
      <c r="IA57" s="194" t="str">
        <f t="shared" si="414"/>
        <v/>
      </c>
      <c r="IB57" s="194" t="str">
        <f t="shared" si="414"/>
        <v/>
      </c>
      <c r="IC57" s="194" t="str">
        <f t="shared" si="414"/>
        <v/>
      </c>
      <c r="ID57" s="194" t="str">
        <f t="shared" si="355"/>
        <v/>
      </c>
      <c r="IE57" s="194" t="str">
        <f t="shared" ref="IE57:II58" si="415">IF($IE$6="","",IF(CO57="","",CO57))</f>
        <v/>
      </c>
      <c r="IF57" s="194" t="str">
        <f t="shared" si="415"/>
        <v/>
      </c>
      <c r="IG57" s="194" t="str">
        <f t="shared" si="415"/>
        <v/>
      </c>
      <c r="IH57" s="194" t="str">
        <f t="shared" si="415"/>
        <v/>
      </c>
      <c r="II57" s="194" t="str">
        <f t="shared" si="415"/>
        <v/>
      </c>
      <c r="IJ57" s="194" t="str">
        <f t="shared" si="356"/>
        <v/>
      </c>
      <c r="IK57" s="194" t="str">
        <f t="shared" ref="IK57:IO58" si="416">IF($IK$6="","",IF(CW57="","",CW57))</f>
        <v/>
      </c>
      <c r="IL57" s="194" t="str">
        <f t="shared" si="416"/>
        <v/>
      </c>
      <c r="IM57" s="194" t="str">
        <f t="shared" si="416"/>
        <v/>
      </c>
      <c r="IN57" s="194" t="str">
        <f t="shared" si="416"/>
        <v/>
      </c>
      <c r="IO57" s="194" t="str">
        <f t="shared" si="416"/>
        <v/>
      </c>
      <c r="IP57" s="194" t="str">
        <f t="shared" si="357"/>
        <v/>
      </c>
      <c r="IQ57" s="194" t="str">
        <f t="shared" ref="IQ57:IU58" si="417">IF($IQ$6="","",IF(DE57="","",DE57))</f>
        <v/>
      </c>
      <c r="IR57" s="194" t="str">
        <f t="shared" si="417"/>
        <v/>
      </c>
      <c r="IS57" s="194" t="str">
        <f t="shared" si="417"/>
        <v/>
      </c>
      <c r="IT57" s="194" t="str">
        <f t="shared" si="417"/>
        <v/>
      </c>
      <c r="IU57" s="194" t="str">
        <f t="shared" si="417"/>
        <v/>
      </c>
      <c r="IV57" s="194" t="str">
        <f t="shared" si="358"/>
        <v/>
      </c>
      <c r="IW57" s="194" t="str">
        <f t="shared" si="364"/>
        <v/>
      </c>
      <c r="IX57" s="194" t="str">
        <f t="shared" si="365"/>
        <v/>
      </c>
      <c r="IY57" s="194" t="str">
        <f t="shared" si="366"/>
        <v/>
      </c>
      <c r="IZ57" s="194" t="str">
        <f t="shared" si="367"/>
        <v/>
      </c>
      <c r="JA57" s="194" t="str">
        <f t="shared" si="368"/>
        <v/>
      </c>
      <c r="JB57" s="194" t="str">
        <f t="shared" si="369"/>
        <v/>
      </c>
      <c r="JC57" s="194" t="str">
        <f t="shared" si="370"/>
        <v/>
      </c>
      <c r="JD57" s="194" t="str">
        <f t="shared" si="371"/>
        <v/>
      </c>
      <c r="JE57" s="194" t="str">
        <f t="shared" si="372"/>
        <v/>
      </c>
      <c r="JF57" s="194" t="str">
        <f t="shared" si="373"/>
        <v/>
      </c>
      <c r="JG57" s="194" t="str">
        <f t="shared" si="374"/>
        <v/>
      </c>
      <c r="JH57" s="194" t="str">
        <f t="shared" si="379"/>
        <v/>
      </c>
      <c r="JI57" s="194" t="str">
        <f t="shared" si="380"/>
        <v/>
      </c>
      <c r="JJ57" s="194" t="str">
        <f t="shared" si="381"/>
        <v/>
      </c>
      <c r="JK57" s="194" t="str">
        <f t="shared" si="382"/>
        <v/>
      </c>
      <c r="JL57" s="194" t="str">
        <f t="shared" si="383"/>
        <v/>
      </c>
      <c r="JM57" s="194" t="str">
        <f t="shared" si="384"/>
        <v/>
      </c>
      <c r="JN57" s="194" t="str">
        <f t="shared" si="385"/>
        <v/>
      </c>
      <c r="JO57" s="194" t="str">
        <f t="shared" si="386"/>
        <v/>
      </c>
      <c r="JP57" s="194" t="str">
        <f t="shared" si="387"/>
        <v/>
      </c>
      <c r="JQ57" s="194" t="str">
        <f t="shared" si="388"/>
        <v/>
      </c>
      <c r="JR57" s="194" t="str">
        <f t="shared" si="389"/>
        <v/>
      </c>
      <c r="JS57" s="194" t="str">
        <f t="shared" si="390"/>
        <v/>
      </c>
      <c r="JT57" s="194" t="str">
        <f t="shared" si="391"/>
        <v/>
      </c>
      <c r="JU57" s="194" t="str">
        <f t="shared" si="392"/>
        <v/>
      </c>
      <c r="JV57" s="194" t="str">
        <f t="shared" si="393"/>
        <v/>
      </c>
      <c r="JW57" s="194" t="str">
        <f t="shared" si="394"/>
        <v/>
      </c>
      <c r="JX57" s="194" t="str">
        <f t="shared" si="395"/>
        <v/>
      </c>
      <c r="JY57" s="194" t="str">
        <f t="shared" si="396"/>
        <v/>
      </c>
      <c r="JZ57" s="194" t="str">
        <f t="shared" si="397"/>
        <v/>
      </c>
      <c r="KA57" s="194" t="str">
        <f t="shared" si="398"/>
        <v/>
      </c>
      <c r="KB57" s="194" t="str">
        <f t="shared" si="399"/>
        <v/>
      </c>
      <c r="KC57" s="194" t="str">
        <f t="shared" si="400"/>
        <v/>
      </c>
      <c r="KD57" s="194" t="str">
        <f t="shared" si="401"/>
        <v/>
      </c>
      <c r="KE57" s="194" t="str">
        <f t="shared" si="402"/>
        <v/>
      </c>
      <c r="KF57" s="194" t="str">
        <f t="shared" si="403"/>
        <v/>
      </c>
      <c r="KG57" s="194">
        <f>SUM(LE57:LX57)/COUNTA(RefKI3KI4!$B$5:$B$24)</f>
        <v>0</v>
      </c>
      <c r="KH57" s="232">
        <f t="shared" si="198"/>
        <v>0</v>
      </c>
      <c r="KI57" s="340" t="str">
        <f t="shared" si="199"/>
        <v>ok</v>
      </c>
      <c r="KJ57" s="340" t="str">
        <f t="shared" si="200"/>
        <v>ok</v>
      </c>
      <c r="KK57" s="340" t="str">
        <f t="shared" si="201"/>
        <v/>
      </c>
      <c r="KL57" s="340" t="str">
        <f t="shared" si="202"/>
        <v/>
      </c>
      <c r="KM57" s="340" t="str">
        <f t="shared" si="203"/>
        <v/>
      </c>
      <c r="KN57" s="340" t="str">
        <f t="shared" si="204"/>
        <v/>
      </c>
      <c r="KO57" s="340" t="str">
        <f t="shared" si="205"/>
        <v/>
      </c>
      <c r="KP57" s="340" t="str">
        <f t="shared" si="206"/>
        <v/>
      </c>
      <c r="KQ57" s="340" t="str">
        <f t="shared" si="207"/>
        <v/>
      </c>
      <c r="KR57" s="340" t="str">
        <f t="shared" si="208"/>
        <v/>
      </c>
      <c r="KS57" s="340" t="str">
        <f t="shared" si="209"/>
        <v/>
      </c>
      <c r="KT57" s="340" t="str">
        <f t="shared" si="210"/>
        <v/>
      </c>
      <c r="KU57" s="340" t="str">
        <f t="shared" si="211"/>
        <v/>
      </c>
      <c r="KV57" s="340" t="str">
        <f t="shared" si="212"/>
        <v/>
      </c>
      <c r="KW57" s="340" t="str">
        <f t="shared" si="213"/>
        <v/>
      </c>
      <c r="KX57" s="340" t="str">
        <f t="shared" si="214"/>
        <v/>
      </c>
      <c r="KY57" s="340" t="str">
        <f t="shared" si="215"/>
        <v/>
      </c>
      <c r="KZ57" s="340" t="str">
        <f t="shared" si="216"/>
        <v/>
      </c>
      <c r="LA57" s="340" t="str">
        <f t="shared" si="217"/>
        <v/>
      </c>
      <c r="LB57" s="340" t="str">
        <f t="shared" si="218"/>
        <v/>
      </c>
      <c r="LC57" s="340">
        <f t="shared" si="219"/>
        <v>0</v>
      </c>
      <c r="LD57" s="228">
        <v>49</v>
      </c>
      <c r="LE57" s="229" t="str">
        <f t="shared" si="220"/>
        <v/>
      </c>
      <c r="LF57" s="229" t="str">
        <f t="shared" si="221"/>
        <v/>
      </c>
      <c r="LG57" s="229" t="str">
        <f t="shared" si="222"/>
        <v/>
      </c>
      <c r="LH57" s="229" t="str">
        <f t="shared" si="223"/>
        <v/>
      </c>
      <c r="LI57" s="229" t="str">
        <f t="shared" si="224"/>
        <v/>
      </c>
      <c r="LJ57" s="229" t="str">
        <f t="shared" si="225"/>
        <v/>
      </c>
      <c r="LK57" s="229" t="str">
        <f t="shared" si="226"/>
        <v/>
      </c>
      <c r="LL57" s="229" t="str">
        <f t="shared" si="227"/>
        <v/>
      </c>
      <c r="LM57" s="229" t="str">
        <f t="shared" si="228"/>
        <v/>
      </c>
      <c r="LN57" s="229" t="str">
        <f t="shared" si="229"/>
        <v/>
      </c>
      <c r="LO57" s="229" t="str">
        <f t="shared" si="230"/>
        <v/>
      </c>
      <c r="LP57" s="229" t="str">
        <f t="shared" si="231"/>
        <v/>
      </c>
      <c r="LQ57" s="229" t="str">
        <f t="shared" si="232"/>
        <v/>
      </c>
      <c r="LR57" s="229" t="str">
        <f t="shared" si="233"/>
        <v/>
      </c>
      <c r="LS57" s="229" t="str">
        <f t="shared" si="234"/>
        <v/>
      </c>
      <c r="LT57" s="229" t="str">
        <f t="shared" si="235"/>
        <v/>
      </c>
      <c r="LU57" s="229" t="str">
        <f t="shared" si="236"/>
        <v/>
      </c>
      <c r="LV57" s="229" t="str">
        <f t="shared" si="237"/>
        <v/>
      </c>
      <c r="LW57" s="229" t="str">
        <f t="shared" si="238"/>
        <v/>
      </c>
      <c r="LX57" s="229" t="str">
        <f t="shared" si="239"/>
        <v/>
      </c>
      <c r="LY57" s="231" t="str">
        <f t="shared" si="240"/>
        <v/>
      </c>
      <c r="LZ57" s="231" t="str">
        <f t="shared" si="241"/>
        <v/>
      </c>
      <c r="MA57" s="231" t="str">
        <f t="shared" si="242"/>
        <v/>
      </c>
      <c r="MB57" s="231" t="str">
        <f t="shared" si="243"/>
        <v/>
      </c>
      <c r="MC57" s="231" t="str">
        <f t="shared" si="244"/>
        <v/>
      </c>
      <c r="MD57" s="231" t="str">
        <f t="shared" si="245"/>
        <v/>
      </c>
      <c r="ME57" s="231" t="str">
        <f t="shared" si="246"/>
        <v/>
      </c>
      <c r="MF57" s="231" t="str">
        <f t="shared" si="247"/>
        <v/>
      </c>
      <c r="MG57" s="231" t="str">
        <f t="shared" si="248"/>
        <v/>
      </c>
      <c r="MH57" s="231" t="str">
        <f t="shared" si="249"/>
        <v/>
      </c>
      <c r="MI57" s="231" t="str">
        <f t="shared" si="250"/>
        <v/>
      </c>
      <c r="MJ57" s="231" t="str">
        <f t="shared" si="251"/>
        <v/>
      </c>
      <c r="MK57" s="231" t="str">
        <f t="shared" si="252"/>
        <v/>
      </c>
      <c r="ML57" s="231" t="str">
        <f t="shared" si="253"/>
        <v/>
      </c>
      <c r="MM57" s="231" t="str">
        <f t="shared" si="254"/>
        <v/>
      </c>
      <c r="MN57" s="231" t="str">
        <f t="shared" si="255"/>
        <v/>
      </c>
      <c r="MO57" s="231" t="str">
        <f t="shared" si="256"/>
        <v/>
      </c>
      <c r="MP57" s="231" t="str">
        <f t="shared" si="257"/>
        <v/>
      </c>
      <c r="MQ57" s="231" t="str">
        <f t="shared" si="258"/>
        <v/>
      </c>
      <c r="MR57" s="231" t="str">
        <f t="shared" si="259"/>
        <v/>
      </c>
      <c r="MS57" s="231" t="str">
        <f t="shared" si="359"/>
        <v/>
      </c>
      <c r="MT57" s="232" t="str">
        <f>IF(MS57="","",IF(MS57&gt;=KONVERSI!$A$5,KONVERSI!$E$5,IF(MS57&gt;=KONVERSI!$A$6,KONVERSI!$E$6,IF(MS57&gt;=KONVERSI!$A$7,KONVERSI!$E$7,KONVERSI!$E$8))))</f>
        <v/>
      </c>
      <c r="MU57" s="233" t="str">
        <f t="shared" si="360"/>
        <v/>
      </c>
      <c r="MV57" s="234" t="str">
        <f t="shared" si="260"/>
        <v/>
      </c>
      <c r="MW57" s="232" t="str">
        <f>IF(MV57="","",IF(MV57&gt;=KONVERSI!$A$5,KONVERSI!$E$5,IF(MV57&gt;=KONVERSI!$A$6,KONVERSI!$E$6,IF(MV57&gt;=KONVERSI!$A$7,KONVERSI!$E$7,KONVERSI!$E$8))))</f>
        <v/>
      </c>
      <c r="MX57" s="134" t="str">
        <f>IF(FI57&lt;$FN$4," "&amp;KONVERSI!$C$18&amp;INDEX($LY$8:$MR$8,MATCH(MV57,LY57:MR57,0))&amp;".",IF(KG57=0,"",IF(MV57&lt;&gt;0,MU57&amp;MW57&amp;".",MU57&amp;".")))</f>
        <v/>
      </c>
      <c r="MY57" s="235" t="str">
        <f t="shared" si="261"/>
        <v/>
      </c>
      <c r="MZ57" s="235" t="str">
        <f t="shared" si="262"/>
        <v/>
      </c>
      <c r="NA57" s="235" t="str">
        <f t="shared" si="263"/>
        <v/>
      </c>
      <c r="NB57" s="235" t="str">
        <f t="shared" si="264"/>
        <v/>
      </c>
      <c r="NC57" s="235" t="str">
        <f t="shared" si="265"/>
        <v/>
      </c>
      <c r="ND57" s="235" t="str">
        <f t="shared" si="266"/>
        <v/>
      </c>
      <c r="NE57" s="235" t="str">
        <f t="shared" si="267"/>
        <v/>
      </c>
      <c r="NF57" s="235" t="str">
        <f t="shared" si="268"/>
        <v/>
      </c>
      <c r="NG57" s="235" t="str">
        <f t="shared" si="269"/>
        <v/>
      </c>
      <c r="NH57" s="235" t="str">
        <f t="shared" si="270"/>
        <v/>
      </c>
      <c r="NI57" s="235" t="str">
        <f t="shared" si="271"/>
        <v/>
      </c>
      <c r="NJ57" s="235" t="str">
        <f t="shared" si="272"/>
        <v/>
      </c>
      <c r="NK57" s="235" t="str">
        <f t="shared" si="273"/>
        <v/>
      </c>
      <c r="NL57" s="235" t="str">
        <f t="shared" si="274"/>
        <v/>
      </c>
      <c r="NM57" s="235" t="str">
        <f t="shared" si="275"/>
        <v/>
      </c>
      <c r="NN57" s="235" t="str">
        <f t="shared" si="276"/>
        <v/>
      </c>
      <c r="NO57" s="235" t="str">
        <f t="shared" si="277"/>
        <v/>
      </c>
      <c r="NP57" s="235" t="str">
        <f t="shared" si="278"/>
        <v/>
      </c>
      <c r="NQ57" s="235" t="str">
        <f t="shared" si="279"/>
        <v/>
      </c>
      <c r="NR57" s="235" t="str">
        <f t="shared" si="280"/>
        <v/>
      </c>
      <c r="NS57" s="134" t="str">
        <f t="shared" si="281"/>
        <v/>
      </c>
      <c r="NT57" s="134" t="str">
        <f t="shared" si="282"/>
        <v/>
      </c>
      <c r="NU57" s="134" t="str">
        <f t="shared" si="283"/>
        <v/>
      </c>
      <c r="NV57" s="134" t="str">
        <f t="shared" si="284"/>
        <v/>
      </c>
      <c r="NW57" s="134" t="str">
        <f t="shared" si="285"/>
        <v/>
      </c>
      <c r="NX57" s="134" t="str">
        <f t="shared" si="286"/>
        <v/>
      </c>
      <c r="NY57" s="134" t="str">
        <f t="shared" si="287"/>
        <v/>
      </c>
      <c r="NZ57" s="134" t="str">
        <f t="shared" si="288"/>
        <v/>
      </c>
      <c r="OA57" s="134" t="str">
        <f t="shared" si="289"/>
        <v/>
      </c>
      <c r="OB57" s="134" t="str">
        <f t="shared" si="290"/>
        <v/>
      </c>
      <c r="OC57" s="134" t="str">
        <f t="shared" si="291"/>
        <v/>
      </c>
      <c r="OD57" s="134" t="str">
        <f t="shared" si="292"/>
        <v/>
      </c>
      <c r="OE57" s="134" t="str">
        <f t="shared" si="293"/>
        <v/>
      </c>
      <c r="OF57" s="134" t="str">
        <f t="shared" si="294"/>
        <v/>
      </c>
      <c r="OG57" s="134" t="str">
        <f t="shared" si="295"/>
        <v/>
      </c>
      <c r="OH57" s="134" t="str">
        <f t="shared" si="296"/>
        <v/>
      </c>
      <c r="OI57" s="134" t="str">
        <f t="shared" si="297"/>
        <v/>
      </c>
      <c r="OJ57" s="134" t="str">
        <f t="shared" si="298"/>
        <v/>
      </c>
      <c r="OK57" s="134" t="str">
        <f t="shared" si="299"/>
        <v/>
      </c>
      <c r="OL57" s="134" t="str">
        <f t="shared" si="300"/>
        <v/>
      </c>
      <c r="OM57" s="134" t="str">
        <f t="shared" si="301"/>
        <v/>
      </c>
      <c r="ON57" s="134" t="str">
        <f t="shared" si="302"/>
        <v>  </v>
      </c>
      <c r="OO57" s="236">
        <f t="shared" si="361"/>
        <v>0</v>
      </c>
      <c r="OP57" s="235" t="str">
        <f t="shared" si="303"/>
        <v/>
      </c>
      <c r="OQ57" s="235" t="str">
        <f t="shared" si="304"/>
        <v/>
      </c>
      <c r="OR57" s="235" t="str">
        <f t="shared" si="305"/>
        <v/>
      </c>
      <c r="OS57" s="235" t="str">
        <f t="shared" si="306"/>
        <v/>
      </c>
      <c r="OT57" s="235" t="str">
        <f t="shared" si="307"/>
        <v/>
      </c>
      <c r="OU57" s="235" t="str">
        <f t="shared" si="308"/>
        <v/>
      </c>
      <c r="OV57" s="235" t="str">
        <f t="shared" si="309"/>
        <v/>
      </c>
      <c r="OW57" s="235" t="str">
        <f t="shared" si="310"/>
        <v/>
      </c>
      <c r="OX57" s="235" t="str">
        <f t="shared" si="311"/>
        <v/>
      </c>
      <c r="OY57" s="235" t="str">
        <f t="shared" si="312"/>
        <v/>
      </c>
      <c r="OZ57" s="235" t="str">
        <f t="shared" si="313"/>
        <v/>
      </c>
      <c r="PA57" s="235" t="str">
        <f t="shared" si="314"/>
        <v/>
      </c>
      <c r="PB57" s="235" t="str">
        <f t="shared" si="315"/>
        <v/>
      </c>
      <c r="PC57" s="235" t="str">
        <f t="shared" si="316"/>
        <v/>
      </c>
      <c r="PD57" s="235" t="str">
        <f t="shared" si="317"/>
        <v/>
      </c>
      <c r="PE57" s="235" t="str">
        <f t="shared" si="318"/>
        <v/>
      </c>
      <c r="PF57" s="235" t="str">
        <f t="shared" si="319"/>
        <v/>
      </c>
      <c r="PG57" s="235" t="str">
        <f t="shared" si="320"/>
        <v/>
      </c>
      <c r="PH57" s="235" t="str">
        <f t="shared" si="321"/>
        <v/>
      </c>
      <c r="PI57" s="235" t="str">
        <f t="shared" si="322"/>
        <v/>
      </c>
      <c r="PJ57" s="134" t="str">
        <f t="shared" si="323"/>
        <v/>
      </c>
      <c r="PK57" s="134" t="str">
        <f t="shared" si="324"/>
        <v/>
      </c>
      <c r="PL57" s="134" t="str">
        <f t="shared" si="325"/>
        <v/>
      </c>
      <c r="PM57" s="134" t="str">
        <f t="shared" si="326"/>
        <v/>
      </c>
      <c r="PN57" s="134" t="str">
        <f t="shared" si="327"/>
        <v/>
      </c>
      <c r="PO57" s="134" t="str">
        <f t="shared" si="328"/>
        <v/>
      </c>
      <c r="PP57" s="134" t="str">
        <f t="shared" si="329"/>
        <v/>
      </c>
      <c r="PQ57" s="134" t="str">
        <f t="shared" si="330"/>
        <v/>
      </c>
      <c r="PR57" s="134" t="str">
        <f t="shared" si="331"/>
        <v/>
      </c>
      <c r="PS57" s="134" t="str">
        <f t="shared" si="332"/>
        <v/>
      </c>
      <c r="PT57" s="134" t="str">
        <f t="shared" si="333"/>
        <v/>
      </c>
      <c r="PU57" s="134" t="str">
        <f t="shared" si="334"/>
        <v/>
      </c>
      <c r="PV57" s="134" t="str">
        <f t="shared" si="335"/>
        <v/>
      </c>
      <c r="PW57" s="134" t="str">
        <f t="shared" si="336"/>
        <v/>
      </c>
      <c r="PX57" s="134" t="str">
        <f t="shared" si="337"/>
        <v/>
      </c>
      <c r="PY57" s="134" t="str">
        <f t="shared" si="338"/>
        <v/>
      </c>
      <c r="PZ57" s="134" t="str">
        <f t="shared" si="339"/>
        <v/>
      </c>
      <c r="QA57" s="134" t="str">
        <f t="shared" si="340"/>
        <v/>
      </c>
      <c r="QB57" s="134" t="str">
        <f t="shared" si="341"/>
        <v/>
      </c>
      <c r="QC57" s="134" t="str">
        <f t="shared" si="342"/>
        <v/>
      </c>
      <c r="QD57" s="134" t="str">
        <f>IF(MT57=MW57,"",IF(MV57="","",IF(MV57&gt;=KONVERSI!$A$7,'KI3'!MW57&amp;" dalam"&amp;PJ57&amp;PK57&amp;PL57&amp;PM57&amp;PN57&amp;PO57&amp;PP57&amp;PQ57&amp;PR57&amp;PS57&amp;PT57&amp;PU57&amp;PV57&amp;PW57&amp;PX57&amp;PY57&amp;PZ57&amp;QA57&amp;QB57&amp;QC57,KONVERSI!$C$18&amp;" dalam"&amp;PJ57&amp;PK57&amp;PL57&amp;PM57&amp;PN57&amp;PO57&amp;PP57&amp;PQ57&amp;PR57&amp;PS57&amp;PT57&amp;PU57&amp;PV57&amp;PW57&amp;PX57&amp;PY57&amp;PZ57&amp;QA57&amp;QB57&amp;QC57)))</f>
        <v/>
      </c>
      <c r="QE57" s="134" t="str">
        <f t="shared" si="343"/>
        <v/>
      </c>
      <c r="QF57" s="236">
        <f t="shared" si="362"/>
        <v>0</v>
      </c>
      <c r="QG57" s="134" t="str">
        <f t="shared" si="363"/>
        <v/>
      </c>
    </row>
    <row r="58" ht="27.6" customHeight="1" spans="1:449">
      <c r="A58" s="136"/>
      <c r="B58" s="177">
        <v>50</v>
      </c>
      <c r="C58" s="180">
        <f>siswa!C54</f>
        <v>0</v>
      </c>
      <c r="D58" s="174">
        <f>siswa!D54</f>
        <v>0</v>
      </c>
      <c r="E58" s="181"/>
      <c r="F58" s="176"/>
      <c r="G58" s="176"/>
      <c r="H58" s="176"/>
      <c r="I58" s="176"/>
      <c r="J58" s="176"/>
      <c r="K58" s="176"/>
      <c r="L58" s="223" t="str">
        <f t="shared" si="174"/>
        <v/>
      </c>
      <c r="M58" s="181"/>
      <c r="N58" s="176"/>
      <c r="O58" s="176"/>
      <c r="P58" s="176"/>
      <c r="Q58" s="176"/>
      <c r="R58" s="176"/>
      <c r="S58" s="176"/>
      <c r="T58" s="223" t="str">
        <f t="shared" si="175"/>
        <v/>
      </c>
      <c r="U58" s="181"/>
      <c r="V58" s="176"/>
      <c r="W58" s="176"/>
      <c r="X58" s="176"/>
      <c r="Y58" s="176"/>
      <c r="Z58" s="176"/>
      <c r="AA58" s="176"/>
      <c r="AB58" s="223">
        <f t="shared" si="176"/>
        <v>0</v>
      </c>
      <c r="AC58" s="181"/>
      <c r="AD58" s="176"/>
      <c r="AE58" s="176"/>
      <c r="AF58" s="176"/>
      <c r="AG58" s="176"/>
      <c r="AH58" s="176"/>
      <c r="AI58" s="176"/>
      <c r="AJ58" s="223">
        <f t="shared" si="177"/>
        <v>0</v>
      </c>
      <c r="AK58" s="181"/>
      <c r="AL58" s="176"/>
      <c r="AM58" s="176"/>
      <c r="AN58" s="176"/>
      <c r="AO58" s="176"/>
      <c r="AP58" s="176"/>
      <c r="AQ58" s="176"/>
      <c r="AR58" s="223">
        <f t="shared" si="178"/>
        <v>0</v>
      </c>
      <c r="AS58" s="181"/>
      <c r="AT58" s="176"/>
      <c r="AU58" s="176"/>
      <c r="AV58" s="176"/>
      <c r="AW58" s="176"/>
      <c r="AX58" s="176"/>
      <c r="AY58" s="176"/>
      <c r="AZ58" s="223">
        <f t="shared" si="179"/>
        <v>0</v>
      </c>
      <c r="BA58" s="181"/>
      <c r="BB58" s="176"/>
      <c r="BC58" s="176"/>
      <c r="BD58" s="176"/>
      <c r="BE58" s="176"/>
      <c r="BF58" s="176"/>
      <c r="BG58" s="176"/>
      <c r="BH58" s="223">
        <f t="shared" si="180"/>
        <v>0</v>
      </c>
      <c r="BI58" s="181"/>
      <c r="BJ58" s="176"/>
      <c r="BK58" s="176"/>
      <c r="BL58" s="176"/>
      <c r="BM58" s="176"/>
      <c r="BN58" s="176"/>
      <c r="BO58" s="176"/>
      <c r="BP58" s="223">
        <f t="shared" si="181"/>
        <v>0</v>
      </c>
      <c r="BQ58" s="181"/>
      <c r="BR58" s="176"/>
      <c r="BS58" s="176"/>
      <c r="BT58" s="176"/>
      <c r="BU58" s="176"/>
      <c r="BV58" s="176"/>
      <c r="BW58" s="176"/>
      <c r="BX58" s="223">
        <f t="shared" si="182"/>
        <v>0</v>
      </c>
      <c r="BY58" s="181"/>
      <c r="BZ58" s="176"/>
      <c r="CA58" s="176"/>
      <c r="CB58" s="176"/>
      <c r="CC58" s="176"/>
      <c r="CD58" s="176"/>
      <c r="CE58" s="176"/>
      <c r="CF58" s="223">
        <f t="shared" si="183"/>
        <v>0</v>
      </c>
      <c r="CG58" s="181"/>
      <c r="CH58" s="176"/>
      <c r="CI58" s="176"/>
      <c r="CJ58" s="176"/>
      <c r="CK58" s="176"/>
      <c r="CL58" s="176"/>
      <c r="CM58" s="176"/>
      <c r="CN58" s="223">
        <f t="shared" si="184"/>
        <v>0</v>
      </c>
      <c r="CO58" s="181"/>
      <c r="CP58" s="176"/>
      <c r="CQ58" s="176"/>
      <c r="CR58" s="176"/>
      <c r="CS58" s="176"/>
      <c r="CT58" s="176"/>
      <c r="CU58" s="176"/>
      <c r="CV58" s="223">
        <f t="shared" si="185"/>
        <v>0</v>
      </c>
      <c r="CW58" s="181"/>
      <c r="CX58" s="176"/>
      <c r="CY58" s="176"/>
      <c r="CZ58" s="176"/>
      <c r="DA58" s="176"/>
      <c r="DB58" s="176"/>
      <c r="DC58" s="176"/>
      <c r="DD58" s="223">
        <f t="shared" si="186"/>
        <v>0</v>
      </c>
      <c r="DE58" s="181"/>
      <c r="DF58" s="176"/>
      <c r="DG58" s="176"/>
      <c r="DH58" s="176"/>
      <c r="DI58" s="176"/>
      <c r="DJ58" s="176"/>
      <c r="DK58" s="176"/>
      <c r="DL58" s="223">
        <f t="shared" si="187"/>
        <v>0</v>
      </c>
      <c r="DM58" s="181"/>
      <c r="DN58" s="176"/>
      <c r="DO58" s="176"/>
      <c r="DP58" s="176"/>
      <c r="DQ58" s="176"/>
      <c r="DR58" s="176"/>
      <c r="DS58" s="176"/>
      <c r="DT58" s="223">
        <f t="shared" si="188"/>
        <v>0</v>
      </c>
      <c r="DU58" s="181"/>
      <c r="DV58" s="176"/>
      <c r="DW58" s="176"/>
      <c r="DX58" s="176"/>
      <c r="DY58" s="176"/>
      <c r="DZ58" s="176"/>
      <c r="EA58" s="176"/>
      <c r="EB58" s="223">
        <f t="shared" si="189"/>
        <v>0</v>
      </c>
      <c r="EC58" s="181"/>
      <c r="ED58" s="176"/>
      <c r="EE58" s="176"/>
      <c r="EF58" s="176"/>
      <c r="EG58" s="176"/>
      <c r="EH58" s="176"/>
      <c r="EI58" s="176"/>
      <c r="EJ58" s="223">
        <f t="shared" si="190"/>
        <v>0</v>
      </c>
      <c r="EK58" s="181"/>
      <c r="EL58" s="176"/>
      <c r="EM58" s="176"/>
      <c r="EN58" s="176"/>
      <c r="EO58" s="176"/>
      <c r="EP58" s="176"/>
      <c r="EQ58" s="176"/>
      <c r="ER58" s="223">
        <f t="shared" si="191"/>
        <v>0</v>
      </c>
      <c r="ES58" s="181"/>
      <c r="ET58" s="176"/>
      <c r="EU58" s="176"/>
      <c r="EV58" s="176"/>
      <c r="EW58" s="176"/>
      <c r="EX58" s="176"/>
      <c r="EY58" s="176"/>
      <c r="EZ58" s="223">
        <f t="shared" si="192"/>
        <v>0</v>
      </c>
      <c r="FA58" s="181"/>
      <c r="FB58" s="176"/>
      <c r="FC58" s="176"/>
      <c r="FD58" s="176"/>
      <c r="FE58" s="176"/>
      <c r="FF58" s="176"/>
      <c r="FG58" s="176"/>
      <c r="FH58" s="223">
        <f t="shared" si="193"/>
        <v>0</v>
      </c>
      <c r="FI58" s="291" t="str">
        <f t="shared" si="194"/>
        <v/>
      </c>
      <c r="FJ58" s="250"/>
      <c r="FK58" s="250"/>
      <c r="FL58" s="291" t="str">
        <f t="shared" si="195"/>
        <v/>
      </c>
      <c r="FM58" s="312" t="str">
        <f>IFERROR(IF(FL58="","",IF(FL58&gt;=KONVERSI!$A$5,KONVERSI!$D$5,IF(FL58&gt;=KONVERSI!$A$6,KONVERSI!$D$6,IF(FL58&gt;=KONVERSI!$A$7,KONVERSI!$D$7,KONVERSI!$D$8)))),"")</f>
        <v/>
      </c>
      <c r="FN58" s="232" t="str">
        <f t="shared" si="196"/>
        <v/>
      </c>
      <c r="FO58" s="313"/>
      <c r="FP58" s="314">
        <f t="shared" si="197"/>
        <v>0</v>
      </c>
      <c r="FQ58" s="194" t="str">
        <f t="shared" si="404"/>
        <v/>
      </c>
      <c r="FR58" s="194" t="str">
        <f t="shared" si="404"/>
        <v/>
      </c>
      <c r="FS58" s="194" t="str">
        <f t="shared" si="404"/>
        <v/>
      </c>
      <c r="FT58" s="194" t="str">
        <f t="shared" si="404"/>
        <v/>
      </c>
      <c r="FU58" s="194" t="str">
        <f t="shared" si="404"/>
        <v/>
      </c>
      <c r="FV58" s="194" t="str">
        <f t="shared" si="345"/>
        <v/>
      </c>
      <c r="FW58" s="194" t="str">
        <f t="shared" si="405"/>
        <v/>
      </c>
      <c r="FX58" s="194" t="str">
        <f t="shared" si="405"/>
        <v/>
      </c>
      <c r="FY58" s="194" t="str">
        <f t="shared" si="405"/>
        <v/>
      </c>
      <c r="FZ58" s="194" t="str">
        <f t="shared" si="405"/>
        <v/>
      </c>
      <c r="GA58" s="194" t="str">
        <f t="shared" si="405"/>
        <v/>
      </c>
      <c r="GB58" s="194" t="str">
        <f t="shared" si="346"/>
        <v/>
      </c>
      <c r="GC58" s="194" t="str">
        <f t="shared" si="406"/>
        <v/>
      </c>
      <c r="GD58" s="194" t="str">
        <f t="shared" si="406"/>
        <v/>
      </c>
      <c r="GE58" s="194" t="str">
        <f t="shared" si="406"/>
        <v/>
      </c>
      <c r="GF58" s="194" t="str">
        <f t="shared" si="406"/>
        <v/>
      </c>
      <c r="GG58" s="194" t="str">
        <f t="shared" si="406"/>
        <v/>
      </c>
      <c r="GH58" s="194" t="str">
        <f t="shared" si="347"/>
        <v/>
      </c>
      <c r="GI58" s="194" t="str">
        <f t="shared" si="407"/>
        <v/>
      </c>
      <c r="GJ58" s="194" t="str">
        <f t="shared" si="407"/>
        <v/>
      </c>
      <c r="GK58" s="194" t="str">
        <f t="shared" si="407"/>
        <v/>
      </c>
      <c r="GL58" s="194" t="str">
        <f t="shared" si="407"/>
        <v/>
      </c>
      <c r="GM58" s="194" t="str">
        <f t="shared" si="407"/>
        <v/>
      </c>
      <c r="GN58" s="194" t="str">
        <f t="shared" si="348"/>
        <v/>
      </c>
      <c r="GO58" s="194" t="str">
        <f t="shared" si="408"/>
        <v/>
      </c>
      <c r="GP58" s="194" t="str">
        <f t="shared" si="408"/>
        <v/>
      </c>
      <c r="GQ58" s="194" t="str">
        <f t="shared" si="408"/>
        <v/>
      </c>
      <c r="GR58" s="194" t="str">
        <f t="shared" si="408"/>
        <v/>
      </c>
      <c r="GS58" s="194" t="str">
        <f t="shared" si="408"/>
        <v/>
      </c>
      <c r="GT58" s="194" t="str">
        <f t="shared" si="349"/>
        <v/>
      </c>
      <c r="GU58" s="194" t="str">
        <f t="shared" si="409"/>
        <v/>
      </c>
      <c r="GV58" s="194" t="str">
        <f t="shared" si="409"/>
        <v/>
      </c>
      <c r="GW58" s="194" t="str">
        <f t="shared" si="409"/>
        <v/>
      </c>
      <c r="GX58" s="194" t="str">
        <f t="shared" si="409"/>
        <v/>
      </c>
      <c r="GY58" s="194" t="str">
        <f t="shared" si="409"/>
        <v/>
      </c>
      <c r="GZ58" s="194" t="str">
        <f t="shared" si="350"/>
        <v/>
      </c>
      <c r="HA58" s="194" t="str">
        <f t="shared" si="410"/>
        <v/>
      </c>
      <c r="HB58" s="194" t="str">
        <f t="shared" si="410"/>
        <v/>
      </c>
      <c r="HC58" s="194" t="str">
        <f t="shared" si="410"/>
        <v/>
      </c>
      <c r="HD58" s="194" t="str">
        <f t="shared" si="410"/>
        <v/>
      </c>
      <c r="HE58" s="194" t="str">
        <f t="shared" si="410"/>
        <v/>
      </c>
      <c r="HF58" s="194" t="str">
        <f t="shared" si="351"/>
        <v/>
      </c>
      <c r="HG58" s="194" t="str">
        <f t="shared" si="411"/>
        <v/>
      </c>
      <c r="HH58" s="194" t="str">
        <f t="shared" si="411"/>
        <v/>
      </c>
      <c r="HI58" s="194" t="str">
        <f t="shared" si="411"/>
        <v/>
      </c>
      <c r="HJ58" s="194" t="str">
        <f t="shared" si="411"/>
        <v/>
      </c>
      <c r="HK58" s="194" t="str">
        <f t="shared" si="411"/>
        <v/>
      </c>
      <c r="HL58" s="194" t="str">
        <f t="shared" si="352"/>
        <v/>
      </c>
      <c r="HM58" s="194" t="str">
        <f t="shared" si="412"/>
        <v/>
      </c>
      <c r="HN58" s="194" t="str">
        <f t="shared" si="412"/>
        <v/>
      </c>
      <c r="HO58" s="194" t="str">
        <f t="shared" si="412"/>
        <v/>
      </c>
      <c r="HP58" s="194" t="str">
        <f t="shared" si="412"/>
        <v/>
      </c>
      <c r="HQ58" s="194" t="str">
        <f t="shared" si="412"/>
        <v/>
      </c>
      <c r="HR58" s="194" t="str">
        <f t="shared" si="353"/>
        <v/>
      </c>
      <c r="HS58" s="194" t="str">
        <f t="shared" si="413"/>
        <v/>
      </c>
      <c r="HT58" s="194" t="str">
        <f t="shared" si="413"/>
        <v/>
      </c>
      <c r="HU58" s="194" t="str">
        <f t="shared" si="413"/>
        <v/>
      </c>
      <c r="HV58" s="194" t="str">
        <f t="shared" si="413"/>
        <v/>
      </c>
      <c r="HW58" s="194" t="str">
        <f t="shared" si="413"/>
        <v/>
      </c>
      <c r="HX58" s="194" t="str">
        <f t="shared" si="354"/>
        <v/>
      </c>
      <c r="HY58" s="194" t="str">
        <f t="shared" si="414"/>
        <v/>
      </c>
      <c r="HZ58" s="194" t="str">
        <f t="shared" si="414"/>
        <v/>
      </c>
      <c r="IA58" s="194" t="str">
        <f t="shared" si="414"/>
        <v/>
      </c>
      <c r="IB58" s="194" t="str">
        <f t="shared" si="414"/>
        <v/>
      </c>
      <c r="IC58" s="194" t="str">
        <f t="shared" si="414"/>
        <v/>
      </c>
      <c r="ID58" s="194" t="str">
        <f t="shared" si="355"/>
        <v/>
      </c>
      <c r="IE58" s="194" t="str">
        <f t="shared" si="415"/>
        <v/>
      </c>
      <c r="IF58" s="194" t="str">
        <f t="shared" si="415"/>
        <v/>
      </c>
      <c r="IG58" s="194" t="str">
        <f t="shared" si="415"/>
        <v/>
      </c>
      <c r="IH58" s="194" t="str">
        <f t="shared" si="415"/>
        <v/>
      </c>
      <c r="II58" s="194" t="str">
        <f t="shared" si="415"/>
        <v/>
      </c>
      <c r="IJ58" s="194" t="str">
        <f t="shared" si="356"/>
        <v/>
      </c>
      <c r="IK58" s="194" t="str">
        <f t="shared" si="416"/>
        <v/>
      </c>
      <c r="IL58" s="194" t="str">
        <f t="shared" si="416"/>
        <v/>
      </c>
      <c r="IM58" s="194" t="str">
        <f t="shared" si="416"/>
        <v/>
      </c>
      <c r="IN58" s="194" t="str">
        <f t="shared" si="416"/>
        <v/>
      </c>
      <c r="IO58" s="194" t="str">
        <f t="shared" si="416"/>
        <v/>
      </c>
      <c r="IP58" s="194" t="str">
        <f t="shared" si="357"/>
        <v/>
      </c>
      <c r="IQ58" s="194" t="str">
        <f t="shared" si="417"/>
        <v/>
      </c>
      <c r="IR58" s="194" t="str">
        <f t="shared" si="417"/>
        <v/>
      </c>
      <c r="IS58" s="194" t="str">
        <f t="shared" si="417"/>
        <v/>
      </c>
      <c r="IT58" s="194" t="str">
        <f t="shared" si="417"/>
        <v/>
      </c>
      <c r="IU58" s="194" t="str">
        <f t="shared" si="417"/>
        <v/>
      </c>
      <c r="IV58" s="194" t="str">
        <f t="shared" si="358"/>
        <v/>
      </c>
      <c r="IW58" s="194" t="str">
        <f t="shared" si="364"/>
        <v/>
      </c>
      <c r="IX58" s="194" t="str">
        <f t="shared" si="365"/>
        <v/>
      </c>
      <c r="IY58" s="194" t="str">
        <f t="shared" si="366"/>
        <v/>
      </c>
      <c r="IZ58" s="194" t="str">
        <f t="shared" si="367"/>
        <v/>
      </c>
      <c r="JA58" s="194" t="str">
        <f t="shared" si="368"/>
        <v/>
      </c>
      <c r="JB58" s="194" t="str">
        <f t="shared" si="369"/>
        <v/>
      </c>
      <c r="JC58" s="194" t="str">
        <f t="shared" si="370"/>
        <v/>
      </c>
      <c r="JD58" s="194" t="str">
        <f t="shared" si="371"/>
        <v/>
      </c>
      <c r="JE58" s="194" t="str">
        <f t="shared" si="372"/>
        <v/>
      </c>
      <c r="JF58" s="194" t="str">
        <f t="shared" si="373"/>
        <v/>
      </c>
      <c r="JG58" s="194" t="str">
        <f t="shared" si="374"/>
        <v/>
      </c>
      <c r="JH58" s="194" t="str">
        <f t="shared" si="379"/>
        <v/>
      </c>
      <c r="JI58" s="194" t="str">
        <f t="shared" si="380"/>
        <v/>
      </c>
      <c r="JJ58" s="194" t="str">
        <f t="shared" si="381"/>
        <v/>
      </c>
      <c r="JK58" s="194" t="str">
        <f t="shared" si="382"/>
        <v/>
      </c>
      <c r="JL58" s="194" t="str">
        <f t="shared" si="383"/>
        <v/>
      </c>
      <c r="JM58" s="194" t="str">
        <f t="shared" si="384"/>
        <v/>
      </c>
      <c r="JN58" s="194" t="str">
        <f t="shared" si="385"/>
        <v/>
      </c>
      <c r="JO58" s="194" t="str">
        <f t="shared" si="386"/>
        <v/>
      </c>
      <c r="JP58" s="194" t="str">
        <f t="shared" si="387"/>
        <v/>
      </c>
      <c r="JQ58" s="194" t="str">
        <f t="shared" si="388"/>
        <v/>
      </c>
      <c r="JR58" s="194" t="str">
        <f t="shared" si="389"/>
        <v/>
      </c>
      <c r="JS58" s="194" t="str">
        <f t="shared" si="390"/>
        <v/>
      </c>
      <c r="JT58" s="194" t="str">
        <f t="shared" si="391"/>
        <v/>
      </c>
      <c r="JU58" s="194" t="str">
        <f t="shared" si="392"/>
        <v/>
      </c>
      <c r="JV58" s="194" t="str">
        <f t="shared" si="393"/>
        <v/>
      </c>
      <c r="JW58" s="194" t="str">
        <f t="shared" si="394"/>
        <v/>
      </c>
      <c r="JX58" s="194" t="str">
        <f t="shared" si="395"/>
        <v/>
      </c>
      <c r="JY58" s="194" t="str">
        <f t="shared" si="396"/>
        <v/>
      </c>
      <c r="JZ58" s="194" t="str">
        <f t="shared" si="397"/>
        <v/>
      </c>
      <c r="KA58" s="194" t="str">
        <f t="shared" si="398"/>
        <v/>
      </c>
      <c r="KB58" s="194" t="str">
        <f t="shared" si="399"/>
        <v/>
      </c>
      <c r="KC58" s="194" t="str">
        <f t="shared" si="400"/>
        <v/>
      </c>
      <c r="KD58" s="194" t="str">
        <f t="shared" si="401"/>
        <v/>
      </c>
      <c r="KE58" s="194" t="str">
        <f t="shared" si="402"/>
        <v/>
      </c>
      <c r="KF58" s="194" t="str">
        <f t="shared" si="403"/>
        <v/>
      </c>
      <c r="KG58" s="194">
        <f>SUM(LE58:LX58)/COUNTA(RefKI3KI4!$B$5:$B$24)</f>
        <v>0</v>
      </c>
      <c r="KH58" s="232">
        <f t="shared" si="198"/>
        <v>0</v>
      </c>
      <c r="KI58" s="340" t="str">
        <f t="shared" si="199"/>
        <v>ok</v>
      </c>
      <c r="KJ58" s="340" t="str">
        <f t="shared" si="200"/>
        <v>ok</v>
      </c>
      <c r="KK58" s="340" t="str">
        <f t="shared" si="201"/>
        <v/>
      </c>
      <c r="KL58" s="340" t="str">
        <f t="shared" si="202"/>
        <v/>
      </c>
      <c r="KM58" s="340" t="str">
        <f t="shared" si="203"/>
        <v/>
      </c>
      <c r="KN58" s="340" t="str">
        <f t="shared" si="204"/>
        <v/>
      </c>
      <c r="KO58" s="340" t="str">
        <f t="shared" si="205"/>
        <v/>
      </c>
      <c r="KP58" s="340" t="str">
        <f t="shared" si="206"/>
        <v/>
      </c>
      <c r="KQ58" s="340" t="str">
        <f t="shared" si="207"/>
        <v/>
      </c>
      <c r="KR58" s="340" t="str">
        <f t="shared" si="208"/>
        <v/>
      </c>
      <c r="KS58" s="340" t="str">
        <f t="shared" si="209"/>
        <v/>
      </c>
      <c r="KT58" s="340" t="str">
        <f t="shared" si="210"/>
        <v/>
      </c>
      <c r="KU58" s="340" t="str">
        <f t="shared" si="211"/>
        <v/>
      </c>
      <c r="KV58" s="340" t="str">
        <f t="shared" si="212"/>
        <v/>
      </c>
      <c r="KW58" s="340" t="str">
        <f t="shared" si="213"/>
        <v/>
      </c>
      <c r="KX58" s="340" t="str">
        <f t="shared" si="214"/>
        <v/>
      </c>
      <c r="KY58" s="340" t="str">
        <f t="shared" si="215"/>
        <v/>
      </c>
      <c r="KZ58" s="340" t="str">
        <f t="shared" si="216"/>
        <v/>
      </c>
      <c r="LA58" s="340" t="str">
        <f t="shared" si="217"/>
        <v/>
      </c>
      <c r="LB58" s="340" t="str">
        <f t="shared" si="218"/>
        <v/>
      </c>
      <c r="LC58" s="340">
        <f t="shared" si="219"/>
        <v>0</v>
      </c>
      <c r="LD58" s="228">
        <v>50</v>
      </c>
      <c r="LE58" s="229" t="str">
        <f t="shared" si="220"/>
        <v/>
      </c>
      <c r="LF58" s="229" t="str">
        <f t="shared" si="221"/>
        <v/>
      </c>
      <c r="LG58" s="229" t="str">
        <f t="shared" si="222"/>
        <v/>
      </c>
      <c r="LH58" s="229" t="str">
        <f t="shared" si="223"/>
        <v/>
      </c>
      <c r="LI58" s="229" t="str">
        <f t="shared" si="224"/>
        <v/>
      </c>
      <c r="LJ58" s="229" t="str">
        <f t="shared" si="225"/>
        <v/>
      </c>
      <c r="LK58" s="229" t="str">
        <f t="shared" si="226"/>
        <v/>
      </c>
      <c r="LL58" s="229" t="str">
        <f t="shared" si="227"/>
        <v/>
      </c>
      <c r="LM58" s="229" t="str">
        <f t="shared" si="228"/>
        <v/>
      </c>
      <c r="LN58" s="229" t="str">
        <f t="shared" si="229"/>
        <v/>
      </c>
      <c r="LO58" s="229" t="str">
        <f t="shared" si="230"/>
        <v/>
      </c>
      <c r="LP58" s="229" t="str">
        <f t="shared" si="231"/>
        <v/>
      </c>
      <c r="LQ58" s="229" t="str">
        <f t="shared" si="232"/>
        <v/>
      </c>
      <c r="LR58" s="229" t="str">
        <f t="shared" si="233"/>
        <v/>
      </c>
      <c r="LS58" s="229" t="str">
        <f t="shared" si="234"/>
        <v/>
      </c>
      <c r="LT58" s="229" t="str">
        <f t="shared" si="235"/>
        <v/>
      </c>
      <c r="LU58" s="229" t="str">
        <f t="shared" si="236"/>
        <v/>
      </c>
      <c r="LV58" s="229" t="str">
        <f t="shared" si="237"/>
        <v/>
      </c>
      <c r="LW58" s="229" t="str">
        <f t="shared" si="238"/>
        <v/>
      </c>
      <c r="LX58" s="229" t="str">
        <f t="shared" si="239"/>
        <v/>
      </c>
      <c r="LY58" s="231" t="str">
        <f t="shared" si="240"/>
        <v/>
      </c>
      <c r="LZ58" s="231" t="str">
        <f t="shared" si="241"/>
        <v/>
      </c>
      <c r="MA58" s="231" t="str">
        <f t="shared" si="242"/>
        <v/>
      </c>
      <c r="MB58" s="231" t="str">
        <f t="shared" si="243"/>
        <v/>
      </c>
      <c r="MC58" s="231" t="str">
        <f t="shared" si="244"/>
        <v/>
      </c>
      <c r="MD58" s="231" t="str">
        <f t="shared" si="245"/>
        <v/>
      </c>
      <c r="ME58" s="231" t="str">
        <f t="shared" si="246"/>
        <v/>
      </c>
      <c r="MF58" s="231" t="str">
        <f t="shared" si="247"/>
        <v/>
      </c>
      <c r="MG58" s="231" t="str">
        <f t="shared" si="248"/>
        <v/>
      </c>
      <c r="MH58" s="231" t="str">
        <f t="shared" si="249"/>
        <v/>
      </c>
      <c r="MI58" s="231" t="str">
        <f t="shared" si="250"/>
        <v/>
      </c>
      <c r="MJ58" s="231" t="str">
        <f t="shared" si="251"/>
        <v/>
      </c>
      <c r="MK58" s="231" t="str">
        <f t="shared" si="252"/>
        <v/>
      </c>
      <c r="ML58" s="231" t="str">
        <f t="shared" si="253"/>
        <v/>
      </c>
      <c r="MM58" s="231" t="str">
        <f t="shared" si="254"/>
        <v/>
      </c>
      <c r="MN58" s="231" t="str">
        <f t="shared" si="255"/>
        <v/>
      </c>
      <c r="MO58" s="231" t="str">
        <f t="shared" si="256"/>
        <v/>
      </c>
      <c r="MP58" s="231" t="str">
        <f t="shared" si="257"/>
        <v/>
      </c>
      <c r="MQ58" s="231" t="str">
        <f t="shared" si="258"/>
        <v/>
      </c>
      <c r="MR58" s="231" t="str">
        <f t="shared" si="259"/>
        <v/>
      </c>
      <c r="MS58" s="231" t="str">
        <f t="shared" si="359"/>
        <v/>
      </c>
      <c r="MT58" s="232" t="str">
        <f>IF(MS58="","",IF(MS58&gt;=KONVERSI!$A$5,KONVERSI!$E$5,IF(MS58&gt;=KONVERSI!$A$6,KONVERSI!$E$6,IF(MS58&gt;=KONVERSI!$A$7,KONVERSI!$E$7,KONVERSI!$E$8))))</f>
        <v/>
      </c>
      <c r="MU58" s="233" t="str">
        <f t="shared" si="360"/>
        <v/>
      </c>
      <c r="MV58" s="234" t="str">
        <f t="shared" si="260"/>
        <v/>
      </c>
      <c r="MW58" s="232" t="str">
        <f>IF(MV58="","",IF(MV58&gt;=KONVERSI!$A$5,KONVERSI!$E$5,IF(MV58&gt;=KONVERSI!$A$6,KONVERSI!$E$6,IF(MV58&gt;=KONVERSI!$A$7,KONVERSI!$E$7,KONVERSI!$E$8))))</f>
        <v/>
      </c>
      <c r="MX58" s="134" t="str">
        <f>IF(FI58&lt;$FN$4," "&amp;KONVERSI!$C$18&amp;INDEX($LY$8:$MR$8,MATCH(MV58,LY58:MR58,0))&amp;".",IF(KG58=0,"",IF(MV58&lt;&gt;0,MU58&amp;MW58&amp;".",MU58&amp;".")))</f>
        <v/>
      </c>
      <c r="MY58" s="235" t="str">
        <f t="shared" si="261"/>
        <v/>
      </c>
      <c r="MZ58" s="235" t="str">
        <f t="shared" si="262"/>
        <v/>
      </c>
      <c r="NA58" s="235" t="str">
        <f t="shared" si="263"/>
        <v/>
      </c>
      <c r="NB58" s="235" t="str">
        <f t="shared" si="264"/>
        <v/>
      </c>
      <c r="NC58" s="235" t="str">
        <f t="shared" si="265"/>
        <v/>
      </c>
      <c r="ND58" s="235" t="str">
        <f t="shared" si="266"/>
        <v/>
      </c>
      <c r="NE58" s="235" t="str">
        <f t="shared" si="267"/>
        <v/>
      </c>
      <c r="NF58" s="235" t="str">
        <f t="shared" si="268"/>
        <v/>
      </c>
      <c r="NG58" s="235" t="str">
        <f t="shared" si="269"/>
        <v/>
      </c>
      <c r="NH58" s="235" t="str">
        <f t="shared" si="270"/>
        <v/>
      </c>
      <c r="NI58" s="235" t="str">
        <f t="shared" si="271"/>
        <v/>
      </c>
      <c r="NJ58" s="235" t="str">
        <f t="shared" si="272"/>
        <v/>
      </c>
      <c r="NK58" s="235" t="str">
        <f t="shared" si="273"/>
        <v/>
      </c>
      <c r="NL58" s="235" t="str">
        <f t="shared" si="274"/>
        <v/>
      </c>
      <c r="NM58" s="235" t="str">
        <f t="shared" si="275"/>
        <v/>
      </c>
      <c r="NN58" s="235" t="str">
        <f t="shared" si="276"/>
        <v/>
      </c>
      <c r="NO58" s="235" t="str">
        <f t="shared" si="277"/>
        <v/>
      </c>
      <c r="NP58" s="235" t="str">
        <f t="shared" si="278"/>
        <v/>
      </c>
      <c r="NQ58" s="235" t="str">
        <f t="shared" si="279"/>
        <v/>
      </c>
      <c r="NR58" s="235" t="str">
        <f t="shared" si="280"/>
        <v/>
      </c>
      <c r="NS58" s="134" t="str">
        <f t="shared" si="281"/>
        <v/>
      </c>
      <c r="NT58" s="134" t="str">
        <f t="shared" si="282"/>
        <v/>
      </c>
      <c r="NU58" s="134" t="str">
        <f t="shared" si="283"/>
        <v/>
      </c>
      <c r="NV58" s="134" t="str">
        <f t="shared" si="284"/>
        <v/>
      </c>
      <c r="NW58" s="134" t="str">
        <f t="shared" si="285"/>
        <v/>
      </c>
      <c r="NX58" s="134" t="str">
        <f t="shared" si="286"/>
        <v/>
      </c>
      <c r="NY58" s="134" t="str">
        <f t="shared" si="287"/>
        <v/>
      </c>
      <c r="NZ58" s="134" t="str">
        <f t="shared" si="288"/>
        <v/>
      </c>
      <c r="OA58" s="134" t="str">
        <f t="shared" si="289"/>
        <v/>
      </c>
      <c r="OB58" s="134" t="str">
        <f t="shared" si="290"/>
        <v/>
      </c>
      <c r="OC58" s="134" t="str">
        <f t="shared" si="291"/>
        <v/>
      </c>
      <c r="OD58" s="134" t="str">
        <f t="shared" si="292"/>
        <v/>
      </c>
      <c r="OE58" s="134" t="str">
        <f t="shared" si="293"/>
        <v/>
      </c>
      <c r="OF58" s="134" t="str">
        <f t="shared" si="294"/>
        <v/>
      </c>
      <c r="OG58" s="134" t="str">
        <f t="shared" si="295"/>
        <v/>
      </c>
      <c r="OH58" s="134" t="str">
        <f t="shared" si="296"/>
        <v/>
      </c>
      <c r="OI58" s="134" t="str">
        <f t="shared" si="297"/>
        <v/>
      </c>
      <c r="OJ58" s="134" t="str">
        <f t="shared" si="298"/>
        <v/>
      </c>
      <c r="OK58" s="134" t="str">
        <f t="shared" si="299"/>
        <v/>
      </c>
      <c r="OL58" s="134" t="str">
        <f t="shared" si="300"/>
        <v/>
      </c>
      <c r="OM58" s="134" t="str">
        <f t="shared" si="301"/>
        <v/>
      </c>
      <c r="ON58" s="134" t="str">
        <f t="shared" si="302"/>
        <v>  </v>
      </c>
      <c r="OO58" s="236">
        <f t="shared" si="361"/>
        <v>0</v>
      </c>
      <c r="OP58" s="235" t="str">
        <f t="shared" si="303"/>
        <v/>
      </c>
      <c r="OQ58" s="235" t="str">
        <f t="shared" si="304"/>
        <v/>
      </c>
      <c r="OR58" s="235" t="str">
        <f t="shared" si="305"/>
        <v/>
      </c>
      <c r="OS58" s="235" t="str">
        <f t="shared" si="306"/>
        <v/>
      </c>
      <c r="OT58" s="235" t="str">
        <f t="shared" si="307"/>
        <v/>
      </c>
      <c r="OU58" s="235" t="str">
        <f t="shared" si="308"/>
        <v/>
      </c>
      <c r="OV58" s="235" t="str">
        <f t="shared" si="309"/>
        <v/>
      </c>
      <c r="OW58" s="235" t="str">
        <f t="shared" si="310"/>
        <v/>
      </c>
      <c r="OX58" s="235" t="str">
        <f t="shared" si="311"/>
        <v/>
      </c>
      <c r="OY58" s="235" t="str">
        <f t="shared" si="312"/>
        <v/>
      </c>
      <c r="OZ58" s="235" t="str">
        <f t="shared" si="313"/>
        <v/>
      </c>
      <c r="PA58" s="235" t="str">
        <f t="shared" si="314"/>
        <v/>
      </c>
      <c r="PB58" s="235" t="str">
        <f t="shared" si="315"/>
        <v/>
      </c>
      <c r="PC58" s="235" t="str">
        <f t="shared" si="316"/>
        <v/>
      </c>
      <c r="PD58" s="235" t="str">
        <f t="shared" si="317"/>
        <v/>
      </c>
      <c r="PE58" s="235" t="str">
        <f t="shared" si="318"/>
        <v/>
      </c>
      <c r="PF58" s="235" t="str">
        <f t="shared" si="319"/>
        <v/>
      </c>
      <c r="PG58" s="235" t="str">
        <f t="shared" si="320"/>
        <v/>
      </c>
      <c r="PH58" s="235" t="str">
        <f t="shared" si="321"/>
        <v/>
      </c>
      <c r="PI58" s="235" t="str">
        <f t="shared" si="322"/>
        <v/>
      </c>
      <c r="PJ58" s="134" t="str">
        <f t="shared" si="323"/>
        <v/>
      </c>
      <c r="PK58" s="134" t="str">
        <f t="shared" si="324"/>
        <v/>
      </c>
      <c r="PL58" s="134" t="str">
        <f t="shared" si="325"/>
        <v/>
      </c>
      <c r="PM58" s="134" t="str">
        <f t="shared" si="326"/>
        <v/>
      </c>
      <c r="PN58" s="134" t="str">
        <f t="shared" si="327"/>
        <v/>
      </c>
      <c r="PO58" s="134" t="str">
        <f t="shared" si="328"/>
        <v/>
      </c>
      <c r="PP58" s="134" t="str">
        <f t="shared" si="329"/>
        <v/>
      </c>
      <c r="PQ58" s="134" t="str">
        <f t="shared" si="330"/>
        <v/>
      </c>
      <c r="PR58" s="134" t="str">
        <f t="shared" si="331"/>
        <v/>
      </c>
      <c r="PS58" s="134" t="str">
        <f t="shared" si="332"/>
        <v/>
      </c>
      <c r="PT58" s="134" t="str">
        <f t="shared" si="333"/>
        <v/>
      </c>
      <c r="PU58" s="134" t="str">
        <f t="shared" si="334"/>
        <v/>
      </c>
      <c r="PV58" s="134" t="str">
        <f t="shared" si="335"/>
        <v/>
      </c>
      <c r="PW58" s="134" t="str">
        <f t="shared" si="336"/>
        <v/>
      </c>
      <c r="PX58" s="134" t="str">
        <f t="shared" si="337"/>
        <v/>
      </c>
      <c r="PY58" s="134" t="str">
        <f t="shared" si="338"/>
        <v/>
      </c>
      <c r="PZ58" s="134" t="str">
        <f t="shared" si="339"/>
        <v/>
      </c>
      <c r="QA58" s="134" t="str">
        <f t="shared" si="340"/>
        <v/>
      </c>
      <c r="QB58" s="134" t="str">
        <f t="shared" si="341"/>
        <v/>
      </c>
      <c r="QC58" s="134" t="str">
        <f t="shared" si="342"/>
        <v/>
      </c>
      <c r="QD58" s="134" t="str">
        <f>IF(MT58=MW58,"",IF(MV58="","",IF(MV58&gt;=KONVERSI!$A$7,'KI3'!MW58&amp;" dalam"&amp;PJ58&amp;PK58&amp;PL58&amp;PM58&amp;PN58&amp;PO58&amp;PP58&amp;PQ58&amp;PR58&amp;PS58&amp;PT58&amp;PU58&amp;PV58&amp;PW58&amp;PX58&amp;PY58&amp;PZ58&amp;QA58&amp;QB58&amp;QC58,KONVERSI!$C$18&amp;" dalam"&amp;PJ58&amp;PK58&amp;PL58&amp;PM58&amp;PN58&amp;PO58&amp;PP58&amp;PQ58&amp;PR58&amp;PS58&amp;PT58&amp;PU58&amp;PV58&amp;PW58&amp;PX58&amp;PY58&amp;PZ58&amp;QA58&amp;QB58&amp;QC58)))</f>
        <v/>
      </c>
      <c r="QE58" s="134" t="str">
        <f t="shared" si="343"/>
        <v/>
      </c>
      <c r="QF58" s="236">
        <f t="shared" si="362"/>
        <v>0</v>
      </c>
      <c r="QG58" s="134" t="str">
        <f t="shared" si="363"/>
        <v/>
      </c>
    </row>
    <row r="59" ht="15.75" customHeight="1" spans="1:315">
      <c r="A59" s="136"/>
      <c r="B59" s="182"/>
      <c r="C59" s="183"/>
      <c r="D59" s="184"/>
      <c r="E59" s="185"/>
      <c r="F59" s="185"/>
      <c r="G59" s="185"/>
      <c r="H59" s="185"/>
      <c r="I59" s="185"/>
      <c r="J59" s="185"/>
      <c r="K59" s="185"/>
      <c r="L59" s="185"/>
      <c r="M59" s="185"/>
      <c r="N59" s="185"/>
      <c r="O59" s="185"/>
      <c r="P59" s="185"/>
      <c r="Q59" s="185"/>
      <c r="R59" s="185"/>
      <c r="S59" s="185"/>
      <c r="T59" s="185"/>
      <c r="U59" s="185"/>
      <c r="V59" s="185"/>
      <c r="W59" s="185"/>
      <c r="X59" s="185"/>
      <c r="Y59" s="185"/>
      <c r="Z59" s="185"/>
      <c r="AA59" s="185"/>
      <c r="AB59" s="185"/>
      <c r="AC59" s="185"/>
      <c r="AD59" s="185"/>
      <c r="AE59" s="185"/>
      <c r="AF59" s="185"/>
      <c r="AG59" s="185"/>
      <c r="AH59" s="185"/>
      <c r="AI59" s="185"/>
      <c r="AJ59" s="185"/>
      <c r="AK59" s="185"/>
      <c r="AL59" s="185"/>
      <c r="AM59" s="185"/>
      <c r="AN59" s="185"/>
      <c r="AO59" s="185"/>
      <c r="AP59" s="185"/>
      <c r="AQ59" s="185"/>
      <c r="AR59" s="185"/>
      <c r="AS59" s="185"/>
      <c r="AT59" s="185"/>
      <c r="AU59" s="185"/>
      <c r="AV59" s="185"/>
      <c r="AW59" s="185"/>
      <c r="AX59" s="185"/>
      <c r="AY59" s="185"/>
      <c r="AZ59" s="185"/>
      <c r="BA59" s="185"/>
      <c r="BB59" s="185"/>
      <c r="BC59" s="185"/>
      <c r="BD59" s="185"/>
      <c r="BE59" s="185"/>
      <c r="BF59" s="185"/>
      <c r="BG59" s="185"/>
      <c r="BH59" s="185"/>
      <c r="BI59" s="185"/>
      <c r="BJ59" s="185"/>
      <c r="BK59" s="185"/>
      <c r="BL59" s="185"/>
      <c r="BM59" s="185"/>
      <c r="BN59" s="185"/>
      <c r="BO59" s="185"/>
      <c r="BP59" s="185"/>
      <c r="BQ59" s="185"/>
      <c r="BR59" s="185"/>
      <c r="BS59" s="185"/>
      <c r="BT59" s="185"/>
      <c r="BU59" s="185"/>
      <c r="BV59" s="185"/>
      <c r="BW59" s="185"/>
      <c r="BX59" s="185"/>
      <c r="BY59" s="185"/>
      <c r="BZ59" s="185"/>
      <c r="CA59" s="185"/>
      <c r="CB59" s="185"/>
      <c r="CC59" s="185"/>
      <c r="CD59" s="185"/>
      <c r="CE59" s="185"/>
      <c r="CF59" s="185"/>
      <c r="CG59" s="185"/>
      <c r="CH59" s="185"/>
      <c r="CI59" s="185"/>
      <c r="CJ59" s="185"/>
      <c r="CK59" s="185"/>
      <c r="CL59" s="185"/>
      <c r="CM59" s="185"/>
      <c r="CN59" s="185"/>
      <c r="CO59" s="185"/>
      <c r="CP59" s="185"/>
      <c r="CQ59" s="185"/>
      <c r="CR59" s="185"/>
      <c r="CS59" s="185"/>
      <c r="CT59" s="185"/>
      <c r="CU59" s="185"/>
      <c r="CV59" s="185"/>
      <c r="CW59" s="185"/>
      <c r="CX59" s="185"/>
      <c r="CY59" s="185"/>
      <c r="CZ59" s="185"/>
      <c r="DA59" s="185"/>
      <c r="DB59" s="185"/>
      <c r="DC59" s="185"/>
      <c r="DD59" s="185"/>
      <c r="DE59" s="185"/>
      <c r="DF59" s="185"/>
      <c r="DG59" s="185"/>
      <c r="DH59" s="185"/>
      <c r="DI59" s="185"/>
      <c r="DJ59" s="185"/>
      <c r="DK59" s="185"/>
      <c r="DL59" s="185"/>
      <c r="DM59" s="185"/>
      <c r="DN59" s="185"/>
      <c r="DO59" s="185"/>
      <c r="DP59" s="185"/>
      <c r="DQ59" s="185"/>
      <c r="DR59" s="185"/>
      <c r="DS59" s="185"/>
      <c r="DT59" s="185"/>
      <c r="DU59" s="185"/>
      <c r="DV59" s="185"/>
      <c r="DW59" s="185"/>
      <c r="DX59" s="185"/>
      <c r="DY59" s="185"/>
      <c r="DZ59" s="185"/>
      <c r="EA59" s="185"/>
      <c r="EB59" s="185"/>
      <c r="EC59" s="185"/>
      <c r="ED59" s="185"/>
      <c r="EE59" s="185"/>
      <c r="EF59" s="185"/>
      <c r="EG59" s="185"/>
      <c r="EH59" s="185"/>
      <c r="EI59" s="185"/>
      <c r="EJ59" s="185"/>
      <c r="EK59" s="185"/>
      <c r="EL59" s="185"/>
      <c r="EM59" s="185"/>
      <c r="EN59" s="185"/>
      <c r="EO59" s="185"/>
      <c r="EP59" s="185"/>
      <c r="EQ59" s="185"/>
      <c r="ER59" s="185"/>
      <c r="ES59" s="185"/>
      <c r="ET59" s="185"/>
      <c r="EU59" s="185"/>
      <c r="EV59" s="185"/>
      <c r="EW59" s="185"/>
      <c r="EX59" s="185"/>
      <c r="EY59" s="185"/>
      <c r="EZ59" s="185"/>
      <c r="FA59" s="185"/>
      <c r="FB59" s="185"/>
      <c r="FC59" s="185"/>
      <c r="FD59" s="185"/>
      <c r="FE59" s="185"/>
      <c r="FF59" s="185"/>
      <c r="FG59" s="185"/>
      <c r="FH59" s="185"/>
      <c r="FI59" s="185"/>
      <c r="FJ59" s="185"/>
      <c r="FK59" s="185"/>
      <c r="FL59" s="185"/>
      <c r="FM59" s="185"/>
      <c r="FN59" s="315"/>
      <c r="FO59" s="313"/>
      <c r="FQ59" s="185"/>
      <c r="FR59" s="185"/>
      <c r="FS59" s="185"/>
      <c r="FT59" s="185"/>
      <c r="FU59" s="185"/>
      <c r="FV59" s="185"/>
      <c r="FW59" s="185"/>
      <c r="FX59" s="185"/>
      <c r="FY59" s="185"/>
      <c r="FZ59" s="185"/>
      <c r="GA59" s="185"/>
      <c r="GB59" s="185"/>
      <c r="GC59" s="185"/>
      <c r="GD59" s="185"/>
      <c r="GE59" s="185"/>
      <c r="GF59" s="185"/>
      <c r="GG59" s="185"/>
      <c r="GH59" s="185"/>
      <c r="GI59" s="185"/>
      <c r="GJ59" s="185"/>
      <c r="GK59" s="185"/>
      <c r="GL59" s="185"/>
      <c r="GM59" s="185"/>
      <c r="GN59" s="185"/>
      <c r="GO59" s="185"/>
      <c r="GP59" s="185"/>
      <c r="GQ59" s="185"/>
      <c r="GR59" s="185"/>
      <c r="GS59" s="185"/>
      <c r="GT59" s="185"/>
      <c r="GU59" s="185"/>
      <c r="GV59" s="185"/>
      <c r="GW59" s="185"/>
      <c r="GX59" s="185"/>
      <c r="GY59" s="185"/>
      <c r="GZ59" s="185"/>
      <c r="HA59" s="185"/>
      <c r="HB59" s="185"/>
      <c r="HC59" s="185"/>
      <c r="HD59" s="185"/>
      <c r="HE59" s="185"/>
      <c r="HF59" s="185"/>
      <c r="HG59" s="185"/>
      <c r="HH59" s="185"/>
      <c r="HI59" s="185"/>
      <c r="HJ59" s="185"/>
      <c r="HK59" s="185"/>
      <c r="HL59" s="185"/>
      <c r="HM59" s="185"/>
      <c r="HN59" s="185"/>
      <c r="HO59" s="185"/>
      <c r="HP59" s="185"/>
      <c r="HQ59" s="185"/>
      <c r="HR59" s="185"/>
      <c r="HS59" s="185"/>
      <c r="HT59" s="185"/>
      <c r="HU59" s="185"/>
      <c r="HV59" s="185"/>
      <c r="HW59" s="185"/>
      <c r="HX59" s="185"/>
      <c r="HY59" s="185"/>
      <c r="HZ59" s="185"/>
      <c r="IA59" s="185"/>
      <c r="IB59" s="185"/>
      <c r="IC59" s="185"/>
      <c r="ID59" s="185"/>
      <c r="IE59" s="185"/>
      <c r="IF59" s="185"/>
      <c r="IG59" s="185"/>
      <c r="IH59" s="185"/>
      <c r="II59" s="185"/>
      <c r="IJ59" s="185"/>
      <c r="IK59" s="185"/>
      <c r="IL59" s="185"/>
      <c r="IM59" s="185"/>
      <c r="IN59" s="185"/>
      <c r="IO59" s="185"/>
      <c r="IP59" s="185"/>
      <c r="IQ59" s="185"/>
      <c r="IR59" s="185"/>
      <c r="IS59" s="185"/>
      <c r="IT59" s="185"/>
      <c r="IU59" s="185"/>
      <c r="IV59" s="185"/>
      <c r="IW59" s="185"/>
      <c r="IX59" s="185"/>
      <c r="IY59" s="185"/>
      <c r="IZ59" s="185"/>
      <c r="JA59" s="185"/>
      <c r="JB59" s="185"/>
      <c r="JC59" s="185"/>
      <c r="JD59" s="185"/>
      <c r="JE59" s="185"/>
      <c r="JF59" s="185"/>
      <c r="JG59" s="185"/>
      <c r="JH59" s="185"/>
      <c r="JI59" s="185"/>
      <c r="JJ59" s="185"/>
      <c r="JK59" s="185"/>
      <c r="JL59" s="185"/>
      <c r="JM59" s="185"/>
      <c r="JN59" s="185"/>
      <c r="JO59" s="185"/>
      <c r="JP59" s="185"/>
      <c r="JQ59" s="185"/>
      <c r="JR59" s="185"/>
      <c r="JS59" s="185"/>
      <c r="JT59" s="185"/>
      <c r="JU59" s="185"/>
      <c r="JV59" s="185"/>
      <c r="JW59" s="185"/>
      <c r="JX59" s="185"/>
      <c r="JY59" s="185"/>
      <c r="JZ59" s="185"/>
      <c r="KA59" s="185"/>
      <c r="KB59" s="185"/>
      <c r="KC59" s="185"/>
      <c r="KD59" s="185"/>
      <c r="KE59" s="185"/>
      <c r="KF59" s="185"/>
      <c r="KG59" s="185"/>
      <c r="KH59" s="315"/>
      <c r="KI59" s="315"/>
      <c r="KJ59" s="315"/>
      <c r="KK59" s="315"/>
      <c r="KL59" s="315"/>
      <c r="KM59" s="315"/>
      <c r="KN59" s="315"/>
      <c r="KO59" s="315"/>
      <c r="KP59" s="315"/>
      <c r="KQ59" s="315"/>
      <c r="KR59" s="315"/>
      <c r="KS59" s="315"/>
      <c r="KT59" s="315"/>
      <c r="KU59" s="315"/>
      <c r="KV59" s="315"/>
      <c r="KW59" s="315"/>
      <c r="KX59" s="315"/>
      <c r="KY59" s="315"/>
      <c r="KZ59" s="315"/>
      <c r="LA59" s="315"/>
      <c r="LB59" s="315"/>
      <c r="LC59" s="315"/>
    </row>
    <row r="60" ht="15.75" customHeight="1" spans="1:315">
      <c r="A60" s="136"/>
      <c r="B60" s="182"/>
      <c r="C60" s="183"/>
      <c r="D60" s="186"/>
      <c r="E60" s="185"/>
      <c r="F60" s="185"/>
      <c r="G60" s="185"/>
      <c r="H60" s="185"/>
      <c r="I60" s="185"/>
      <c r="J60" s="185"/>
      <c r="K60" s="185"/>
      <c r="L60" s="185"/>
      <c r="M60" s="185"/>
      <c r="N60" s="185"/>
      <c r="O60" s="185"/>
      <c r="P60" s="185"/>
      <c r="Q60" s="185"/>
      <c r="R60" s="185"/>
      <c r="S60" s="185"/>
      <c r="T60" s="185"/>
      <c r="U60" s="185"/>
      <c r="V60" s="185"/>
      <c r="W60" s="185"/>
      <c r="X60" s="185"/>
      <c r="Y60" s="185"/>
      <c r="Z60" s="185"/>
      <c r="AA60" s="185"/>
      <c r="AB60" s="185"/>
      <c r="AC60" s="185"/>
      <c r="AD60" s="185"/>
      <c r="AE60" s="185"/>
      <c r="AF60" s="185"/>
      <c r="AG60" s="185"/>
      <c r="AH60" s="185"/>
      <c r="AI60" s="185"/>
      <c r="AJ60" s="185"/>
      <c r="AK60" s="185"/>
      <c r="AL60" s="185"/>
      <c r="AM60" s="185"/>
      <c r="AN60" s="185"/>
      <c r="AO60" s="185"/>
      <c r="AP60" s="185"/>
      <c r="AQ60" s="185"/>
      <c r="AR60" s="185"/>
      <c r="AS60" s="185"/>
      <c r="AT60" s="185"/>
      <c r="AU60" s="185"/>
      <c r="AV60" s="185"/>
      <c r="AW60" s="185"/>
      <c r="AX60" s="185"/>
      <c r="AY60" s="185"/>
      <c r="AZ60" s="185"/>
      <c r="BA60" s="185"/>
      <c r="BB60" s="185"/>
      <c r="BC60" s="185"/>
      <c r="BD60" s="185"/>
      <c r="BE60" s="185"/>
      <c r="BF60" s="185"/>
      <c r="BG60" s="185"/>
      <c r="BH60" s="185"/>
      <c r="BI60" s="185"/>
      <c r="BJ60" s="185"/>
      <c r="BK60" s="185"/>
      <c r="BL60" s="185"/>
      <c r="BM60" s="185"/>
      <c r="BN60" s="185"/>
      <c r="BO60" s="185"/>
      <c r="BP60" s="185"/>
      <c r="BQ60" s="185"/>
      <c r="BR60" s="185"/>
      <c r="BS60" s="185"/>
      <c r="BT60" s="185"/>
      <c r="BU60" s="185"/>
      <c r="BV60" s="185"/>
      <c r="BW60" s="185"/>
      <c r="BX60" s="185"/>
      <c r="BY60" s="185"/>
      <c r="BZ60" s="185"/>
      <c r="CA60" s="185"/>
      <c r="CB60" s="185"/>
      <c r="CC60" s="185"/>
      <c r="CD60" s="185"/>
      <c r="CE60" s="185"/>
      <c r="CF60" s="185"/>
      <c r="CG60" s="185"/>
      <c r="CH60" s="185"/>
      <c r="CI60" s="185"/>
      <c r="CJ60" s="185"/>
      <c r="CK60" s="185"/>
      <c r="CL60" s="185"/>
      <c r="CM60" s="185"/>
      <c r="CN60" s="185"/>
      <c r="CO60" s="185"/>
      <c r="CP60" s="185"/>
      <c r="CQ60" s="185"/>
      <c r="CR60" s="185"/>
      <c r="CS60" s="185"/>
      <c r="CT60" s="185"/>
      <c r="CU60" s="185"/>
      <c r="CV60" s="185"/>
      <c r="CW60" s="185"/>
      <c r="CX60" s="185"/>
      <c r="CY60" s="185"/>
      <c r="CZ60" s="185"/>
      <c r="DA60" s="185"/>
      <c r="DB60" s="185"/>
      <c r="DC60" s="185"/>
      <c r="DD60" s="185"/>
      <c r="DE60" s="185"/>
      <c r="DF60" s="185"/>
      <c r="DG60" s="185"/>
      <c r="DH60" s="185"/>
      <c r="DI60" s="185"/>
      <c r="DJ60" s="185"/>
      <c r="DK60" s="185"/>
      <c r="DL60" s="185"/>
      <c r="DM60" s="185"/>
      <c r="DN60" s="185"/>
      <c r="DO60" s="185"/>
      <c r="DP60" s="185"/>
      <c r="DQ60" s="185"/>
      <c r="DR60" s="185"/>
      <c r="DS60" s="185"/>
      <c r="DT60" s="185"/>
      <c r="DU60" s="185"/>
      <c r="DV60" s="185"/>
      <c r="DW60" s="185"/>
      <c r="DX60" s="185"/>
      <c r="DY60" s="185"/>
      <c r="DZ60" s="185"/>
      <c r="EA60" s="185"/>
      <c r="EB60" s="185"/>
      <c r="EC60" s="185"/>
      <c r="ED60" s="185"/>
      <c r="EE60" s="185"/>
      <c r="EF60" s="185"/>
      <c r="EG60" s="185"/>
      <c r="EH60" s="185"/>
      <c r="EI60" s="185"/>
      <c r="EJ60" s="185"/>
      <c r="EK60" s="185"/>
      <c r="EL60" s="185"/>
      <c r="EM60" s="185"/>
      <c r="EN60" s="185"/>
      <c r="EO60" s="185"/>
      <c r="EP60" s="185"/>
      <c r="EQ60" s="185"/>
      <c r="ER60" s="185"/>
      <c r="ES60" s="185"/>
      <c r="ET60" s="185"/>
      <c r="EU60" s="185"/>
      <c r="EV60" s="185"/>
      <c r="EW60" s="185"/>
      <c r="EX60" s="185"/>
      <c r="EY60" s="185"/>
      <c r="EZ60" s="185"/>
      <c r="FA60" s="185"/>
      <c r="FB60" s="185"/>
      <c r="FC60" s="185"/>
      <c r="FD60" s="185"/>
      <c r="FE60" s="185"/>
      <c r="FF60" s="185"/>
      <c r="FG60" s="185"/>
      <c r="FH60" s="185"/>
      <c r="FI60" s="185"/>
      <c r="FJ60" s="185"/>
      <c r="FK60" s="185"/>
      <c r="FL60" s="185"/>
      <c r="FM60" s="185"/>
      <c r="FN60" s="315"/>
      <c r="FO60" s="313"/>
      <c r="FQ60" s="185"/>
      <c r="FR60" s="185"/>
      <c r="FS60" s="185"/>
      <c r="FT60" s="185"/>
      <c r="FU60" s="185"/>
      <c r="FV60" s="185"/>
      <c r="FW60" s="185"/>
      <c r="FX60" s="185"/>
      <c r="FY60" s="185"/>
      <c r="FZ60" s="185"/>
      <c r="GA60" s="185"/>
      <c r="GB60" s="185"/>
      <c r="GC60" s="185"/>
      <c r="GD60" s="185"/>
      <c r="GE60" s="185"/>
      <c r="GF60" s="185"/>
      <c r="GG60" s="185"/>
      <c r="GH60" s="185"/>
      <c r="GI60" s="185"/>
      <c r="GJ60" s="185"/>
      <c r="GK60" s="185"/>
      <c r="GL60" s="185"/>
      <c r="GM60" s="185"/>
      <c r="GN60" s="185"/>
      <c r="GO60" s="185"/>
      <c r="GP60" s="185"/>
      <c r="GQ60" s="185"/>
      <c r="GR60" s="185"/>
      <c r="GS60" s="185"/>
      <c r="GT60" s="185"/>
      <c r="GU60" s="185"/>
      <c r="GV60" s="185"/>
      <c r="GW60" s="185"/>
      <c r="GX60" s="185"/>
      <c r="GY60" s="185"/>
      <c r="GZ60" s="185"/>
      <c r="HA60" s="185"/>
      <c r="HB60" s="185"/>
      <c r="HC60" s="185"/>
      <c r="HD60" s="185"/>
      <c r="HE60" s="185"/>
      <c r="HF60" s="185"/>
      <c r="HG60" s="185"/>
      <c r="HH60" s="185"/>
      <c r="HI60" s="185"/>
      <c r="HJ60" s="185"/>
      <c r="HK60" s="185"/>
      <c r="HL60" s="185"/>
      <c r="HM60" s="185"/>
      <c r="HN60" s="185"/>
      <c r="HO60" s="185"/>
      <c r="HP60" s="185"/>
      <c r="HQ60" s="185"/>
      <c r="HR60" s="185"/>
      <c r="HS60" s="185"/>
      <c r="HT60" s="185"/>
      <c r="HU60" s="185"/>
      <c r="HV60" s="185"/>
      <c r="HW60" s="185"/>
      <c r="HX60" s="185"/>
      <c r="HY60" s="185"/>
      <c r="HZ60" s="185"/>
      <c r="IA60" s="185"/>
      <c r="IB60" s="185"/>
      <c r="IC60" s="185"/>
      <c r="ID60" s="185"/>
      <c r="IE60" s="185"/>
      <c r="IF60" s="185"/>
      <c r="IG60" s="185"/>
      <c r="IH60" s="185"/>
      <c r="II60" s="185"/>
      <c r="IJ60" s="185"/>
      <c r="IK60" s="185"/>
      <c r="IL60" s="185"/>
      <c r="IM60" s="185"/>
      <c r="IN60" s="185"/>
      <c r="IO60" s="185"/>
      <c r="IP60" s="185"/>
      <c r="IQ60" s="185"/>
      <c r="IR60" s="185"/>
      <c r="IS60" s="185"/>
      <c r="IT60" s="185"/>
      <c r="IU60" s="185"/>
      <c r="IV60" s="185"/>
      <c r="IW60" s="185"/>
      <c r="IX60" s="185"/>
      <c r="IY60" s="185"/>
      <c r="IZ60" s="185"/>
      <c r="JA60" s="185"/>
      <c r="JB60" s="185"/>
      <c r="JC60" s="185"/>
      <c r="JD60" s="185"/>
      <c r="JE60" s="185"/>
      <c r="JF60" s="185"/>
      <c r="JG60" s="185"/>
      <c r="JH60" s="185"/>
      <c r="JI60" s="185"/>
      <c r="JJ60" s="185"/>
      <c r="JK60" s="185"/>
      <c r="JL60" s="185"/>
      <c r="JM60" s="185"/>
      <c r="JN60" s="185"/>
      <c r="JO60" s="185"/>
      <c r="JP60" s="185"/>
      <c r="JQ60" s="185"/>
      <c r="JR60" s="185"/>
      <c r="JS60" s="185"/>
      <c r="JT60" s="185"/>
      <c r="JU60" s="185"/>
      <c r="JV60" s="185"/>
      <c r="JW60" s="185"/>
      <c r="JX60" s="185"/>
      <c r="JY60" s="185"/>
      <c r="JZ60" s="185"/>
      <c r="KA60" s="185"/>
      <c r="KB60" s="185"/>
      <c r="KC60" s="185"/>
      <c r="KD60" s="185"/>
      <c r="KE60" s="185"/>
      <c r="KF60" s="185"/>
      <c r="KG60" s="185"/>
      <c r="KH60" s="315"/>
      <c r="KI60" s="315"/>
      <c r="KJ60" s="315"/>
      <c r="KK60" s="315"/>
      <c r="KL60" s="315"/>
      <c r="KM60" s="315"/>
      <c r="KN60" s="315"/>
      <c r="KO60" s="315"/>
      <c r="KP60" s="315"/>
      <c r="KQ60" s="315"/>
      <c r="KR60" s="315"/>
      <c r="KS60" s="315"/>
      <c r="KT60" s="315"/>
      <c r="KU60" s="315"/>
      <c r="KV60" s="315"/>
      <c r="KW60" s="315"/>
      <c r="KX60" s="315"/>
      <c r="KY60" s="315"/>
      <c r="KZ60" s="315"/>
      <c r="LA60" s="315"/>
      <c r="LB60" s="315"/>
      <c r="LC60" s="315"/>
    </row>
    <row r="61" ht="15.75" customHeight="1" spans="1:315">
      <c r="A61" s="136"/>
      <c r="B61" s="182"/>
      <c r="C61" s="183"/>
      <c r="D61" s="186"/>
      <c r="E61" s="185"/>
      <c r="F61" s="185"/>
      <c r="G61" s="185"/>
      <c r="H61" s="185"/>
      <c r="I61" s="185"/>
      <c r="J61" s="185"/>
      <c r="K61" s="185"/>
      <c r="L61" s="185"/>
      <c r="M61" s="185"/>
      <c r="N61" s="185"/>
      <c r="O61" s="185"/>
      <c r="P61" s="185"/>
      <c r="Q61" s="185"/>
      <c r="R61" s="185"/>
      <c r="S61" s="185"/>
      <c r="T61" s="185"/>
      <c r="U61" s="185"/>
      <c r="V61" s="185"/>
      <c r="W61" s="185"/>
      <c r="X61" s="185"/>
      <c r="Y61" s="185"/>
      <c r="Z61" s="185"/>
      <c r="AA61" s="185"/>
      <c r="AB61" s="185"/>
      <c r="AC61" s="185"/>
      <c r="AD61" s="185"/>
      <c r="AE61" s="185"/>
      <c r="AF61" s="185"/>
      <c r="AG61" s="185"/>
      <c r="AH61" s="185"/>
      <c r="AI61" s="185"/>
      <c r="AJ61" s="185"/>
      <c r="AK61" s="185"/>
      <c r="AL61" s="185"/>
      <c r="AM61" s="185"/>
      <c r="AN61" s="185"/>
      <c r="AO61" s="185"/>
      <c r="AP61" s="185"/>
      <c r="AQ61" s="185"/>
      <c r="AR61" s="185"/>
      <c r="AS61" s="185"/>
      <c r="AT61" s="185"/>
      <c r="AU61" s="185"/>
      <c r="AV61" s="185"/>
      <c r="AW61" s="185"/>
      <c r="AX61" s="185"/>
      <c r="AY61" s="185"/>
      <c r="AZ61" s="185"/>
      <c r="BA61" s="185"/>
      <c r="BB61" s="185"/>
      <c r="BC61" s="185"/>
      <c r="BD61" s="185"/>
      <c r="BE61" s="185"/>
      <c r="BF61" s="185"/>
      <c r="BG61" s="185"/>
      <c r="BH61" s="185"/>
      <c r="BI61" s="185"/>
      <c r="BJ61" s="185"/>
      <c r="BK61" s="185"/>
      <c r="BL61" s="185"/>
      <c r="BM61" s="185"/>
      <c r="BN61" s="185"/>
      <c r="BO61" s="185"/>
      <c r="BP61" s="185"/>
      <c r="BQ61" s="185"/>
      <c r="BR61" s="185"/>
      <c r="BS61" s="185"/>
      <c r="BT61" s="185"/>
      <c r="BU61" s="185"/>
      <c r="BV61" s="185"/>
      <c r="BW61" s="185"/>
      <c r="BX61" s="185"/>
      <c r="BY61" s="185"/>
      <c r="BZ61" s="185"/>
      <c r="CA61" s="185"/>
      <c r="CB61" s="185"/>
      <c r="CC61" s="185"/>
      <c r="CD61" s="185"/>
      <c r="CE61" s="185"/>
      <c r="CF61" s="185"/>
      <c r="CG61" s="185"/>
      <c r="CH61" s="185"/>
      <c r="CI61" s="185"/>
      <c r="CJ61" s="185"/>
      <c r="CK61" s="185"/>
      <c r="CL61" s="185"/>
      <c r="CM61" s="185"/>
      <c r="CN61" s="185"/>
      <c r="CO61" s="185"/>
      <c r="CP61" s="185"/>
      <c r="CQ61" s="185"/>
      <c r="CR61" s="185"/>
      <c r="CS61" s="185"/>
      <c r="CT61" s="185"/>
      <c r="CU61" s="185"/>
      <c r="CV61" s="185"/>
      <c r="CW61" s="185"/>
      <c r="CX61" s="185"/>
      <c r="CY61" s="185"/>
      <c r="CZ61" s="185"/>
      <c r="DA61" s="185"/>
      <c r="DB61" s="185"/>
      <c r="DC61" s="185"/>
      <c r="DD61" s="185"/>
      <c r="DE61" s="185"/>
      <c r="DF61" s="185"/>
      <c r="DG61" s="185"/>
      <c r="DH61" s="185"/>
      <c r="DI61" s="185"/>
      <c r="DJ61" s="185"/>
      <c r="DK61" s="185"/>
      <c r="DL61" s="185"/>
      <c r="DM61" s="185"/>
      <c r="DN61" s="185"/>
      <c r="DO61" s="185"/>
      <c r="DP61" s="185"/>
      <c r="DQ61" s="185"/>
      <c r="DR61" s="185"/>
      <c r="DS61" s="185"/>
      <c r="DT61" s="185"/>
      <c r="DU61" s="185"/>
      <c r="DV61" s="185"/>
      <c r="DW61" s="185"/>
      <c r="DX61" s="185"/>
      <c r="DY61" s="185"/>
      <c r="DZ61" s="185"/>
      <c r="EA61" s="185"/>
      <c r="EB61" s="185"/>
      <c r="EC61" s="185"/>
      <c r="ED61" s="185"/>
      <c r="EE61" s="185"/>
      <c r="EF61" s="185"/>
      <c r="EG61" s="185"/>
      <c r="EH61" s="185"/>
      <c r="EI61" s="185"/>
      <c r="EJ61" s="185"/>
      <c r="EK61" s="185"/>
      <c r="EL61" s="185"/>
      <c r="EM61" s="185"/>
      <c r="EN61" s="185"/>
      <c r="EO61" s="185"/>
      <c r="EP61" s="185"/>
      <c r="EQ61" s="185"/>
      <c r="ER61" s="185"/>
      <c r="ES61" s="185"/>
      <c r="ET61" s="185"/>
      <c r="EU61" s="185"/>
      <c r="EV61" s="185"/>
      <c r="EW61" s="185"/>
      <c r="EX61" s="185"/>
      <c r="EY61" s="185"/>
      <c r="EZ61" s="185"/>
      <c r="FA61" s="185"/>
      <c r="FB61" s="185"/>
      <c r="FC61" s="185"/>
      <c r="FD61" s="185"/>
      <c r="FE61" s="185"/>
      <c r="FF61" s="185"/>
      <c r="FG61" s="185"/>
      <c r="FH61" s="185"/>
      <c r="FI61" s="185"/>
      <c r="FJ61" s="185"/>
      <c r="FK61" s="185"/>
      <c r="FL61" s="185"/>
      <c r="FM61" s="185"/>
      <c r="FN61" s="315"/>
      <c r="FO61" s="313"/>
      <c r="FQ61" s="185"/>
      <c r="FR61" s="185"/>
      <c r="FS61" s="185"/>
      <c r="FT61" s="185"/>
      <c r="FU61" s="185"/>
      <c r="FV61" s="185"/>
      <c r="FW61" s="185"/>
      <c r="FX61" s="185"/>
      <c r="FY61" s="185"/>
      <c r="FZ61" s="185"/>
      <c r="GA61" s="185"/>
      <c r="GB61" s="185"/>
      <c r="GC61" s="185"/>
      <c r="GD61" s="185"/>
      <c r="GE61" s="185"/>
      <c r="GF61" s="185"/>
      <c r="GG61" s="185"/>
      <c r="GH61" s="185"/>
      <c r="GI61" s="185"/>
      <c r="GJ61" s="185"/>
      <c r="GK61" s="185"/>
      <c r="GL61" s="185"/>
      <c r="GM61" s="185"/>
      <c r="GN61" s="185"/>
      <c r="GO61" s="185"/>
      <c r="GP61" s="185"/>
      <c r="GQ61" s="185"/>
      <c r="GR61" s="185"/>
      <c r="GS61" s="185"/>
      <c r="GT61" s="185"/>
      <c r="GU61" s="185"/>
      <c r="GV61" s="185"/>
      <c r="GW61" s="185"/>
      <c r="GX61" s="185"/>
      <c r="GY61" s="185"/>
      <c r="GZ61" s="185"/>
      <c r="HA61" s="185"/>
      <c r="HB61" s="185"/>
      <c r="HC61" s="185"/>
      <c r="HD61" s="185"/>
      <c r="HE61" s="185"/>
      <c r="HF61" s="185"/>
      <c r="HG61" s="185"/>
      <c r="HH61" s="185"/>
      <c r="HI61" s="185"/>
      <c r="HJ61" s="185"/>
      <c r="HK61" s="185"/>
      <c r="HL61" s="185"/>
      <c r="HM61" s="185"/>
      <c r="HN61" s="185"/>
      <c r="HO61" s="185"/>
      <c r="HP61" s="185"/>
      <c r="HQ61" s="185"/>
      <c r="HR61" s="185"/>
      <c r="HS61" s="185"/>
      <c r="HT61" s="185"/>
      <c r="HU61" s="185"/>
      <c r="HV61" s="185"/>
      <c r="HW61" s="185"/>
      <c r="HX61" s="185"/>
      <c r="HY61" s="185"/>
      <c r="HZ61" s="185"/>
      <c r="IA61" s="185"/>
      <c r="IB61" s="185"/>
      <c r="IC61" s="185"/>
      <c r="ID61" s="185"/>
      <c r="IE61" s="185"/>
      <c r="IF61" s="185"/>
      <c r="IG61" s="185"/>
      <c r="IH61" s="185"/>
      <c r="II61" s="185"/>
      <c r="IJ61" s="185"/>
      <c r="IK61" s="185"/>
      <c r="IL61" s="185"/>
      <c r="IM61" s="185"/>
      <c r="IN61" s="185"/>
      <c r="IO61" s="185"/>
      <c r="IP61" s="185"/>
      <c r="IQ61" s="185"/>
      <c r="IR61" s="185"/>
      <c r="IS61" s="185"/>
      <c r="IT61" s="185"/>
      <c r="IU61" s="185"/>
      <c r="IV61" s="185"/>
      <c r="IW61" s="185"/>
      <c r="IX61" s="185"/>
      <c r="IY61" s="185"/>
      <c r="IZ61" s="185"/>
      <c r="JA61" s="185"/>
      <c r="JB61" s="185"/>
      <c r="JC61" s="185"/>
      <c r="JD61" s="185"/>
      <c r="JE61" s="185"/>
      <c r="JF61" s="185"/>
      <c r="JG61" s="185"/>
      <c r="JH61" s="185"/>
      <c r="JI61" s="185"/>
      <c r="JJ61" s="185"/>
      <c r="JK61" s="185"/>
      <c r="JL61" s="185"/>
      <c r="JM61" s="185"/>
      <c r="JN61" s="185"/>
      <c r="JO61" s="185"/>
      <c r="JP61" s="185"/>
      <c r="JQ61" s="185"/>
      <c r="JR61" s="185"/>
      <c r="JS61" s="185"/>
      <c r="JT61" s="185"/>
      <c r="JU61" s="185"/>
      <c r="JV61" s="185"/>
      <c r="JW61" s="185"/>
      <c r="JX61" s="185"/>
      <c r="JY61" s="185"/>
      <c r="JZ61" s="185"/>
      <c r="KA61" s="185"/>
      <c r="KB61" s="185"/>
      <c r="KC61" s="185"/>
      <c r="KD61" s="185"/>
      <c r="KE61" s="185"/>
      <c r="KF61" s="185"/>
      <c r="KG61" s="185"/>
      <c r="KH61" s="315"/>
      <c r="KI61" s="315"/>
      <c r="KJ61" s="315"/>
      <c r="KK61" s="315"/>
      <c r="KL61" s="315"/>
      <c r="KM61" s="315"/>
      <c r="KN61" s="315"/>
      <c r="KO61" s="315"/>
      <c r="KP61" s="315"/>
      <c r="KQ61" s="315"/>
      <c r="KR61" s="315"/>
      <c r="KS61" s="315"/>
      <c r="KT61" s="315"/>
      <c r="KU61" s="315"/>
      <c r="KV61" s="315"/>
      <c r="KW61" s="315"/>
      <c r="KX61" s="315"/>
      <c r="KY61" s="315"/>
      <c r="KZ61" s="315"/>
      <c r="LA61" s="315"/>
      <c r="LB61" s="315"/>
      <c r="LC61" s="315"/>
    </row>
    <row r="62" ht="15.75" customHeight="1" spans="1:315">
      <c r="A62" s="136"/>
      <c r="B62" s="182"/>
      <c r="C62" s="183"/>
      <c r="D62" s="187"/>
      <c r="E62" s="185"/>
      <c r="F62" s="185"/>
      <c r="G62" s="185"/>
      <c r="H62" s="185"/>
      <c r="I62" s="185"/>
      <c r="J62" s="185"/>
      <c r="K62" s="185"/>
      <c r="L62" s="185"/>
      <c r="M62" s="185"/>
      <c r="N62" s="185"/>
      <c r="O62" s="185"/>
      <c r="P62" s="185"/>
      <c r="Q62" s="185"/>
      <c r="R62" s="185"/>
      <c r="S62" s="185"/>
      <c r="T62" s="185"/>
      <c r="U62" s="185"/>
      <c r="V62" s="185"/>
      <c r="W62" s="185"/>
      <c r="X62" s="185"/>
      <c r="Y62" s="185"/>
      <c r="Z62" s="185"/>
      <c r="AA62" s="185"/>
      <c r="AB62" s="185"/>
      <c r="AC62" s="185"/>
      <c r="AD62" s="185"/>
      <c r="AE62" s="185"/>
      <c r="AF62" s="185"/>
      <c r="AG62" s="185"/>
      <c r="AH62" s="185"/>
      <c r="AI62" s="185"/>
      <c r="AJ62" s="185"/>
      <c r="AK62" s="185"/>
      <c r="AL62" s="185"/>
      <c r="AM62" s="185"/>
      <c r="AN62" s="185"/>
      <c r="AO62" s="185"/>
      <c r="AP62" s="185"/>
      <c r="AQ62" s="185"/>
      <c r="AR62" s="185"/>
      <c r="AS62" s="185"/>
      <c r="AT62" s="185"/>
      <c r="AU62" s="185"/>
      <c r="AV62" s="185"/>
      <c r="AW62" s="185"/>
      <c r="AX62" s="185"/>
      <c r="AY62" s="185"/>
      <c r="AZ62" s="185"/>
      <c r="BA62" s="185"/>
      <c r="BB62" s="185"/>
      <c r="BC62" s="185"/>
      <c r="BD62" s="185"/>
      <c r="BE62" s="185"/>
      <c r="BF62" s="185"/>
      <c r="BG62" s="185"/>
      <c r="BH62" s="185"/>
      <c r="BI62" s="185"/>
      <c r="BJ62" s="185"/>
      <c r="BK62" s="185"/>
      <c r="BL62" s="185"/>
      <c r="BM62" s="185"/>
      <c r="BN62" s="185"/>
      <c r="BO62" s="185"/>
      <c r="BP62" s="185"/>
      <c r="BQ62" s="185"/>
      <c r="BR62" s="185"/>
      <c r="BS62" s="185"/>
      <c r="BT62" s="185"/>
      <c r="BU62" s="185"/>
      <c r="BV62" s="185"/>
      <c r="BW62" s="185"/>
      <c r="BX62" s="185"/>
      <c r="BY62" s="185"/>
      <c r="BZ62" s="185"/>
      <c r="CA62" s="185"/>
      <c r="CB62" s="185"/>
      <c r="CC62" s="185"/>
      <c r="CD62" s="185"/>
      <c r="CE62" s="185"/>
      <c r="CF62" s="185"/>
      <c r="CG62" s="185"/>
      <c r="CH62" s="185"/>
      <c r="CI62" s="185"/>
      <c r="CJ62" s="185"/>
      <c r="CK62" s="185"/>
      <c r="CL62" s="185"/>
      <c r="CM62" s="185"/>
      <c r="CN62" s="185"/>
      <c r="CO62" s="185"/>
      <c r="CP62" s="185"/>
      <c r="CQ62" s="185"/>
      <c r="CR62" s="185"/>
      <c r="CS62" s="185"/>
      <c r="CT62" s="185"/>
      <c r="CU62" s="185"/>
      <c r="CV62" s="185"/>
      <c r="CW62" s="185"/>
      <c r="CX62" s="185"/>
      <c r="CY62" s="185"/>
      <c r="CZ62" s="185"/>
      <c r="DA62" s="185"/>
      <c r="DB62" s="185"/>
      <c r="DC62" s="185"/>
      <c r="DD62" s="185"/>
      <c r="DE62" s="185"/>
      <c r="DF62" s="185"/>
      <c r="DG62" s="185"/>
      <c r="DH62" s="185"/>
      <c r="DI62" s="185"/>
      <c r="DJ62" s="185"/>
      <c r="DK62" s="185"/>
      <c r="DL62" s="185"/>
      <c r="DM62" s="185"/>
      <c r="DN62" s="185"/>
      <c r="DO62" s="185"/>
      <c r="DP62" s="185"/>
      <c r="DQ62" s="185"/>
      <c r="DR62" s="185"/>
      <c r="DS62" s="185"/>
      <c r="DT62" s="185"/>
      <c r="DU62" s="185"/>
      <c r="DV62" s="185"/>
      <c r="DW62" s="185"/>
      <c r="DX62" s="185"/>
      <c r="DY62" s="185"/>
      <c r="DZ62" s="185"/>
      <c r="EA62" s="185"/>
      <c r="EB62" s="185"/>
      <c r="EC62" s="185"/>
      <c r="ED62" s="185"/>
      <c r="EE62" s="185"/>
      <c r="EF62" s="185"/>
      <c r="EG62" s="185"/>
      <c r="EH62" s="185"/>
      <c r="EI62" s="185"/>
      <c r="EJ62" s="185"/>
      <c r="EK62" s="185"/>
      <c r="EL62" s="185"/>
      <c r="EM62" s="185"/>
      <c r="EN62" s="185"/>
      <c r="EO62" s="185"/>
      <c r="EP62" s="185"/>
      <c r="EQ62" s="185"/>
      <c r="ER62" s="185"/>
      <c r="ES62" s="185"/>
      <c r="ET62" s="185"/>
      <c r="EU62" s="185"/>
      <c r="EV62" s="185"/>
      <c r="EW62" s="185"/>
      <c r="EX62" s="185"/>
      <c r="EY62" s="185"/>
      <c r="EZ62" s="185"/>
      <c r="FA62" s="185"/>
      <c r="FB62" s="185"/>
      <c r="FC62" s="185"/>
      <c r="FD62" s="185"/>
      <c r="FE62" s="185"/>
      <c r="FF62" s="185"/>
      <c r="FG62" s="185"/>
      <c r="FH62" s="185"/>
      <c r="FI62" s="185"/>
      <c r="FJ62" s="185"/>
      <c r="FK62" s="185"/>
      <c r="FL62" s="185"/>
      <c r="FM62" s="185"/>
      <c r="FN62" s="315"/>
      <c r="FO62" s="313"/>
      <c r="FQ62" s="185"/>
      <c r="FR62" s="185"/>
      <c r="FS62" s="185"/>
      <c r="FT62" s="185"/>
      <c r="FU62" s="185"/>
      <c r="FV62" s="185"/>
      <c r="FW62" s="185"/>
      <c r="FX62" s="185"/>
      <c r="FY62" s="185"/>
      <c r="FZ62" s="185"/>
      <c r="GA62" s="185"/>
      <c r="GB62" s="185"/>
      <c r="GC62" s="185"/>
      <c r="GD62" s="185"/>
      <c r="GE62" s="185"/>
      <c r="GF62" s="185"/>
      <c r="GG62" s="185"/>
      <c r="GH62" s="185"/>
      <c r="GI62" s="185"/>
      <c r="GJ62" s="185"/>
      <c r="GK62" s="185"/>
      <c r="GL62" s="185"/>
      <c r="GM62" s="185"/>
      <c r="GN62" s="185"/>
      <c r="GO62" s="185"/>
      <c r="GP62" s="185"/>
      <c r="GQ62" s="185"/>
      <c r="GR62" s="185"/>
      <c r="GS62" s="185"/>
      <c r="GT62" s="185"/>
      <c r="GU62" s="185"/>
      <c r="GV62" s="185"/>
      <c r="GW62" s="185"/>
      <c r="GX62" s="185"/>
      <c r="GY62" s="185"/>
      <c r="GZ62" s="185"/>
      <c r="HA62" s="185"/>
      <c r="HB62" s="185"/>
      <c r="HC62" s="185"/>
      <c r="HD62" s="185"/>
      <c r="HE62" s="185"/>
      <c r="HF62" s="185"/>
      <c r="HG62" s="185"/>
      <c r="HH62" s="185"/>
      <c r="HI62" s="185"/>
      <c r="HJ62" s="185"/>
      <c r="HK62" s="185"/>
      <c r="HL62" s="185"/>
      <c r="HM62" s="185"/>
      <c r="HN62" s="185"/>
      <c r="HO62" s="185"/>
      <c r="HP62" s="185"/>
      <c r="HQ62" s="185"/>
      <c r="HR62" s="185"/>
      <c r="HS62" s="185"/>
      <c r="HT62" s="185"/>
      <c r="HU62" s="185"/>
      <c r="HV62" s="185"/>
      <c r="HW62" s="185"/>
      <c r="HX62" s="185"/>
      <c r="HY62" s="185"/>
      <c r="HZ62" s="185"/>
      <c r="IA62" s="185"/>
      <c r="IB62" s="185"/>
      <c r="IC62" s="185"/>
      <c r="ID62" s="185"/>
      <c r="IE62" s="185"/>
      <c r="IF62" s="185"/>
      <c r="IG62" s="185"/>
      <c r="IH62" s="185"/>
      <c r="II62" s="185"/>
      <c r="IJ62" s="185"/>
      <c r="IK62" s="185"/>
      <c r="IL62" s="185"/>
      <c r="IM62" s="185"/>
      <c r="IN62" s="185"/>
      <c r="IO62" s="185"/>
      <c r="IP62" s="185"/>
      <c r="IQ62" s="185"/>
      <c r="IR62" s="185"/>
      <c r="IS62" s="185"/>
      <c r="IT62" s="185"/>
      <c r="IU62" s="185"/>
      <c r="IV62" s="185"/>
      <c r="IW62" s="185"/>
      <c r="IX62" s="185"/>
      <c r="IY62" s="185"/>
      <c r="IZ62" s="185"/>
      <c r="JA62" s="185"/>
      <c r="JB62" s="185"/>
      <c r="JC62" s="185"/>
      <c r="JD62" s="185"/>
      <c r="JE62" s="185"/>
      <c r="JF62" s="185"/>
      <c r="JG62" s="185"/>
      <c r="JH62" s="185"/>
      <c r="JI62" s="185"/>
      <c r="JJ62" s="185"/>
      <c r="JK62" s="185"/>
      <c r="JL62" s="185"/>
      <c r="JM62" s="185"/>
      <c r="JN62" s="185"/>
      <c r="JO62" s="185"/>
      <c r="JP62" s="185"/>
      <c r="JQ62" s="185"/>
      <c r="JR62" s="185"/>
      <c r="JS62" s="185"/>
      <c r="JT62" s="185"/>
      <c r="JU62" s="185"/>
      <c r="JV62" s="185"/>
      <c r="JW62" s="185"/>
      <c r="JX62" s="185"/>
      <c r="JY62" s="185"/>
      <c r="JZ62" s="185"/>
      <c r="KA62" s="185"/>
      <c r="KB62" s="185"/>
      <c r="KC62" s="185"/>
      <c r="KD62" s="185"/>
      <c r="KE62" s="185"/>
      <c r="KF62" s="185"/>
      <c r="KG62" s="185"/>
      <c r="KH62" s="315"/>
      <c r="KI62" s="315"/>
      <c r="KJ62" s="315"/>
      <c r="KK62" s="315"/>
      <c r="KL62" s="315"/>
      <c r="KM62" s="315"/>
      <c r="KN62" s="315"/>
      <c r="KO62" s="315"/>
      <c r="KP62" s="315"/>
      <c r="KQ62" s="315"/>
      <c r="KR62" s="315"/>
      <c r="KS62" s="315"/>
      <c r="KT62" s="315"/>
      <c r="KU62" s="315"/>
      <c r="KV62" s="315"/>
      <c r="KW62" s="315"/>
      <c r="KX62" s="315"/>
      <c r="KY62" s="315"/>
      <c r="KZ62" s="315"/>
      <c r="LA62" s="315"/>
      <c r="LB62" s="315"/>
      <c r="LC62" s="315"/>
    </row>
    <row r="63" ht="15.75" customHeight="1" spans="1:315">
      <c r="A63" s="136"/>
      <c r="B63" s="182"/>
      <c r="C63" s="183"/>
      <c r="D63" s="187"/>
      <c r="E63" s="185"/>
      <c r="F63" s="185"/>
      <c r="G63" s="185"/>
      <c r="H63" s="185"/>
      <c r="I63" s="185"/>
      <c r="J63" s="185"/>
      <c r="K63" s="185"/>
      <c r="L63" s="185"/>
      <c r="M63" s="185"/>
      <c r="N63" s="185"/>
      <c r="O63" s="185"/>
      <c r="P63" s="185"/>
      <c r="Q63" s="185"/>
      <c r="R63" s="185"/>
      <c r="S63" s="185"/>
      <c r="T63" s="185"/>
      <c r="U63" s="185"/>
      <c r="V63" s="185"/>
      <c r="W63" s="185"/>
      <c r="X63" s="185"/>
      <c r="Y63" s="185"/>
      <c r="Z63" s="185"/>
      <c r="AA63" s="185"/>
      <c r="AB63" s="185"/>
      <c r="AC63" s="185"/>
      <c r="AD63" s="185"/>
      <c r="AE63" s="185"/>
      <c r="AF63" s="185"/>
      <c r="AG63" s="185"/>
      <c r="AH63" s="185"/>
      <c r="AI63" s="185"/>
      <c r="AJ63" s="185"/>
      <c r="AK63" s="185"/>
      <c r="AL63" s="185"/>
      <c r="AM63" s="185"/>
      <c r="AN63" s="185"/>
      <c r="AO63" s="185"/>
      <c r="AP63" s="185"/>
      <c r="AQ63" s="185"/>
      <c r="AR63" s="185"/>
      <c r="AS63" s="185"/>
      <c r="AT63" s="185"/>
      <c r="AU63" s="185"/>
      <c r="AV63" s="185"/>
      <c r="AW63" s="185"/>
      <c r="AX63" s="185"/>
      <c r="AY63" s="185"/>
      <c r="AZ63" s="185"/>
      <c r="BA63" s="185"/>
      <c r="BB63" s="185"/>
      <c r="BC63" s="185"/>
      <c r="BD63" s="185"/>
      <c r="BE63" s="185"/>
      <c r="BF63" s="185"/>
      <c r="BG63" s="185"/>
      <c r="BH63" s="185"/>
      <c r="BI63" s="185"/>
      <c r="BJ63" s="185"/>
      <c r="BK63" s="185"/>
      <c r="BL63" s="185"/>
      <c r="BM63" s="185"/>
      <c r="BN63" s="185"/>
      <c r="BO63" s="185"/>
      <c r="BP63" s="185"/>
      <c r="BQ63" s="185"/>
      <c r="BR63" s="185"/>
      <c r="BS63" s="185"/>
      <c r="BT63" s="185"/>
      <c r="BU63" s="185"/>
      <c r="BV63" s="185"/>
      <c r="BW63" s="185"/>
      <c r="BX63" s="185"/>
      <c r="BY63" s="185"/>
      <c r="BZ63" s="185"/>
      <c r="CA63" s="185"/>
      <c r="CB63" s="185"/>
      <c r="CC63" s="185"/>
      <c r="CD63" s="185"/>
      <c r="CE63" s="185"/>
      <c r="CF63" s="185"/>
      <c r="CG63" s="185"/>
      <c r="CH63" s="185"/>
      <c r="CI63" s="185"/>
      <c r="CJ63" s="185"/>
      <c r="CK63" s="185"/>
      <c r="CL63" s="185"/>
      <c r="CM63" s="185"/>
      <c r="CN63" s="185"/>
      <c r="CO63" s="185"/>
      <c r="CP63" s="185"/>
      <c r="CQ63" s="185"/>
      <c r="CR63" s="185"/>
      <c r="CS63" s="185"/>
      <c r="CT63" s="185"/>
      <c r="CU63" s="185"/>
      <c r="CV63" s="185"/>
      <c r="CW63" s="185"/>
      <c r="CX63" s="185"/>
      <c r="CY63" s="185"/>
      <c r="CZ63" s="185"/>
      <c r="DA63" s="185"/>
      <c r="DB63" s="185"/>
      <c r="DC63" s="185"/>
      <c r="DD63" s="185"/>
      <c r="DE63" s="185"/>
      <c r="DF63" s="185"/>
      <c r="DG63" s="185"/>
      <c r="DH63" s="185"/>
      <c r="DI63" s="185"/>
      <c r="DJ63" s="185"/>
      <c r="DK63" s="185"/>
      <c r="DL63" s="185"/>
      <c r="DM63" s="185"/>
      <c r="DN63" s="185"/>
      <c r="DO63" s="185"/>
      <c r="DP63" s="185"/>
      <c r="DQ63" s="185"/>
      <c r="DR63" s="185"/>
      <c r="DS63" s="185"/>
      <c r="DT63" s="185"/>
      <c r="DU63" s="185"/>
      <c r="DV63" s="185"/>
      <c r="DW63" s="185"/>
      <c r="DX63" s="185"/>
      <c r="DY63" s="185"/>
      <c r="DZ63" s="185"/>
      <c r="EA63" s="185"/>
      <c r="EB63" s="185"/>
      <c r="EC63" s="185"/>
      <c r="ED63" s="185"/>
      <c r="EE63" s="185"/>
      <c r="EF63" s="185"/>
      <c r="EG63" s="185"/>
      <c r="EH63" s="185"/>
      <c r="EI63" s="185"/>
      <c r="EJ63" s="185"/>
      <c r="EK63" s="185"/>
      <c r="EL63" s="185"/>
      <c r="EM63" s="185"/>
      <c r="EN63" s="185"/>
      <c r="EO63" s="185"/>
      <c r="EP63" s="185"/>
      <c r="EQ63" s="185"/>
      <c r="ER63" s="185"/>
      <c r="ES63" s="185"/>
      <c r="ET63" s="185"/>
      <c r="EU63" s="185"/>
      <c r="EV63" s="185"/>
      <c r="EW63" s="185"/>
      <c r="EX63" s="185"/>
      <c r="EY63" s="185"/>
      <c r="EZ63" s="185"/>
      <c r="FA63" s="185"/>
      <c r="FB63" s="185"/>
      <c r="FC63" s="185"/>
      <c r="FD63" s="185"/>
      <c r="FE63" s="185"/>
      <c r="FF63" s="185"/>
      <c r="FG63" s="185"/>
      <c r="FH63" s="185"/>
      <c r="FI63" s="185"/>
      <c r="FJ63" s="185"/>
      <c r="FK63" s="185"/>
      <c r="FL63" s="185"/>
      <c r="FM63" s="185"/>
      <c r="FN63" s="315"/>
      <c r="FO63" s="313"/>
      <c r="FQ63" s="185"/>
      <c r="FR63" s="185"/>
      <c r="FS63" s="185"/>
      <c r="FT63" s="185"/>
      <c r="FU63" s="185"/>
      <c r="FV63" s="185"/>
      <c r="FW63" s="185"/>
      <c r="FX63" s="185"/>
      <c r="FY63" s="185"/>
      <c r="FZ63" s="185"/>
      <c r="GA63" s="185"/>
      <c r="GB63" s="185"/>
      <c r="GC63" s="185"/>
      <c r="GD63" s="185"/>
      <c r="GE63" s="185"/>
      <c r="GF63" s="185"/>
      <c r="GG63" s="185"/>
      <c r="GH63" s="185"/>
      <c r="GI63" s="185"/>
      <c r="GJ63" s="185"/>
      <c r="GK63" s="185"/>
      <c r="GL63" s="185"/>
      <c r="GM63" s="185"/>
      <c r="GN63" s="185"/>
      <c r="GO63" s="185"/>
      <c r="GP63" s="185"/>
      <c r="GQ63" s="185"/>
      <c r="GR63" s="185"/>
      <c r="GS63" s="185"/>
      <c r="GT63" s="185"/>
      <c r="GU63" s="185"/>
      <c r="GV63" s="185"/>
      <c r="GW63" s="185"/>
      <c r="GX63" s="185"/>
      <c r="GY63" s="185"/>
      <c r="GZ63" s="185"/>
      <c r="HA63" s="185"/>
      <c r="HB63" s="185"/>
      <c r="HC63" s="185"/>
      <c r="HD63" s="185"/>
      <c r="HE63" s="185"/>
      <c r="HF63" s="185"/>
      <c r="HG63" s="185"/>
      <c r="HH63" s="185"/>
      <c r="HI63" s="185"/>
      <c r="HJ63" s="185"/>
      <c r="HK63" s="185"/>
      <c r="HL63" s="185"/>
      <c r="HM63" s="185"/>
      <c r="HN63" s="185"/>
      <c r="HO63" s="185"/>
      <c r="HP63" s="185"/>
      <c r="HQ63" s="185"/>
      <c r="HR63" s="185"/>
      <c r="HS63" s="185"/>
      <c r="HT63" s="185"/>
      <c r="HU63" s="185"/>
      <c r="HV63" s="185"/>
      <c r="HW63" s="185"/>
      <c r="HX63" s="185"/>
      <c r="HY63" s="185"/>
      <c r="HZ63" s="185"/>
      <c r="IA63" s="185"/>
      <c r="IB63" s="185"/>
      <c r="IC63" s="185"/>
      <c r="ID63" s="185"/>
      <c r="IE63" s="185"/>
      <c r="IF63" s="185"/>
      <c r="IG63" s="185"/>
      <c r="IH63" s="185"/>
      <c r="II63" s="185"/>
      <c r="IJ63" s="185"/>
      <c r="IK63" s="185"/>
      <c r="IL63" s="185"/>
      <c r="IM63" s="185"/>
      <c r="IN63" s="185"/>
      <c r="IO63" s="185"/>
      <c r="IP63" s="185"/>
      <c r="IQ63" s="185"/>
      <c r="IR63" s="185"/>
      <c r="IS63" s="185"/>
      <c r="IT63" s="185"/>
      <c r="IU63" s="185"/>
      <c r="IV63" s="185"/>
      <c r="IW63" s="185"/>
      <c r="IX63" s="185"/>
      <c r="IY63" s="185"/>
      <c r="IZ63" s="185"/>
      <c r="JA63" s="185"/>
      <c r="JB63" s="185"/>
      <c r="JC63" s="185"/>
      <c r="JD63" s="185"/>
      <c r="JE63" s="185"/>
      <c r="JF63" s="185"/>
      <c r="JG63" s="185"/>
      <c r="JH63" s="185"/>
      <c r="JI63" s="185"/>
      <c r="JJ63" s="185"/>
      <c r="JK63" s="185"/>
      <c r="JL63" s="185"/>
      <c r="JM63" s="185"/>
      <c r="JN63" s="185"/>
      <c r="JO63" s="185"/>
      <c r="JP63" s="185"/>
      <c r="JQ63" s="185"/>
      <c r="JR63" s="185"/>
      <c r="JS63" s="185"/>
      <c r="JT63" s="185"/>
      <c r="JU63" s="185"/>
      <c r="JV63" s="185"/>
      <c r="JW63" s="185"/>
      <c r="JX63" s="185"/>
      <c r="JY63" s="185"/>
      <c r="JZ63" s="185"/>
      <c r="KA63" s="185"/>
      <c r="KB63" s="185"/>
      <c r="KC63" s="185"/>
      <c r="KD63" s="185"/>
      <c r="KE63" s="185"/>
      <c r="KF63" s="185"/>
      <c r="KG63" s="185"/>
      <c r="KH63" s="315"/>
      <c r="KI63" s="315"/>
      <c r="KJ63" s="315"/>
      <c r="KK63" s="315"/>
      <c r="KL63" s="315"/>
      <c r="KM63" s="315"/>
      <c r="KN63" s="315"/>
      <c r="KO63" s="315"/>
      <c r="KP63" s="315"/>
      <c r="KQ63" s="315"/>
      <c r="KR63" s="315"/>
      <c r="KS63" s="315"/>
      <c r="KT63" s="315"/>
      <c r="KU63" s="315"/>
      <c r="KV63" s="315"/>
      <c r="KW63" s="315"/>
      <c r="KX63" s="315"/>
      <c r="KY63" s="315"/>
      <c r="KZ63" s="315"/>
      <c r="LA63" s="315"/>
      <c r="LB63" s="315"/>
      <c r="LC63" s="315"/>
    </row>
    <row r="64" ht="15.75" customHeight="1" spans="1:315">
      <c r="A64" s="136"/>
      <c r="B64" s="182"/>
      <c r="C64" s="183"/>
      <c r="D64" s="187"/>
      <c r="E64" s="185"/>
      <c r="F64" s="185"/>
      <c r="G64" s="185"/>
      <c r="H64" s="185"/>
      <c r="I64" s="185"/>
      <c r="J64" s="185"/>
      <c r="K64" s="185"/>
      <c r="L64" s="185"/>
      <c r="M64" s="185"/>
      <c r="N64" s="185"/>
      <c r="O64" s="185"/>
      <c r="P64" s="185"/>
      <c r="Q64" s="185"/>
      <c r="R64" s="185"/>
      <c r="S64" s="185"/>
      <c r="T64" s="185"/>
      <c r="U64" s="185"/>
      <c r="V64" s="185"/>
      <c r="W64" s="185"/>
      <c r="X64" s="185"/>
      <c r="Y64" s="185"/>
      <c r="Z64" s="185"/>
      <c r="AA64" s="185"/>
      <c r="AB64" s="185"/>
      <c r="AC64" s="185"/>
      <c r="AD64" s="185"/>
      <c r="AE64" s="185"/>
      <c r="AF64" s="185"/>
      <c r="AG64" s="185"/>
      <c r="AH64" s="185"/>
      <c r="AI64" s="185"/>
      <c r="AJ64" s="185"/>
      <c r="AK64" s="185"/>
      <c r="AL64" s="185"/>
      <c r="AM64" s="185"/>
      <c r="AN64" s="185"/>
      <c r="AO64" s="185"/>
      <c r="AP64" s="185"/>
      <c r="AQ64" s="185"/>
      <c r="AR64" s="185"/>
      <c r="AS64" s="185"/>
      <c r="AT64" s="185"/>
      <c r="AU64" s="185"/>
      <c r="AV64" s="185"/>
      <c r="AW64" s="185"/>
      <c r="AX64" s="185"/>
      <c r="AY64" s="185"/>
      <c r="AZ64" s="185"/>
      <c r="BA64" s="185"/>
      <c r="BB64" s="185"/>
      <c r="BC64" s="185"/>
      <c r="BD64" s="185"/>
      <c r="BE64" s="185"/>
      <c r="BF64" s="185"/>
      <c r="BG64" s="185"/>
      <c r="BH64" s="185"/>
      <c r="BI64" s="185"/>
      <c r="BJ64" s="185"/>
      <c r="BK64" s="185"/>
      <c r="BL64" s="185"/>
      <c r="BM64" s="185"/>
      <c r="BN64" s="185"/>
      <c r="BO64" s="185"/>
      <c r="BP64" s="185"/>
      <c r="BQ64" s="185"/>
      <c r="BR64" s="185"/>
      <c r="BS64" s="185"/>
      <c r="BT64" s="185"/>
      <c r="BU64" s="185"/>
      <c r="BV64" s="185"/>
      <c r="BW64" s="185"/>
      <c r="BX64" s="185"/>
      <c r="BY64" s="185"/>
      <c r="BZ64" s="185"/>
      <c r="CA64" s="185"/>
      <c r="CB64" s="185"/>
      <c r="CC64" s="185"/>
      <c r="CD64" s="185"/>
      <c r="CE64" s="185"/>
      <c r="CF64" s="185"/>
      <c r="CG64" s="185"/>
      <c r="CH64" s="185"/>
      <c r="CI64" s="185"/>
      <c r="CJ64" s="185"/>
      <c r="CK64" s="185"/>
      <c r="CL64" s="185"/>
      <c r="CM64" s="185"/>
      <c r="CN64" s="185"/>
      <c r="CO64" s="185"/>
      <c r="CP64" s="185"/>
      <c r="CQ64" s="185"/>
      <c r="CR64" s="185"/>
      <c r="CS64" s="185"/>
      <c r="CT64" s="185"/>
      <c r="CU64" s="185"/>
      <c r="CV64" s="185"/>
      <c r="CW64" s="185"/>
      <c r="CX64" s="185"/>
      <c r="CY64" s="185"/>
      <c r="CZ64" s="185"/>
      <c r="DA64" s="185"/>
      <c r="DB64" s="185"/>
      <c r="DC64" s="185"/>
      <c r="DD64" s="185"/>
      <c r="DE64" s="185"/>
      <c r="DF64" s="185"/>
      <c r="DG64" s="185"/>
      <c r="DH64" s="185"/>
      <c r="DI64" s="185"/>
      <c r="DJ64" s="185"/>
      <c r="DK64" s="185"/>
      <c r="DL64" s="185"/>
      <c r="DM64" s="185"/>
      <c r="DN64" s="185"/>
      <c r="DO64" s="185"/>
      <c r="DP64" s="185"/>
      <c r="DQ64" s="185"/>
      <c r="DR64" s="185"/>
      <c r="DS64" s="185"/>
      <c r="DT64" s="185"/>
      <c r="DU64" s="185"/>
      <c r="DV64" s="185"/>
      <c r="DW64" s="185"/>
      <c r="DX64" s="185"/>
      <c r="DY64" s="185"/>
      <c r="DZ64" s="185"/>
      <c r="EA64" s="185"/>
      <c r="EB64" s="185"/>
      <c r="EC64" s="185"/>
      <c r="ED64" s="185"/>
      <c r="EE64" s="185"/>
      <c r="EF64" s="185"/>
      <c r="EG64" s="185"/>
      <c r="EH64" s="185"/>
      <c r="EI64" s="185"/>
      <c r="EJ64" s="185"/>
      <c r="EK64" s="185"/>
      <c r="EL64" s="185"/>
      <c r="EM64" s="185"/>
      <c r="EN64" s="185"/>
      <c r="EO64" s="185"/>
      <c r="EP64" s="185"/>
      <c r="EQ64" s="185"/>
      <c r="ER64" s="185"/>
      <c r="ES64" s="185"/>
      <c r="ET64" s="185"/>
      <c r="EU64" s="185"/>
      <c r="EV64" s="185"/>
      <c r="EW64" s="185"/>
      <c r="EX64" s="185"/>
      <c r="EY64" s="185"/>
      <c r="EZ64" s="185"/>
      <c r="FA64" s="185"/>
      <c r="FB64" s="185"/>
      <c r="FC64" s="185"/>
      <c r="FD64" s="185"/>
      <c r="FE64" s="185"/>
      <c r="FF64" s="185"/>
      <c r="FG64" s="185"/>
      <c r="FH64" s="185"/>
      <c r="FI64" s="185"/>
      <c r="FJ64" s="185"/>
      <c r="FK64" s="185"/>
      <c r="FL64" s="185"/>
      <c r="FM64" s="185"/>
      <c r="FN64" s="315"/>
      <c r="FO64" s="313"/>
      <c r="FQ64" s="185"/>
      <c r="FR64" s="185"/>
      <c r="FS64" s="185"/>
      <c r="FT64" s="185"/>
      <c r="FU64" s="185"/>
      <c r="FV64" s="185"/>
      <c r="FW64" s="185"/>
      <c r="FX64" s="185"/>
      <c r="FY64" s="185"/>
      <c r="FZ64" s="185"/>
      <c r="GA64" s="185"/>
      <c r="GB64" s="185"/>
      <c r="GC64" s="185"/>
      <c r="GD64" s="185"/>
      <c r="GE64" s="185"/>
      <c r="GF64" s="185"/>
      <c r="GG64" s="185"/>
      <c r="GH64" s="185"/>
      <c r="GI64" s="185"/>
      <c r="GJ64" s="185"/>
      <c r="GK64" s="185"/>
      <c r="GL64" s="185"/>
      <c r="GM64" s="185"/>
      <c r="GN64" s="185"/>
      <c r="GO64" s="185"/>
      <c r="GP64" s="185"/>
      <c r="GQ64" s="185"/>
      <c r="GR64" s="185"/>
      <c r="GS64" s="185"/>
      <c r="GT64" s="185"/>
      <c r="GU64" s="185"/>
      <c r="GV64" s="185"/>
      <c r="GW64" s="185"/>
      <c r="GX64" s="185"/>
      <c r="GY64" s="185"/>
      <c r="GZ64" s="185"/>
      <c r="HA64" s="185"/>
      <c r="HB64" s="185"/>
      <c r="HC64" s="185"/>
      <c r="HD64" s="185"/>
      <c r="HE64" s="185"/>
      <c r="HF64" s="185"/>
      <c r="HG64" s="185"/>
      <c r="HH64" s="185"/>
      <c r="HI64" s="185"/>
      <c r="HJ64" s="185"/>
      <c r="HK64" s="185"/>
      <c r="HL64" s="185"/>
      <c r="HM64" s="185"/>
      <c r="HN64" s="185"/>
      <c r="HO64" s="185"/>
      <c r="HP64" s="185"/>
      <c r="HQ64" s="185"/>
      <c r="HR64" s="185"/>
      <c r="HS64" s="185"/>
      <c r="HT64" s="185"/>
      <c r="HU64" s="185"/>
      <c r="HV64" s="185"/>
      <c r="HW64" s="185"/>
      <c r="HX64" s="185"/>
      <c r="HY64" s="185"/>
      <c r="HZ64" s="185"/>
      <c r="IA64" s="185"/>
      <c r="IB64" s="185"/>
      <c r="IC64" s="185"/>
      <c r="ID64" s="185"/>
      <c r="IE64" s="185"/>
      <c r="IF64" s="185"/>
      <c r="IG64" s="185"/>
      <c r="IH64" s="185"/>
      <c r="II64" s="185"/>
      <c r="IJ64" s="185"/>
      <c r="IK64" s="185"/>
      <c r="IL64" s="185"/>
      <c r="IM64" s="185"/>
      <c r="IN64" s="185"/>
      <c r="IO64" s="185"/>
      <c r="IP64" s="185"/>
      <c r="IQ64" s="185"/>
      <c r="IR64" s="185"/>
      <c r="IS64" s="185"/>
      <c r="IT64" s="185"/>
      <c r="IU64" s="185"/>
      <c r="IV64" s="185"/>
      <c r="IW64" s="185"/>
      <c r="IX64" s="185"/>
      <c r="IY64" s="185"/>
      <c r="IZ64" s="185"/>
      <c r="JA64" s="185"/>
      <c r="JB64" s="185"/>
      <c r="JC64" s="185"/>
      <c r="JD64" s="185"/>
      <c r="JE64" s="185"/>
      <c r="JF64" s="185"/>
      <c r="JG64" s="185"/>
      <c r="JH64" s="185"/>
      <c r="JI64" s="185"/>
      <c r="JJ64" s="185"/>
      <c r="JK64" s="185"/>
      <c r="JL64" s="185"/>
      <c r="JM64" s="185"/>
      <c r="JN64" s="185"/>
      <c r="JO64" s="185"/>
      <c r="JP64" s="185"/>
      <c r="JQ64" s="185"/>
      <c r="JR64" s="185"/>
      <c r="JS64" s="185"/>
      <c r="JT64" s="185"/>
      <c r="JU64" s="185"/>
      <c r="JV64" s="185"/>
      <c r="JW64" s="185"/>
      <c r="JX64" s="185"/>
      <c r="JY64" s="185"/>
      <c r="JZ64" s="185"/>
      <c r="KA64" s="185"/>
      <c r="KB64" s="185"/>
      <c r="KC64" s="185"/>
      <c r="KD64" s="185"/>
      <c r="KE64" s="185"/>
      <c r="KF64" s="185"/>
      <c r="KG64" s="185"/>
      <c r="KH64" s="315"/>
      <c r="KI64" s="315"/>
      <c r="KJ64" s="315"/>
      <c r="KK64" s="315"/>
      <c r="KL64" s="315"/>
      <c r="KM64" s="315"/>
      <c r="KN64" s="315"/>
      <c r="KO64" s="315"/>
      <c r="KP64" s="315"/>
      <c r="KQ64" s="315"/>
      <c r="KR64" s="315"/>
      <c r="KS64" s="315"/>
      <c r="KT64" s="315"/>
      <c r="KU64" s="315"/>
      <c r="KV64" s="315"/>
      <c r="KW64" s="315"/>
      <c r="KX64" s="315"/>
      <c r="KY64" s="315"/>
      <c r="KZ64" s="315"/>
      <c r="LA64" s="315"/>
      <c r="LB64" s="315"/>
      <c r="LC64" s="315"/>
    </row>
    <row r="65" ht="15.75" customHeight="1" spans="1:315">
      <c r="A65" s="136"/>
      <c r="B65" s="182"/>
      <c r="C65" s="183"/>
      <c r="D65" s="237"/>
      <c r="E65" s="185"/>
      <c r="F65" s="185"/>
      <c r="G65" s="185"/>
      <c r="H65" s="185"/>
      <c r="I65" s="185"/>
      <c r="J65" s="185"/>
      <c r="K65" s="185"/>
      <c r="L65" s="185"/>
      <c r="M65" s="185"/>
      <c r="N65" s="185"/>
      <c r="O65" s="185"/>
      <c r="P65" s="185"/>
      <c r="Q65" s="185"/>
      <c r="R65" s="185"/>
      <c r="S65" s="185"/>
      <c r="T65" s="185"/>
      <c r="U65" s="185"/>
      <c r="V65" s="185"/>
      <c r="W65" s="185"/>
      <c r="X65" s="185"/>
      <c r="Y65" s="185"/>
      <c r="Z65" s="185"/>
      <c r="AA65" s="185"/>
      <c r="AB65" s="185"/>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185"/>
      <c r="BB65" s="185"/>
      <c r="BC65" s="185"/>
      <c r="BD65" s="185"/>
      <c r="BE65" s="185"/>
      <c r="BF65" s="185"/>
      <c r="BG65" s="185"/>
      <c r="BH65" s="185"/>
      <c r="BI65" s="185"/>
      <c r="BJ65" s="185"/>
      <c r="BK65" s="185"/>
      <c r="BL65" s="185"/>
      <c r="BM65" s="185"/>
      <c r="BN65" s="185"/>
      <c r="BO65" s="185"/>
      <c r="BP65" s="185"/>
      <c r="BQ65" s="185"/>
      <c r="BR65" s="185"/>
      <c r="BS65" s="185"/>
      <c r="BT65" s="185"/>
      <c r="BU65" s="185"/>
      <c r="BV65" s="185"/>
      <c r="BW65" s="185"/>
      <c r="BX65" s="185"/>
      <c r="BY65" s="185"/>
      <c r="BZ65" s="185"/>
      <c r="CA65" s="185"/>
      <c r="CB65" s="185"/>
      <c r="CC65" s="185"/>
      <c r="CD65" s="185"/>
      <c r="CE65" s="185"/>
      <c r="CF65" s="185"/>
      <c r="CG65" s="185"/>
      <c r="CH65" s="185"/>
      <c r="CI65" s="185"/>
      <c r="CJ65" s="185"/>
      <c r="CK65" s="185"/>
      <c r="CL65" s="185"/>
      <c r="CM65" s="185"/>
      <c r="CN65" s="185"/>
      <c r="CO65" s="185"/>
      <c r="CP65" s="185"/>
      <c r="CQ65" s="185"/>
      <c r="CR65" s="185"/>
      <c r="CS65" s="185"/>
      <c r="CT65" s="185"/>
      <c r="CU65" s="185"/>
      <c r="CV65" s="185"/>
      <c r="CW65" s="185"/>
      <c r="CX65" s="185"/>
      <c r="CY65" s="185"/>
      <c r="CZ65" s="185"/>
      <c r="DA65" s="185"/>
      <c r="DB65" s="185"/>
      <c r="DC65" s="185"/>
      <c r="DD65" s="185"/>
      <c r="DE65" s="185"/>
      <c r="DF65" s="185"/>
      <c r="DG65" s="185"/>
      <c r="DH65" s="185"/>
      <c r="DI65" s="185"/>
      <c r="DJ65" s="185"/>
      <c r="DK65" s="185"/>
      <c r="DL65" s="185"/>
      <c r="DM65" s="185"/>
      <c r="DN65" s="185"/>
      <c r="DO65" s="185"/>
      <c r="DP65" s="185"/>
      <c r="DQ65" s="185"/>
      <c r="DR65" s="185"/>
      <c r="DS65" s="185"/>
      <c r="DT65" s="185"/>
      <c r="DU65" s="185"/>
      <c r="DV65" s="185"/>
      <c r="DW65" s="185"/>
      <c r="DX65" s="185"/>
      <c r="DY65" s="185"/>
      <c r="DZ65" s="185"/>
      <c r="EA65" s="185"/>
      <c r="EB65" s="185"/>
      <c r="EC65" s="185"/>
      <c r="ED65" s="185"/>
      <c r="EE65" s="185"/>
      <c r="EF65" s="185"/>
      <c r="EG65" s="185"/>
      <c r="EH65" s="185"/>
      <c r="EI65" s="185"/>
      <c r="EJ65" s="185"/>
      <c r="EK65" s="185"/>
      <c r="EL65" s="185"/>
      <c r="EM65" s="185"/>
      <c r="EN65" s="185"/>
      <c r="EO65" s="185"/>
      <c r="EP65" s="185"/>
      <c r="EQ65" s="185"/>
      <c r="ER65" s="185"/>
      <c r="ES65" s="185"/>
      <c r="ET65" s="185"/>
      <c r="EU65" s="185"/>
      <c r="EV65" s="185"/>
      <c r="EW65" s="185"/>
      <c r="EX65" s="185"/>
      <c r="EY65" s="185"/>
      <c r="EZ65" s="185"/>
      <c r="FA65" s="185"/>
      <c r="FB65" s="185"/>
      <c r="FC65" s="185"/>
      <c r="FD65" s="185"/>
      <c r="FE65" s="185"/>
      <c r="FF65" s="185"/>
      <c r="FG65" s="185"/>
      <c r="FH65" s="185"/>
      <c r="FI65" s="185"/>
      <c r="FJ65" s="185"/>
      <c r="FK65" s="185"/>
      <c r="FL65" s="185"/>
      <c r="FM65" s="185"/>
      <c r="FN65" s="315"/>
      <c r="FO65" s="313"/>
      <c r="FQ65" s="185"/>
      <c r="FR65" s="185"/>
      <c r="FS65" s="185"/>
      <c r="FT65" s="185"/>
      <c r="FU65" s="185"/>
      <c r="FV65" s="185"/>
      <c r="FW65" s="185"/>
      <c r="FX65" s="185"/>
      <c r="FY65" s="185"/>
      <c r="FZ65" s="185"/>
      <c r="GA65" s="185"/>
      <c r="GB65" s="185"/>
      <c r="GC65" s="185"/>
      <c r="GD65" s="185"/>
      <c r="GE65" s="185"/>
      <c r="GF65" s="185"/>
      <c r="GG65" s="185"/>
      <c r="GH65" s="185"/>
      <c r="GI65" s="185"/>
      <c r="GJ65" s="185"/>
      <c r="GK65" s="185"/>
      <c r="GL65" s="185"/>
      <c r="GM65" s="185"/>
      <c r="GN65" s="185"/>
      <c r="GO65" s="185"/>
      <c r="GP65" s="185"/>
      <c r="GQ65" s="185"/>
      <c r="GR65" s="185"/>
      <c r="GS65" s="185"/>
      <c r="GT65" s="185"/>
      <c r="GU65" s="185"/>
      <c r="GV65" s="185"/>
      <c r="GW65" s="185"/>
      <c r="GX65" s="185"/>
      <c r="GY65" s="185"/>
      <c r="GZ65" s="185"/>
      <c r="HA65" s="185"/>
      <c r="HB65" s="185"/>
      <c r="HC65" s="185"/>
      <c r="HD65" s="185"/>
      <c r="HE65" s="185"/>
      <c r="HF65" s="185"/>
      <c r="HG65" s="185"/>
      <c r="HH65" s="185"/>
      <c r="HI65" s="185"/>
      <c r="HJ65" s="185"/>
      <c r="HK65" s="185"/>
      <c r="HL65" s="185"/>
      <c r="HM65" s="185"/>
      <c r="HN65" s="185"/>
      <c r="HO65" s="185"/>
      <c r="HP65" s="185"/>
      <c r="HQ65" s="185"/>
      <c r="HR65" s="185"/>
      <c r="HS65" s="185"/>
      <c r="HT65" s="185"/>
      <c r="HU65" s="185"/>
      <c r="HV65" s="185"/>
      <c r="HW65" s="185"/>
      <c r="HX65" s="185"/>
      <c r="HY65" s="185"/>
      <c r="HZ65" s="185"/>
      <c r="IA65" s="185"/>
      <c r="IB65" s="185"/>
      <c r="IC65" s="185"/>
      <c r="ID65" s="185"/>
      <c r="IE65" s="185"/>
      <c r="IF65" s="185"/>
      <c r="IG65" s="185"/>
      <c r="IH65" s="185"/>
      <c r="II65" s="185"/>
      <c r="IJ65" s="185"/>
      <c r="IK65" s="185"/>
      <c r="IL65" s="185"/>
      <c r="IM65" s="185"/>
      <c r="IN65" s="185"/>
      <c r="IO65" s="185"/>
      <c r="IP65" s="185"/>
      <c r="IQ65" s="185"/>
      <c r="IR65" s="185"/>
      <c r="IS65" s="185"/>
      <c r="IT65" s="185"/>
      <c r="IU65" s="185"/>
      <c r="IV65" s="185"/>
      <c r="IW65" s="185"/>
      <c r="IX65" s="185"/>
      <c r="IY65" s="185"/>
      <c r="IZ65" s="185"/>
      <c r="JA65" s="185"/>
      <c r="JB65" s="185"/>
      <c r="JC65" s="185"/>
      <c r="JD65" s="185"/>
      <c r="JE65" s="185"/>
      <c r="JF65" s="185"/>
      <c r="JG65" s="185"/>
      <c r="JH65" s="185"/>
      <c r="JI65" s="185"/>
      <c r="JJ65" s="185"/>
      <c r="JK65" s="185"/>
      <c r="JL65" s="185"/>
      <c r="JM65" s="185"/>
      <c r="JN65" s="185"/>
      <c r="JO65" s="185"/>
      <c r="JP65" s="185"/>
      <c r="JQ65" s="185"/>
      <c r="JR65" s="185"/>
      <c r="JS65" s="185"/>
      <c r="JT65" s="185"/>
      <c r="JU65" s="185"/>
      <c r="JV65" s="185"/>
      <c r="JW65" s="185"/>
      <c r="JX65" s="185"/>
      <c r="JY65" s="185"/>
      <c r="JZ65" s="185"/>
      <c r="KA65" s="185"/>
      <c r="KB65" s="185"/>
      <c r="KC65" s="185"/>
      <c r="KD65" s="185"/>
      <c r="KE65" s="185"/>
      <c r="KF65" s="185"/>
      <c r="KG65" s="185"/>
      <c r="KH65" s="315"/>
      <c r="KI65" s="315"/>
      <c r="KJ65" s="315"/>
      <c r="KK65" s="315"/>
      <c r="KL65" s="315"/>
      <c r="KM65" s="315"/>
      <c r="KN65" s="315"/>
      <c r="KO65" s="315"/>
      <c r="KP65" s="315"/>
      <c r="KQ65" s="315"/>
      <c r="KR65" s="315"/>
      <c r="KS65" s="315"/>
      <c r="KT65" s="315"/>
      <c r="KU65" s="315"/>
      <c r="KV65" s="315"/>
      <c r="KW65" s="315"/>
      <c r="KX65" s="315"/>
      <c r="KY65" s="315"/>
      <c r="KZ65" s="315"/>
      <c r="LA65" s="315"/>
      <c r="LB65" s="315"/>
      <c r="LC65" s="315"/>
    </row>
    <row r="66" ht="15.75" customHeight="1" spans="1:315">
      <c r="A66" s="136"/>
      <c r="B66" s="182"/>
      <c r="C66" s="183"/>
      <c r="D66" s="187"/>
      <c r="E66" s="185"/>
      <c r="F66" s="185"/>
      <c r="G66" s="185"/>
      <c r="H66" s="185"/>
      <c r="I66" s="185"/>
      <c r="J66" s="185"/>
      <c r="K66" s="185"/>
      <c r="L66" s="185"/>
      <c r="M66" s="185"/>
      <c r="N66" s="185"/>
      <c r="O66" s="185"/>
      <c r="P66" s="185"/>
      <c r="Q66" s="185"/>
      <c r="R66" s="185"/>
      <c r="S66" s="185"/>
      <c r="T66" s="185"/>
      <c r="U66" s="185"/>
      <c r="V66" s="185"/>
      <c r="W66" s="185"/>
      <c r="X66" s="185"/>
      <c r="Y66" s="185"/>
      <c r="Z66" s="185"/>
      <c r="AA66" s="185"/>
      <c r="AB66" s="185"/>
      <c r="AC66" s="185"/>
      <c r="AD66" s="185"/>
      <c r="AE66" s="185"/>
      <c r="AF66" s="185"/>
      <c r="AG66" s="185"/>
      <c r="AH66" s="185"/>
      <c r="AI66" s="185"/>
      <c r="AJ66" s="185"/>
      <c r="AK66" s="185"/>
      <c r="AL66" s="185"/>
      <c r="AM66" s="185"/>
      <c r="AN66" s="185"/>
      <c r="AO66" s="185"/>
      <c r="AP66" s="185"/>
      <c r="AQ66" s="185"/>
      <c r="AR66" s="185"/>
      <c r="AS66" s="185"/>
      <c r="AT66" s="185"/>
      <c r="AU66" s="185"/>
      <c r="AV66" s="185"/>
      <c r="AW66" s="185"/>
      <c r="AX66" s="185"/>
      <c r="AY66" s="185"/>
      <c r="AZ66" s="185"/>
      <c r="BA66" s="185"/>
      <c r="BB66" s="185"/>
      <c r="BC66" s="185"/>
      <c r="BD66" s="185"/>
      <c r="BE66" s="185"/>
      <c r="BF66" s="185"/>
      <c r="BG66" s="185"/>
      <c r="BH66" s="185"/>
      <c r="BI66" s="185"/>
      <c r="BJ66" s="185"/>
      <c r="BK66" s="185"/>
      <c r="BL66" s="185"/>
      <c r="BM66" s="185"/>
      <c r="BN66" s="185"/>
      <c r="BO66" s="185"/>
      <c r="BP66" s="185"/>
      <c r="BQ66" s="185"/>
      <c r="BR66" s="185"/>
      <c r="BS66" s="185"/>
      <c r="BT66" s="185"/>
      <c r="BU66" s="185"/>
      <c r="BV66" s="185"/>
      <c r="BW66" s="185"/>
      <c r="BX66" s="185"/>
      <c r="BY66" s="185"/>
      <c r="BZ66" s="185"/>
      <c r="CA66" s="185"/>
      <c r="CB66" s="185"/>
      <c r="CC66" s="185"/>
      <c r="CD66" s="185"/>
      <c r="CE66" s="185"/>
      <c r="CF66" s="185"/>
      <c r="CG66" s="185"/>
      <c r="CH66" s="185"/>
      <c r="CI66" s="185"/>
      <c r="CJ66" s="185"/>
      <c r="CK66" s="185"/>
      <c r="CL66" s="185"/>
      <c r="CM66" s="185"/>
      <c r="CN66" s="185"/>
      <c r="CO66" s="185"/>
      <c r="CP66" s="185"/>
      <c r="CQ66" s="185"/>
      <c r="CR66" s="185"/>
      <c r="CS66" s="185"/>
      <c r="CT66" s="185"/>
      <c r="CU66" s="185"/>
      <c r="CV66" s="185"/>
      <c r="CW66" s="185"/>
      <c r="CX66" s="185"/>
      <c r="CY66" s="185"/>
      <c r="CZ66" s="185"/>
      <c r="DA66" s="185"/>
      <c r="DB66" s="185"/>
      <c r="DC66" s="185"/>
      <c r="DD66" s="185"/>
      <c r="DE66" s="185"/>
      <c r="DF66" s="185"/>
      <c r="DG66" s="185"/>
      <c r="DH66" s="185"/>
      <c r="DI66" s="185"/>
      <c r="DJ66" s="185"/>
      <c r="DK66" s="185"/>
      <c r="DL66" s="185"/>
      <c r="DM66" s="185"/>
      <c r="DN66" s="185"/>
      <c r="DO66" s="185"/>
      <c r="DP66" s="185"/>
      <c r="DQ66" s="185"/>
      <c r="DR66" s="185"/>
      <c r="DS66" s="185"/>
      <c r="DT66" s="185"/>
      <c r="DU66" s="185"/>
      <c r="DV66" s="185"/>
      <c r="DW66" s="185"/>
      <c r="DX66" s="185"/>
      <c r="DY66" s="185"/>
      <c r="DZ66" s="185"/>
      <c r="EA66" s="185"/>
      <c r="EB66" s="185"/>
      <c r="EC66" s="185"/>
      <c r="ED66" s="185"/>
      <c r="EE66" s="185"/>
      <c r="EF66" s="185"/>
      <c r="EG66" s="185"/>
      <c r="EH66" s="185"/>
      <c r="EI66" s="185"/>
      <c r="EJ66" s="185"/>
      <c r="EK66" s="185"/>
      <c r="EL66" s="185"/>
      <c r="EM66" s="185"/>
      <c r="EN66" s="185"/>
      <c r="EO66" s="185"/>
      <c r="EP66" s="185"/>
      <c r="EQ66" s="185"/>
      <c r="ER66" s="185"/>
      <c r="ES66" s="185"/>
      <c r="ET66" s="185"/>
      <c r="EU66" s="185"/>
      <c r="EV66" s="185"/>
      <c r="EW66" s="185"/>
      <c r="EX66" s="185"/>
      <c r="EY66" s="185"/>
      <c r="EZ66" s="185"/>
      <c r="FA66" s="185"/>
      <c r="FB66" s="185"/>
      <c r="FC66" s="185"/>
      <c r="FD66" s="185"/>
      <c r="FE66" s="185"/>
      <c r="FF66" s="185"/>
      <c r="FG66" s="185"/>
      <c r="FH66" s="185"/>
      <c r="FI66" s="185"/>
      <c r="FJ66" s="185"/>
      <c r="FK66" s="185"/>
      <c r="FL66" s="185"/>
      <c r="FM66" s="185"/>
      <c r="FN66" s="315"/>
      <c r="FO66" s="313"/>
      <c r="FQ66" s="185"/>
      <c r="FR66" s="185"/>
      <c r="FS66" s="185"/>
      <c r="FT66" s="185"/>
      <c r="FU66" s="185"/>
      <c r="FV66" s="185"/>
      <c r="FW66" s="185"/>
      <c r="FX66" s="185"/>
      <c r="FY66" s="185"/>
      <c r="FZ66" s="185"/>
      <c r="GA66" s="185"/>
      <c r="GB66" s="185"/>
      <c r="GC66" s="185"/>
      <c r="GD66" s="185"/>
      <c r="GE66" s="185"/>
      <c r="GF66" s="185"/>
      <c r="GG66" s="185"/>
      <c r="GH66" s="185"/>
      <c r="GI66" s="185"/>
      <c r="GJ66" s="185"/>
      <c r="GK66" s="185"/>
      <c r="GL66" s="185"/>
      <c r="GM66" s="185"/>
      <c r="GN66" s="185"/>
      <c r="GO66" s="185"/>
      <c r="GP66" s="185"/>
      <c r="GQ66" s="185"/>
      <c r="GR66" s="185"/>
      <c r="GS66" s="185"/>
      <c r="GT66" s="185"/>
      <c r="GU66" s="185"/>
      <c r="GV66" s="185"/>
      <c r="GW66" s="185"/>
      <c r="GX66" s="185"/>
      <c r="GY66" s="185"/>
      <c r="GZ66" s="185"/>
      <c r="HA66" s="185"/>
      <c r="HB66" s="185"/>
      <c r="HC66" s="185"/>
      <c r="HD66" s="185"/>
      <c r="HE66" s="185"/>
      <c r="HF66" s="185"/>
      <c r="HG66" s="185"/>
      <c r="HH66" s="185"/>
      <c r="HI66" s="185"/>
      <c r="HJ66" s="185"/>
      <c r="HK66" s="185"/>
      <c r="HL66" s="185"/>
      <c r="HM66" s="185"/>
      <c r="HN66" s="185"/>
      <c r="HO66" s="185"/>
      <c r="HP66" s="185"/>
      <c r="HQ66" s="185"/>
      <c r="HR66" s="185"/>
      <c r="HS66" s="185"/>
      <c r="HT66" s="185"/>
      <c r="HU66" s="185"/>
      <c r="HV66" s="185"/>
      <c r="HW66" s="185"/>
      <c r="HX66" s="185"/>
      <c r="HY66" s="185"/>
      <c r="HZ66" s="185"/>
      <c r="IA66" s="185"/>
      <c r="IB66" s="185"/>
      <c r="IC66" s="185"/>
      <c r="ID66" s="185"/>
      <c r="IE66" s="185"/>
      <c r="IF66" s="185"/>
      <c r="IG66" s="185"/>
      <c r="IH66" s="185"/>
      <c r="II66" s="185"/>
      <c r="IJ66" s="185"/>
      <c r="IK66" s="185"/>
      <c r="IL66" s="185"/>
      <c r="IM66" s="185"/>
      <c r="IN66" s="185"/>
      <c r="IO66" s="185"/>
      <c r="IP66" s="185"/>
      <c r="IQ66" s="185"/>
      <c r="IR66" s="185"/>
      <c r="IS66" s="185"/>
      <c r="IT66" s="185"/>
      <c r="IU66" s="185"/>
      <c r="IV66" s="185"/>
      <c r="IW66" s="185"/>
      <c r="IX66" s="185"/>
      <c r="IY66" s="185"/>
      <c r="IZ66" s="185"/>
      <c r="JA66" s="185"/>
      <c r="JB66" s="185"/>
      <c r="JC66" s="185"/>
      <c r="JD66" s="185"/>
      <c r="JE66" s="185"/>
      <c r="JF66" s="185"/>
      <c r="JG66" s="185"/>
      <c r="JH66" s="185"/>
      <c r="JI66" s="185"/>
      <c r="JJ66" s="185"/>
      <c r="JK66" s="185"/>
      <c r="JL66" s="185"/>
      <c r="JM66" s="185"/>
      <c r="JN66" s="185"/>
      <c r="JO66" s="185"/>
      <c r="JP66" s="185"/>
      <c r="JQ66" s="185"/>
      <c r="JR66" s="185"/>
      <c r="JS66" s="185"/>
      <c r="JT66" s="185"/>
      <c r="JU66" s="185"/>
      <c r="JV66" s="185"/>
      <c r="JW66" s="185"/>
      <c r="JX66" s="185"/>
      <c r="JY66" s="185"/>
      <c r="JZ66" s="185"/>
      <c r="KA66" s="185"/>
      <c r="KB66" s="185"/>
      <c r="KC66" s="185"/>
      <c r="KD66" s="185"/>
      <c r="KE66" s="185"/>
      <c r="KF66" s="185"/>
      <c r="KG66" s="185"/>
      <c r="KH66" s="315"/>
      <c r="KI66" s="315"/>
      <c r="KJ66" s="315"/>
      <c r="KK66" s="315"/>
      <c r="KL66" s="315"/>
      <c r="KM66" s="315"/>
      <c r="KN66" s="315"/>
      <c r="KO66" s="315"/>
      <c r="KP66" s="315"/>
      <c r="KQ66" s="315"/>
      <c r="KR66" s="315"/>
      <c r="KS66" s="315"/>
      <c r="KT66" s="315"/>
      <c r="KU66" s="315"/>
      <c r="KV66" s="315"/>
      <c r="KW66" s="315"/>
      <c r="KX66" s="315"/>
      <c r="KY66" s="315"/>
      <c r="KZ66" s="315"/>
      <c r="LA66" s="315"/>
      <c r="LB66" s="315"/>
      <c r="LC66" s="315"/>
    </row>
    <row r="67" ht="15.75" customHeight="1" spans="1:315">
      <c r="A67" s="136"/>
      <c r="B67" s="238" t="str">
        <f>B2</f>
        <v>SMP NEGERI 1 LANGGAM</v>
      </c>
      <c r="C67" s="238"/>
      <c r="D67" s="238"/>
      <c r="E67" s="342"/>
      <c r="F67" s="342"/>
      <c r="G67" s="342"/>
      <c r="H67" s="342"/>
      <c r="I67" s="342"/>
      <c r="J67" s="342"/>
      <c r="K67" s="342"/>
      <c r="L67" s="238"/>
      <c r="M67" s="342"/>
      <c r="N67" s="342"/>
      <c r="O67" s="342"/>
      <c r="P67" s="342"/>
      <c r="Q67" s="342"/>
      <c r="R67" s="342"/>
      <c r="S67" s="342"/>
      <c r="T67" s="238"/>
      <c r="U67" s="342"/>
      <c r="V67" s="342"/>
      <c r="W67" s="342"/>
      <c r="X67" s="342"/>
      <c r="Y67" s="342"/>
      <c r="Z67" s="342"/>
      <c r="AA67" s="342"/>
      <c r="AB67" s="238"/>
      <c r="AC67" s="342"/>
      <c r="AD67" s="342"/>
      <c r="AE67" s="342"/>
      <c r="AF67" s="342"/>
      <c r="AG67" s="342"/>
      <c r="AH67" s="342"/>
      <c r="AI67" s="342"/>
      <c r="AJ67" s="238"/>
      <c r="AK67" s="342"/>
      <c r="AL67" s="342"/>
      <c r="AM67" s="342"/>
      <c r="AN67" s="342"/>
      <c r="AO67" s="342"/>
      <c r="AP67" s="342"/>
      <c r="AQ67" s="342"/>
      <c r="AR67" s="238"/>
      <c r="AS67" s="342"/>
      <c r="AT67" s="342"/>
      <c r="AU67" s="342"/>
      <c r="AV67" s="342"/>
      <c r="AW67" s="342"/>
      <c r="AX67" s="342"/>
      <c r="AY67" s="342"/>
      <c r="AZ67" s="238"/>
      <c r="BA67" s="342"/>
      <c r="BB67" s="342"/>
      <c r="BC67" s="342"/>
      <c r="BD67" s="342"/>
      <c r="BE67" s="342"/>
      <c r="BF67" s="342"/>
      <c r="BG67" s="342"/>
      <c r="BH67" s="238"/>
      <c r="BI67" s="342"/>
      <c r="BJ67" s="342"/>
      <c r="BK67" s="342"/>
      <c r="BL67" s="342"/>
      <c r="BM67" s="342"/>
      <c r="BN67" s="342"/>
      <c r="BO67" s="342"/>
      <c r="BP67" s="238"/>
      <c r="BQ67" s="342"/>
      <c r="BR67" s="342"/>
      <c r="BS67" s="342"/>
      <c r="BT67" s="342"/>
      <c r="BU67" s="342"/>
      <c r="BV67" s="342"/>
      <c r="BW67" s="342"/>
      <c r="BX67" s="238"/>
      <c r="BY67" s="342"/>
      <c r="BZ67" s="342"/>
      <c r="CA67" s="342"/>
      <c r="CB67" s="342"/>
      <c r="CC67" s="342"/>
      <c r="CD67" s="342"/>
      <c r="CE67" s="342"/>
      <c r="CF67" s="238"/>
      <c r="CG67" s="342"/>
      <c r="CH67" s="342"/>
      <c r="CI67" s="342"/>
      <c r="CJ67" s="342"/>
      <c r="CK67" s="342"/>
      <c r="CL67" s="342"/>
      <c r="CM67" s="342"/>
      <c r="CN67" s="238"/>
      <c r="CO67" s="342"/>
      <c r="CP67" s="342"/>
      <c r="CQ67" s="342"/>
      <c r="CR67" s="342"/>
      <c r="CS67" s="342"/>
      <c r="CT67" s="342"/>
      <c r="CU67" s="342"/>
      <c r="CV67" s="238"/>
      <c r="CW67" s="342"/>
      <c r="CX67" s="342"/>
      <c r="CY67" s="342"/>
      <c r="CZ67" s="342"/>
      <c r="DA67" s="342"/>
      <c r="DB67" s="342"/>
      <c r="DC67" s="342"/>
      <c r="DD67" s="238"/>
      <c r="DE67" s="342"/>
      <c r="DF67" s="342"/>
      <c r="DG67" s="342"/>
      <c r="DH67" s="342"/>
      <c r="DI67" s="342"/>
      <c r="DJ67" s="342"/>
      <c r="DK67" s="342"/>
      <c r="DL67" s="238"/>
      <c r="DM67" s="342"/>
      <c r="DN67" s="342"/>
      <c r="DO67" s="342"/>
      <c r="DP67" s="342"/>
      <c r="DQ67" s="342"/>
      <c r="DR67" s="342"/>
      <c r="DS67" s="342"/>
      <c r="DT67" s="238"/>
      <c r="DU67" s="342"/>
      <c r="DV67" s="342"/>
      <c r="DW67" s="342"/>
      <c r="DX67" s="342"/>
      <c r="DY67" s="342"/>
      <c r="DZ67" s="342"/>
      <c r="EA67" s="342"/>
      <c r="EB67" s="238"/>
      <c r="EC67" s="342"/>
      <c r="ED67" s="342"/>
      <c r="EE67" s="342"/>
      <c r="EF67" s="342"/>
      <c r="EG67" s="342"/>
      <c r="EH67" s="342"/>
      <c r="EI67" s="342"/>
      <c r="EJ67" s="238"/>
      <c r="EK67" s="238"/>
      <c r="EL67" s="238"/>
      <c r="EM67" s="238"/>
      <c r="EN67" s="238"/>
      <c r="EO67" s="238"/>
      <c r="EP67" s="342"/>
      <c r="EQ67" s="342"/>
      <c r="ER67" s="238"/>
      <c r="ES67" s="238"/>
      <c r="ET67" s="238"/>
      <c r="EU67" s="238"/>
      <c r="EV67" s="238"/>
      <c r="EW67" s="238"/>
      <c r="EX67" s="342"/>
      <c r="EY67" s="342"/>
      <c r="EZ67" s="238"/>
      <c r="FA67" s="238"/>
      <c r="FB67" s="238"/>
      <c r="FC67" s="238"/>
      <c r="FD67" s="238"/>
      <c r="FE67" s="238"/>
      <c r="FF67" s="342"/>
      <c r="FG67" s="342"/>
      <c r="FH67" s="238"/>
      <c r="FI67" s="238"/>
      <c r="FJ67" s="238"/>
      <c r="FK67" s="238"/>
      <c r="FL67" s="238"/>
      <c r="FM67" s="342"/>
      <c r="FN67" s="238"/>
      <c r="FQ67" s="238"/>
      <c r="FR67" s="238"/>
      <c r="FS67" s="238"/>
      <c r="FT67" s="238"/>
      <c r="FU67" s="238"/>
      <c r="FV67" s="238"/>
      <c r="FW67" s="238"/>
      <c r="FX67" s="238"/>
      <c r="FY67" s="238"/>
      <c r="FZ67" s="238"/>
      <c r="GA67" s="238"/>
      <c r="GB67" s="238"/>
      <c r="GC67" s="238"/>
      <c r="GD67" s="238"/>
      <c r="GE67" s="238"/>
      <c r="GF67" s="238"/>
      <c r="GG67" s="238"/>
      <c r="GH67" s="238"/>
      <c r="GI67" s="238"/>
      <c r="GJ67" s="238"/>
      <c r="GK67" s="238"/>
      <c r="GL67" s="238"/>
      <c r="GM67" s="238"/>
      <c r="GN67" s="238"/>
      <c r="GO67" s="238"/>
      <c r="GP67" s="238"/>
      <c r="GQ67" s="238"/>
      <c r="GR67" s="238"/>
      <c r="GS67" s="238"/>
      <c r="GT67" s="238"/>
      <c r="GU67" s="238"/>
      <c r="GV67" s="238"/>
      <c r="GW67" s="238"/>
      <c r="GX67" s="238"/>
      <c r="GY67" s="238"/>
      <c r="GZ67" s="238"/>
      <c r="HA67" s="238"/>
      <c r="HB67" s="238"/>
      <c r="HC67" s="238"/>
      <c r="HD67" s="238"/>
      <c r="HE67" s="238"/>
      <c r="HF67" s="238"/>
      <c r="HG67" s="238"/>
      <c r="HH67" s="238"/>
      <c r="HI67" s="238"/>
      <c r="HJ67" s="238"/>
      <c r="HK67" s="238"/>
      <c r="HL67" s="238"/>
      <c r="HM67" s="238"/>
      <c r="HN67" s="238"/>
      <c r="HO67" s="238"/>
      <c r="HP67" s="238"/>
      <c r="HQ67" s="238"/>
      <c r="HR67" s="238"/>
      <c r="HS67" s="238"/>
      <c r="HT67" s="238"/>
      <c r="HU67" s="238"/>
      <c r="HV67" s="238"/>
      <c r="HW67" s="238"/>
      <c r="HX67" s="238"/>
      <c r="HY67" s="238"/>
      <c r="HZ67" s="238"/>
      <c r="IA67" s="238"/>
      <c r="IB67" s="238"/>
      <c r="IC67" s="238"/>
      <c r="ID67" s="238"/>
      <c r="IE67" s="238"/>
      <c r="IF67" s="238"/>
      <c r="IG67" s="238"/>
      <c r="IH67" s="238"/>
      <c r="II67" s="238"/>
      <c r="IJ67" s="238"/>
      <c r="IK67" s="238"/>
      <c r="IL67" s="238"/>
      <c r="IM67" s="238"/>
      <c r="IN67" s="238"/>
      <c r="IO67" s="238"/>
      <c r="IP67" s="238"/>
      <c r="IQ67" s="238"/>
      <c r="IR67" s="238"/>
      <c r="IS67" s="238"/>
      <c r="IT67" s="238"/>
      <c r="IU67" s="238"/>
      <c r="IV67" s="238"/>
      <c r="IW67" s="238"/>
      <c r="IX67" s="238"/>
      <c r="IY67" s="238"/>
      <c r="IZ67" s="238"/>
      <c r="JA67" s="238"/>
      <c r="JB67" s="238"/>
      <c r="JC67" s="238"/>
      <c r="JD67" s="238"/>
      <c r="JE67" s="238"/>
      <c r="JF67" s="238"/>
      <c r="JG67" s="238"/>
      <c r="JH67" s="238"/>
      <c r="JI67" s="238"/>
      <c r="JJ67" s="238"/>
      <c r="JK67" s="238"/>
      <c r="JL67" s="238"/>
      <c r="JM67" s="238"/>
      <c r="JN67" s="238"/>
      <c r="JO67" s="238"/>
      <c r="JP67" s="238"/>
      <c r="JQ67" s="238"/>
      <c r="JR67" s="238"/>
      <c r="JS67" s="238"/>
      <c r="JT67" s="238"/>
      <c r="JU67" s="238"/>
      <c r="JV67" s="238"/>
      <c r="JW67" s="238"/>
      <c r="JX67" s="238"/>
      <c r="JY67" s="238"/>
      <c r="JZ67" s="238"/>
      <c r="KA67" s="238"/>
      <c r="KB67" s="238"/>
      <c r="KC67" s="238"/>
      <c r="KD67" s="238"/>
      <c r="KE67" s="238"/>
      <c r="KF67" s="238"/>
      <c r="KG67" s="238"/>
      <c r="KH67" s="238"/>
      <c r="KI67" s="238"/>
      <c r="KJ67" s="238"/>
      <c r="KK67" s="238"/>
      <c r="KL67" s="238"/>
      <c r="KM67" s="238"/>
      <c r="KN67" s="238"/>
      <c r="KO67" s="238"/>
      <c r="KP67" s="238"/>
      <c r="KQ67" s="238"/>
      <c r="KR67" s="238"/>
      <c r="KS67" s="238"/>
      <c r="KT67" s="238"/>
      <c r="KU67" s="238"/>
      <c r="KV67" s="238"/>
      <c r="KW67" s="238"/>
      <c r="KX67" s="238"/>
      <c r="KY67" s="238"/>
      <c r="KZ67" s="238"/>
      <c r="LA67" s="238"/>
      <c r="LB67" s="238"/>
      <c r="LC67" s="238"/>
    </row>
    <row r="68" ht="15.75" hidden="1" customHeight="1" spans="5:169">
      <c r="E68" s="15"/>
      <c r="F68" s="15"/>
      <c r="G68" s="15"/>
      <c r="H68" s="15"/>
      <c r="I68" s="15"/>
      <c r="J68" s="15"/>
      <c r="K68" s="15"/>
      <c r="M68" s="15"/>
      <c r="N68" s="15"/>
      <c r="O68" s="15"/>
      <c r="P68" s="15"/>
      <c r="Q68" s="15"/>
      <c r="R68" s="15"/>
      <c r="S68" s="15"/>
      <c r="U68" s="15"/>
      <c r="V68" s="15"/>
      <c r="W68" s="15"/>
      <c r="X68" s="15"/>
      <c r="Y68" s="15"/>
      <c r="Z68" s="15"/>
      <c r="AA68" s="15"/>
      <c r="AC68" s="15"/>
      <c r="AD68" s="15"/>
      <c r="AE68" s="15"/>
      <c r="AF68" s="15"/>
      <c r="AG68" s="15"/>
      <c r="AH68" s="15"/>
      <c r="AI68" s="15"/>
      <c r="AK68" s="15"/>
      <c r="AL68" s="15"/>
      <c r="AM68" s="15"/>
      <c r="AN68" s="15"/>
      <c r="AO68" s="15"/>
      <c r="AP68" s="15"/>
      <c r="AQ68" s="15"/>
      <c r="AS68" s="15"/>
      <c r="AT68" s="15"/>
      <c r="AU68" s="15"/>
      <c r="AV68" s="15"/>
      <c r="AW68" s="15"/>
      <c r="AX68" s="15"/>
      <c r="AY68" s="15"/>
      <c r="BA68" s="15"/>
      <c r="BB68" s="15"/>
      <c r="BC68" s="15"/>
      <c r="BD68" s="15"/>
      <c r="BE68" s="15"/>
      <c r="BF68" s="15"/>
      <c r="BG68" s="15"/>
      <c r="BI68" s="15"/>
      <c r="BJ68" s="15"/>
      <c r="BK68" s="15"/>
      <c r="BL68" s="15"/>
      <c r="BM68" s="15"/>
      <c r="BN68" s="15"/>
      <c r="BO68" s="15"/>
      <c r="BQ68" s="15"/>
      <c r="BR68" s="15"/>
      <c r="BS68" s="15"/>
      <c r="BT68" s="15"/>
      <c r="BU68" s="15"/>
      <c r="BV68" s="15"/>
      <c r="BW68" s="15"/>
      <c r="BY68" s="15"/>
      <c r="BZ68" s="15"/>
      <c r="CA68" s="15"/>
      <c r="CB68" s="15"/>
      <c r="CC68" s="15"/>
      <c r="CD68" s="15"/>
      <c r="CE68" s="15"/>
      <c r="CG68" s="15"/>
      <c r="CH68" s="15"/>
      <c r="CI68" s="15"/>
      <c r="CJ68" s="15"/>
      <c r="CK68" s="15"/>
      <c r="CL68" s="15"/>
      <c r="CM68" s="15"/>
      <c r="CO68" s="15"/>
      <c r="CP68" s="15"/>
      <c r="CQ68" s="15"/>
      <c r="CR68" s="15"/>
      <c r="CS68" s="15"/>
      <c r="CT68" s="15"/>
      <c r="CU68" s="15"/>
      <c r="CW68" s="15"/>
      <c r="CX68" s="15"/>
      <c r="CY68" s="15"/>
      <c r="CZ68" s="15"/>
      <c r="DA68" s="15"/>
      <c r="DB68" s="15"/>
      <c r="DC68" s="15"/>
      <c r="DE68" s="15"/>
      <c r="DF68" s="15"/>
      <c r="DG68" s="15"/>
      <c r="DH68" s="15"/>
      <c r="DI68" s="15"/>
      <c r="DJ68" s="15"/>
      <c r="DK68" s="15"/>
      <c r="DM68" s="15"/>
      <c r="DN68" s="15"/>
      <c r="DO68" s="15"/>
      <c r="DP68" s="15"/>
      <c r="DQ68" s="15"/>
      <c r="DR68" s="15"/>
      <c r="DS68" s="15"/>
      <c r="DU68" s="15"/>
      <c r="DV68" s="15"/>
      <c r="DW68" s="15"/>
      <c r="DX68" s="15"/>
      <c r="DY68" s="15"/>
      <c r="DZ68" s="15"/>
      <c r="EA68" s="15"/>
      <c r="EC68" s="15"/>
      <c r="ED68" s="15"/>
      <c r="EE68" s="15"/>
      <c r="EF68" s="15"/>
      <c r="EG68" s="15"/>
      <c r="EH68" s="15"/>
      <c r="EI68" s="15"/>
      <c r="EP68" s="15"/>
      <c r="EQ68" s="15"/>
      <c r="EX68" s="15"/>
      <c r="EY68" s="15"/>
      <c r="FF68" s="15"/>
      <c r="FG68" s="15"/>
      <c r="FM68" s="15"/>
    </row>
    <row r="69" ht="15.75" hidden="1" customHeight="1" spans="5:169">
      <c r="E69" s="15"/>
      <c r="F69" s="15"/>
      <c r="G69" s="15"/>
      <c r="H69" s="15"/>
      <c r="I69" s="15"/>
      <c r="J69" s="15"/>
      <c r="K69" s="15"/>
      <c r="M69" s="15"/>
      <c r="N69" s="15"/>
      <c r="O69" s="15"/>
      <c r="P69" s="15"/>
      <c r="Q69" s="15"/>
      <c r="R69" s="15"/>
      <c r="S69" s="15"/>
      <c r="U69" s="15"/>
      <c r="V69" s="15"/>
      <c r="W69" s="15"/>
      <c r="X69" s="15"/>
      <c r="Y69" s="15"/>
      <c r="Z69" s="15"/>
      <c r="AA69" s="15"/>
      <c r="AC69" s="15"/>
      <c r="AD69" s="15"/>
      <c r="AE69" s="15"/>
      <c r="AF69" s="15"/>
      <c r="AG69" s="15"/>
      <c r="AH69" s="15"/>
      <c r="AI69" s="15"/>
      <c r="AK69" s="15"/>
      <c r="AL69" s="15"/>
      <c r="AM69" s="15"/>
      <c r="AN69" s="15"/>
      <c r="AO69" s="15"/>
      <c r="AP69" s="15"/>
      <c r="AQ69" s="15"/>
      <c r="AS69" s="15"/>
      <c r="AT69" s="15"/>
      <c r="AU69" s="15"/>
      <c r="AV69" s="15"/>
      <c r="AW69" s="15"/>
      <c r="AX69" s="15"/>
      <c r="AY69" s="15"/>
      <c r="BA69" s="15"/>
      <c r="BB69" s="15"/>
      <c r="BC69" s="15"/>
      <c r="BD69" s="15"/>
      <c r="BE69" s="15"/>
      <c r="BF69" s="15"/>
      <c r="BG69" s="15"/>
      <c r="BI69" s="15"/>
      <c r="BJ69" s="15"/>
      <c r="BK69" s="15"/>
      <c r="BL69" s="15"/>
      <c r="BM69" s="15"/>
      <c r="BN69" s="15"/>
      <c r="BO69" s="15"/>
      <c r="BQ69" s="15"/>
      <c r="BR69" s="15"/>
      <c r="BS69" s="15"/>
      <c r="BT69" s="15"/>
      <c r="BU69" s="15"/>
      <c r="BV69" s="15"/>
      <c r="BW69" s="15"/>
      <c r="BY69" s="15"/>
      <c r="BZ69" s="15"/>
      <c r="CA69" s="15"/>
      <c r="CB69" s="15"/>
      <c r="CC69" s="15"/>
      <c r="CD69" s="15"/>
      <c r="CE69" s="15"/>
      <c r="CG69" s="15"/>
      <c r="CH69" s="15"/>
      <c r="CI69" s="15"/>
      <c r="CJ69" s="15"/>
      <c r="CK69" s="15"/>
      <c r="CL69" s="15"/>
      <c r="CM69" s="15"/>
      <c r="CO69" s="15"/>
      <c r="CP69" s="15"/>
      <c r="CQ69" s="15"/>
      <c r="CR69" s="15"/>
      <c r="CS69" s="15"/>
      <c r="CT69" s="15"/>
      <c r="CU69" s="15"/>
      <c r="CW69" s="15"/>
      <c r="CX69" s="15"/>
      <c r="CY69" s="15"/>
      <c r="CZ69" s="15"/>
      <c r="DA69" s="15"/>
      <c r="DB69" s="15"/>
      <c r="DC69" s="15"/>
      <c r="DE69" s="15"/>
      <c r="DF69" s="15"/>
      <c r="DG69" s="15"/>
      <c r="DH69" s="15"/>
      <c r="DI69" s="15"/>
      <c r="DJ69" s="15"/>
      <c r="DK69" s="15"/>
      <c r="DM69" s="15"/>
      <c r="DN69" s="15"/>
      <c r="DO69" s="15"/>
      <c r="DP69" s="15"/>
      <c r="DQ69" s="15"/>
      <c r="DR69" s="15"/>
      <c r="DS69" s="15"/>
      <c r="DU69" s="15"/>
      <c r="DV69" s="15"/>
      <c r="DW69" s="15"/>
      <c r="DX69" s="15"/>
      <c r="DY69" s="15"/>
      <c r="DZ69" s="15"/>
      <c r="EA69" s="15"/>
      <c r="EC69" s="15"/>
      <c r="ED69" s="15"/>
      <c r="EE69" s="15"/>
      <c r="EF69" s="15"/>
      <c r="EG69" s="15"/>
      <c r="EH69" s="15"/>
      <c r="EI69" s="15"/>
      <c r="EP69" s="15"/>
      <c r="EQ69" s="15"/>
      <c r="EX69" s="15"/>
      <c r="EY69" s="15"/>
      <c r="FF69" s="15"/>
      <c r="FG69" s="15"/>
      <c r="FM69" s="15"/>
    </row>
    <row r="70" ht="15.75" hidden="1" customHeight="1" spans="5:169">
      <c r="E70" s="15"/>
      <c r="F70" s="15"/>
      <c r="G70" s="15"/>
      <c r="H70" s="15"/>
      <c r="I70" s="15"/>
      <c r="J70" s="15"/>
      <c r="K70" s="15"/>
      <c r="M70" s="15"/>
      <c r="N70" s="15"/>
      <c r="O70" s="15"/>
      <c r="P70" s="15"/>
      <c r="Q70" s="15"/>
      <c r="R70" s="15"/>
      <c r="S70" s="15"/>
      <c r="U70" s="15"/>
      <c r="V70" s="15"/>
      <c r="W70" s="15"/>
      <c r="X70" s="15"/>
      <c r="Y70" s="15"/>
      <c r="Z70" s="15"/>
      <c r="AA70" s="15"/>
      <c r="AC70" s="15"/>
      <c r="AD70" s="15"/>
      <c r="AE70" s="15"/>
      <c r="AF70" s="15"/>
      <c r="AG70" s="15"/>
      <c r="AH70" s="15"/>
      <c r="AI70" s="15"/>
      <c r="AK70" s="15"/>
      <c r="AL70" s="15"/>
      <c r="AM70" s="15"/>
      <c r="AN70" s="15"/>
      <c r="AO70" s="15"/>
      <c r="AP70" s="15"/>
      <c r="AQ70" s="15"/>
      <c r="AS70" s="15"/>
      <c r="AT70" s="15"/>
      <c r="AU70" s="15"/>
      <c r="AV70" s="15"/>
      <c r="AW70" s="15"/>
      <c r="AX70" s="15"/>
      <c r="AY70" s="15"/>
      <c r="BA70" s="15"/>
      <c r="BB70" s="15"/>
      <c r="BC70" s="15"/>
      <c r="BD70" s="15"/>
      <c r="BE70" s="15"/>
      <c r="BF70" s="15"/>
      <c r="BG70" s="15"/>
      <c r="BI70" s="15"/>
      <c r="BJ70" s="15"/>
      <c r="BK70" s="15"/>
      <c r="BL70" s="15"/>
      <c r="BM70" s="15"/>
      <c r="BN70" s="15"/>
      <c r="BO70" s="15"/>
      <c r="BQ70" s="15"/>
      <c r="BR70" s="15"/>
      <c r="BS70" s="15"/>
      <c r="BT70" s="15"/>
      <c r="BU70" s="15"/>
      <c r="BV70" s="15"/>
      <c r="BW70" s="15"/>
      <c r="BY70" s="15"/>
      <c r="BZ70" s="15"/>
      <c r="CA70" s="15"/>
      <c r="CB70" s="15"/>
      <c r="CC70" s="15"/>
      <c r="CD70" s="15"/>
      <c r="CE70" s="15"/>
      <c r="CG70" s="15"/>
      <c r="CH70" s="15"/>
      <c r="CI70" s="15"/>
      <c r="CJ70" s="15"/>
      <c r="CK70" s="15"/>
      <c r="CL70" s="15"/>
      <c r="CM70" s="15"/>
      <c r="CO70" s="15"/>
      <c r="CP70" s="15"/>
      <c r="CQ70" s="15"/>
      <c r="CR70" s="15"/>
      <c r="CS70" s="15"/>
      <c r="CT70" s="15"/>
      <c r="CU70" s="15"/>
      <c r="CW70" s="15"/>
      <c r="CX70" s="15"/>
      <c r="CY70" s="15"/>
      <c r="CZ70" s="15"/>
      <c r="DA70" s="15"/>
      <c r="DB70" s="15"/>
      <c r="DC70" s="15"/>
      <c r="DE70" s="15"/>
      <c r="DF70" s="15"/>
      <c r="DG70" s="15"/>
      <c r="DH70" s="15"/>
      <c r="DI70" s="15"/>
      <c r="DJ70" s="15"/>
      <c r="DK70" s="15"/>
      <c r="DM70" s="15"/>
      <c r="DN70" s="15"/>
      <c r="DO70" s="15"/>
      <c r="DP70" s="15"/>
      <c r="DQ70" s="15"/>
      <c r="DR70" s="15"/>
      <c r="DS70" s="15"/>
      <c r="DU70" s="15"/>
      <c r="DV70" s="15"/>
      <c r="DW70" s="15"/>
      <c r="DX70" s="15"/>
      <c r="DY70" s="15"/>
      <c r="DZ70" s="15"/>
      <c r="EA70" s="15"/>
      <c r="EC70" s="15"/>
      <c r="ED70" s="15"/>
      <c r="EE70" s="15"/>
      <c r="EF70" s="15"/>
      <c r="EG70" s="15"/>
      <c r="EH70" s="15"/>
      <c r="EI70" s="15"/>
      <c r="EP70" s="15"/>
      <c r="EQ70" s="15"/>
      <c r="EX70" s="15"/>
      <c r="EY70" s="15"/>
      <c r="FF70" s="15"/>
      <c r="FG70" s="15"/>
      <c r="FM70" s="15"/>
    </row>
    <row r="71" ht="15.75" hidden="1" customHeight="1" spans="5:169">
      <c r="E71" s="15"/>
      <c r="F71" s="15"/>
      <c r="G71" s="15"/>
      <c r="H71" s="15"/>
      <c r="I71" s="15"/>
      <c r="J71" s="15"/>
      <c r="K71" s="15"/>
      <c r="M71" s="15"/>
      <c r="N71" s="15"/>
      <c r="O71" s="15"/>
      <c r="P71" s="15"/>
      <c r="Q71" s="15"/>
      <c r="R71" s="15"/>
      <c r="S71" s="15"/>
      <c r="U71" s="15"/>
      <c r="V71" s="15"/>
      <c r="W71" s="15"/>
      <c r="X71" s="15"/>
      <c r="Y71" s="15"/>
      <c r="Z71" s="15"/>
      <c r="AA71" s="15"/>
      <c r="AC71" s="15"/>
      <c r="AD71" s="15"/>
      <c r="AE71" s="15"/>
      <c r="AF71" s="15"/>
      <c r="AG71" s="15"/>
      <c r="AH71" s="15"/>
      <c r="AI71" s="15"/>
      <c r="AK71" s="15"/>
      <c r="AL71" s="15"/>
      <c r="AM71" s="15"/>
      <c r="AN71" s="15"/>
      <c r="AO71" s="15"/>
      <c r="AP71" s="15"/>
      <c r="AQ71" s="15"/>
      <c r="AS71" s="15"/>
      <c r="AT71" s="15"/>
      <c r="AU71" s="15"/>
      <c r="AV71" s="15"/>
      <c r="AW71" s="15"/>
      <c r="AX71" s="15"/>
      <c r="AY71" s="15"/>
      <c r="BA71" s="15"/>
      <c r="BB71" s="15"/>
      <c r="BC71" s="15"/>
      <c r="BD71" s="15"/>
      <c r="BE71" s="15"/>
      <c r="BF71" s="15"/>
      <c r="BG71" s="15"/>
      <c r="BI71" s="15"/>
      <c r="BJ71" s="15"/>
      <c r="BK71" s="15"/>
      <c r="BL71" s="15"/>
      <c r="BM71" s="15"/>
      <c r="BN71" s="15"/>
      <c r="BO71" s="15"/>
      <c r="BQ71" s="15"/>
      <c r="BR71" s="15"/>
      <c r="BS71" s="15"/>
      <c r="BT71" s="15"/>
      <c r="BU71" s="15"/>
      <c r="BV71" s="15"/>
      <c r="BW71" s="15"/>
      <c r="BY71" s="15"/>
      <c r="BZ71" s="15"/>
      <c r="CA71" s="15"/>
      <c r="CB71" s="15"/>
      <c r="CC71" s="15"/>
      <c r="CD71" s="15"/>
      <c r="CE71" s="15"/>
      <c r="CG71" s="15"/>
      <c r="CH71" s="15"/>
      <c r="CI71" s="15"/>
      <c r="CJ71" s="15"/>
      <c r="CK71" s="15"/>
      <c r="CL71" s="15"/>
      <c r="CM71" s="15"/>
      <c r="CO71" s="15"/>
      <c r="CP71" s="15"/>
      <c r="CQ71" s="15"/>
      <c r="CR71" s="15"/>
      <c r="CS71" s="15"/>
      <c r="CT71" s="15"/>
      <c r="CU71" s="15"/>
      <c r="CW71" s="15"/>
      <c r="CX71" s="15"/>
      <c r="CY71" s="15"/>
      <c r="CZ71" s="15"/>
      <c r="DA71" s="15"/>
      <c r="DB71" s="15"/>
      <c r="DC71" s="15"/>
      <c r="DE71" s="15"/>
      <c r="DF71" s="15"/>
      <c r="DG71" s="15"/>
      <c r="DH71" s="15"/>
      <c r="DI71" s="15"/>
      <c r="DJ71" s="15"/>
      <c r="DK71" s="15"/>
      <c r="DM71" s="15"/>
      <c r="DN71" s="15"/>
      <c r="DO71" s="15"/>
      <c r="DP71" s="15"/>
      <c r="DQ71" s="15"/>
      <c r="DR71" s="15"/>
      <c r="DS71" s="15"/>
      <c r="DU71" s="15"/>
      <c r="DV71" s="15"/>
      <c r="DW71" s="15"/>
      <c r="DX71" s="15"/>
      <c r="DY71" s="15"/>
      <c r="DZ71" s="15"/>
      <c r="EA71" s="15"/>
      <c r="EC71" s="15"/>
      <c r="ED71" s="15"/>
      <c r="EE71" s="15"/>
      <c r="EF71" s="15"/>
      <c r="EG71" s="15"/>
      <c r="EH71" s="15"/>
      <c r="EI71" s="15"/>
      <c r="EP71" s="15"/>
      <c r="EQ71" s="15"/>
      <c r="EX71" s="15"/>
      <c r="EY71" s="15"/>
      <c r="FF71" s="15"/>
      <c r="FG71" s="15"/>
      <c r="FM71" s="15"/>
    </row>
    <row r="72" ht="15.75" hidden="1" customHeight="1" spans="5:169">
      <c r="E72" s="15"/>
      <c r="F72" s="15"/>
      <c r="G72" s="15"/>
      <c r="H72" s="15"/>
      <c r="I72" s="15"/>
      <c r="J72" s="15"/>
      <c r="K72" s="15"/>
      <c r="M72" s="15"/>
      <c r="N72" s="15"/>
      <c r="O72" s="15"/>
      <c r="P72" s="15"/>
      <c r="Q72" s="15"/>
      <c r="R72" s="15"/>
      <c r="S72" s="15"/>
      <c r="U72" s="15"/>
      <c r="V72" s="15"/>
      <c r="W72" s="15"/>
      <c r="X72" s="15"/>
      <c r="Y72" s="15"/>
      <c r="Z72" s="15"/>
      <c r="AA72" s="15"/>
      <c r="AC72" s="15"/>
      <c r="AD72" s="15"/>
      <c r="AE72" s="15"/>
      <c r="AF72" s="15"/>
      <c r="AG72" s="15"/>
      <c r="AH72" s="15"/>
      <c r="AI72" s="15"/>
      <c r="AK72" s="15"/>
      <c r="AL72" s="15"/>
      <c r="AM72" s="15"/>
      <c r="AN72" s="15"/>
      <c r="AO72" s="15"/>
      <c r="AP72" s="15"/>
      <c r="AQ72" s="15"/>
      <c r="AS72" s="15"/>
      <c r="AT72" s="15"/>
      <c r="AU72" s="15"/>
      <c r="AV72" s="15"/>
      <c r="AW72" s="15"/>
      <c r="AX72" s="15"/>
      <c r="AY72" s="15"/>
      <c r="BA72" s="15"/>
      <c r="BB72" s="15"/>
      <c r="BC72" s="15"/>
      <c r="BD72" s="15"/>
      <c r="BE72" s="15"/>
      <c r="BF72" s="15"/>
      <c r="BG72" s="15"/>
      <c r="BI72" s="15"/>
      <c r="BJ72" s="15"/>
      <c r="BK72" s="15"/>
      <c r="BL72" s="15"/>
      <c r="BM72" s="15"/>
      <c r="BN72" s="15"/>
      <c r="BO72" s="15"/>
      <c r="BQ72" s="15"/>
      <c r="BR72" s="15"/>
      <c r="BS72" s="15"/>
      <c r="BT72" s="15"/>
      <c r="BU72" s="15"/>
      <c r="BV72" s="15"/>
      <c r="BW72" s="15"/>
      <c r="BY72" s="15"/>
      <c r="BZ72" s="15"/>
      <c r="CA72" s="15"/>
      <c r="CB72" s="15"/>
      <c r="CC72" s="15"/>
      <c r="CD72" s="15"/>
      <c r="CE72" s="15"/>
      <c r="CG72" s="15"/>
      <c r="CH72" s="15"/>
      <c r="CI72" s="15"/>
      <c r="CJ72" s="15"/>
      <c r="CK72" s="15"/>
      <c r="CL72" s="15"/>
      <c r="CM72" s="15"/>
      <c r="CO72" s="15"/>
      <c r="CP72" s="15"/>
      <c r="CQ72" s="15"/>
      <c r="CR72" s="15"/>
      <c r="CS72" s="15"/>
      <c r="CT72" s="15"/>
      <c r="CU72" s="15"/>
      <c r="CW72" s="15"/>
      <c r="CX72" s="15"/>
      <c r="CY72" s="15"/>
      <c r="CZ72" s="15"/>
      <c r="DA72" s="15"/>
      <c r="DB72" s="15"/>
      <c r="DC72" s="15"/>
      <c r="DE72" s="15"/>
      <c r="DF72" s="15"/>
      <c r="DG72" s="15"/>
      <c r="DH72" s="15"/>
      <c r="DI72" s="15"/>
      <c r="DJ72" s="15"/>
      <c r="DK72" s="15"/>
      <c r="DM72" s="15"/>
      <c r="DN72" s="15"/>
      <c r="DO72" s="15"/>
      <c r="DP72" s="15"/>
      <c r="DQ72" s="15"/>
      <c r="DR72" s="15"/>
      <c r="DS72" s="15"/>
      <c r="DU72" s="15"/>
      <c r="DV72" s="15"/>
      <c r="DW72" s="15"/>
      <c r="DX72" s="15"/>
      <c r="DY72" s="15"/>
      <c r="DZ72" s="15"/>
      <c r="EA72" s="15"/>
      <c r="EC72" s="15"/>
      <c r="ED72" s="15"/>
      <c r="EE72" s="15"/>
      <c r="EF72" s="15"/>
      <c r="EG72" s="15"/>
      <c r="EH72" s="15"/>
      <c r="EI72" s="15"/>
      <c r="EP72" s="15"/>
      <c r="EQ72" s="15"/>
      <c r="EX72" s="15"/>
      <c r="EY72" s="15"/>
      <c r="FF72" s="15"/>
      <c r="FG72" s="15"/>
      <c r="FM72" s="15"/>
    </row>
    <row r="73" ht="15.75" hidden="1" customHeight="1" spans="5:169">
      <c r="E73" s="15"/>
      <c r="F73" s="15"/>
      <c r="G73" s="15"/>
      <c r="H73" s="15"/>
      <c r="I73" s="15"/>
      <c r="J73" s="15"/>
      <c r="K73" s="15"/>
      <c r="M73" s="15"/>
      <c r="N73" s="15"/>
      <c r="O73" s="15"/>
      <c r="P73" s="15"/>
      <c r="Q73" s="15"/>
      <c r="R73" s="15"/>
      <c r="S73" s="15"/>
      <c r="U73" s="15"/>
      <c r="V73" s="15"/>
      <c r="W73" s="15"/>
      <c r="X73" s="15"/>
      <c r="Y73" s="15"/>
      <c r="Z73" s="15"/>
      <c r="AA73" s="15"/>
      <c r="AC73" s="15"/>
      <c r="AD73" s="15"/>
      <c r="AE73" s="15"/>
      <c r="AF73" s="15"/>
      <c r="AG73" s="15"/>
      <c r="AH73" s="15"/>
      <c r="AI73" s="15"/>
      <c r="AK73" s="15"/>
      <c r="AL73" s="15"/>
      <c r="AM73" s="15"/>
      <c r="AN73" s="15"/>
      <c r="AO73" s="15"/>
      <c r="AP73" s="15"/>
      <c r="AQ73" s="15"/>
      <c r="AS73" s="15"/>
      <c r="AT73" s="15"/>
      <c r="AU73" s="15"/>
      <c r="AV73" s="15"/>
      <c r="AW73" s="15"/>
      <c r="AX73" s="15"/>
      <c r="AY73" s="15"/>
      <c r="BA73" s="15"/>
      <c r="BB73" s="15"/>
      <c r="BC73" s="15"/>
      <c r="BD73" s="15"/>
      <c r="BE73" s="15"/>
      <c r="BF73" s="15"/>
      <c r="BG73" s="15"/>
      <c r="BI73" s="15"/>
      <c r="BJ73" s="15"/>
      <c r="BK73" s="15"/>
      <c r="BL73" s="15"/>
      <c r="BM73" s="15"/>
      <c r="BN73" s="15"/>
      <c r="BO73" s="15"/>
      <c r="BQ73" s="15"/>
      <c r="BR73" s="15"/>
      <c r="BS73" s="15"/>
      <c r="BT73" s="15"/>
      <c r="BU73" s="15"/>
      <c r="BV73" s="15"/>
      <c r="BW73" s="15"/>
      <c r="BY73" s="15"/>
      <c r="BZ73" s="15"/>
      <c r="CA73" s="15"/>
      <c r="CB73" s="15"/>
      <c r="CC73" s="15"/>
      <c r="CD73" s="15"/>
      <c r="CE73" s="15"/>
      <c r="CG73" s="15"/>
      <c r="CH73" s="15"/>
      <c r="CI73" s="15"/>
      <c r="CJ73" s="15"/>
      <c r="CK73" s="15"/>
      <c r="CL73" s="15"/>
      <c r="CM73" s="15"/>
      <c r="CO73" s="15"/>
      <c r="CP73" s="15"/>
      <c r="CQ73" s="15"/>
      <c r="CR73" s="15"/>
      <c r="CS73" s="15"/>
      <c r="CT73" s="15"/>
      <c r="CU73" s="15"/>
      <c r="CW73" s="15"/>
      <c r="CX73" s="15"/>
      <c r="CY73" s="15"/>
      <c r="CZ73" s="15"/>
      <c r="DA73" s="15"/>
      <c r="DB73" s="15"/>
      <c r="DC73" s="15"/>
      <c r="DE73" s="15"/>
      <c r="DF73" s="15"/>
      <c r="DG73" s="15"/>
      <c r="DH73" s="15"/>
      <c r="DI73" s="15"/>
      <c r="DJ73" s="15"/>
      <c r="DK73" s="15"/>
      <c r="DM73" s="15"/>
      <c r="DN73" s="15"/>
      <c r="DO73" s="15"/>
      <c r="DP73" s="15"/>
      <c r="DQ73" s="15"/>
      <c r="DR73" s="15"/>
      <c r="DS73" s="15"/>
      <c r="DU73" s="15"/>
      <c r="DV73" s="15"/>
      <c r="DW73" s="15"/>
      <c r="DX73" s="15"/>
      <c r="DY73" s="15"/>
      <c r="DZ73" s="15"/>
      <c r="EA73" s="15"/>
      <c r="EC73" s="15"/>
      <c r="ED73" s="15"/>
      <c r="EE73" s="15"/>
      <c r="EF73" s="15"/>
      <c r="EG73" s="15"/>
      <c r="EH73" s="15"/>
      <c r="EI73" s="15"/>
      <c r="EP73" s="15"/>
      <c r="EQ73" s="15"/>
      <c r="EX73" s="15"/>
      <c r="EY73" s="15"/>
      <c r="FF73" s="15"/>
      <c r="FG73" s="15"/>
      <c r="FM73" s="15"/>
    </row>
    <row r="74" ht="15.75" hidden="1" customHeight="1" spans="5:169">
      <c r="E74" s="15"/>
      <c r="F74" s="15"/>
      <c r="G74" s="15"/>
      <c r="H74" s="15"/>
      <c r="I74" s="15"/>
      <c r="J74" s="15"/>
      <c r="K74" s="15"/>
      <c r="M74" s="15"/>
      <c r="N74" s="15"/>
      <c r="O74" s="15"/>
      <c r="P74" s="15"/>
      <c r="Q74" s="15"/>
      <c r="R74" s="15"/>
      <c r="S74" s="15"/>
      <c r="U74" s="15"/>
      <c r="V74" s="15"/>
      <c r="W74" s="15"/>
      <c r="X74" s="15"/>
      <c r="Y74" s="15"/>
      <c r="Z74" s="15"/>
      <c r="AA74" s="15"/>
      <c r="AC74" s="15"/>
      <c r="AD74" s="15"/>
      <c r="AE74" s="15"/>
      <c r="AF74" s="15"/>
      <c r="AG74" s="15"/>
      <c r="AH74" s="15"/>
      <c r="AI74" s="15"/>
      <c r="AK74" s="15"/>
      <c r="AL74" s="15"/>
      <c r="AM74" s="15"/>
      <c r="AN74" s="15"/>
      <c r="AO74" s="15"/>
      <c r="AP74" s="15"/>
      <c r="AQ74" s="15"/>
      <c r="AS74" s="15"/>
      <c r="AT74" s="15"/>
      <c r="AU74" s="15"/>
      <c r="AV74" s="15"/>
      <c r="AW74" s="15"/>
      <c r="AX74" s="15"/>
      <c r="AY74" s="15"/>
      <c r="BA74" s="15"/>
      <c r="BB74" s="15"/>
      <c r="BC74" s="15"/>
      <c r="BD74" s="15"/>
      <c r="BE74" s="15"/>
      <c r="BF74" s="15"/>
      <c r="BG74" s="15"/>
      <c r="BI74" s="15"/>
      <c r="BJ74" s="15"/>
      <c r="BK74" s="15"/>
      <c r="BL74" s="15"/>
      <c r="BM74" s="15"/>
      <c r="BN74" s="15"/>
      <c r="BO74" s="15"/>
      <c r="BQ74" s="15"/>
      <c r="BR74" s="15"/>
      <c r="BS74" s="15"/>
      <c r="BT74" s="15"/>
      <c r="BU74" s="15"/>
      <c r="BV74" s="15"/>
      <c r="BW74" s="15"/>
      <c r="BY74" s="15"/>
      <c r="BZ74" s="15"/>
      <c r="CA74" s="15"/>
      <c r="CB74" s="15"/>
      <c r="CC74" s="15"/>
      <c r="CD74" s="15"/>
      <c r="CE74" s="15"/>
      <c r="CG74" s="15"/>
      <c r="CH74" s="15"/>
      <c r="CI74" s="15"/>
      <c r="CJ74" s="15"/>
      <c r="CK74" s="15"/>
      <c r="CL74" s="15"/>
      <c r="CM74" s="15"/>
      <c r="CO74" s="15"/>
      <c r="CP74" s="15"/>
      <c r="CQ74" s="15"/>
      <c r="CR74" s="15"/>
      <c r="CS74" s="15"/>
      <c r="CT74" s="15"/>
      <c r="CU74" s="15"/>
      <c r="CW74" s="15"/>
      <c r="CX74" s="15"/>
      <c r="CY74" s="15"/>
      <c r="CZ74" s="15"/>
      <c r="DA74" s="15"/>
      <c r="DB74" s="15"/>
      <c r="DC74" s="15"/>
      <c r="DE74" s="15"/>
      <c r="DF74" s="15"/>
      <c r="DG74" s="15"/>
      <c r="DH74" s="15"/>
      <c r="DI74" s="15"/>
      <c r="DJ74" s="15"/>
      <c r="DK74" s="15"/>
      <c r="DM74" s="15"/>
      <c r="DN74" s="15"/>
      <c r="DO74" s="15"/>
      <c r="DP74" s="15"/>
      <c r="DQ74" s="15"/>
      <c r="DR74" s="15"/>
      <c r="DS74" s="15"/>
      <c r="DU74" s="15"/>
      <c r="DV74" s="15"/>
      <c r="DW74" s="15"/>
      <c r="DX74" s="15"/>
      <c r="DY74" s="15"/>
      <c r="DZ74" s="15"/>
      <c r="EA74" s="15"/>
      <c r="EC74" s="15"/>
      <c r="ED74" s="15"/>
      <c r="EE74" s="15"/>
      <c r="EF74" s="15"/>
      <c r="EG74" s="15"/>
      <c r="EH74" s="15"/>
      <c r="EI74" s="15"/>
      <c r="EP74" s="15"/>
      <c r="EQ74" s="15"/>
      <c r="EX74" s="15"/>
      <c r="EY74" s="15"/>
      <c r="FF74" s="15"/>
      <c r="FG74" s="15"/>
      <c r="FM74" s="15"/>
    </row>
    <row r="75" ht="15.75" hidden="1" customHeight="1" spans="5:169">
      <c r="E75" s="15"/>
      <c r="F75" s="15"/>
      <c r="G75" s="15"/>
      <c r="H75" s="15"/>
      <c r="I75" s="15"/>
      <c r="J75" s="15"/>
      <c r="K75" s="15"/>
      <c r="M75" s="15"/>
      <c r="N75" s="15"/>
      <c r="O75" s="15"/>
      <c r="P75" s="15"/>
      <c r="Q75" s="15"/>
      <c r="R75" s="15"/>
      <c r="S75" s="15"/>
      <c r="U75" s="15"/>
      <c r="V75" s="15"/>
      <c r="W75" s="15"/>
      <c r="X75" s="15"/>
      <c r="Y75" s="15"/>
      <c r="Z75" s="15"/>
      <c r="AA75" s="15"/>
      <c r="AC75" s="15"/>
      <c r="AD75" s="15"/>
      <c r="AE75" s="15"/>
      <c r="AF75" s="15"/>
      <c r="AG75" s="15"/>
      <c r="AH75" s="15"/>
      <c r="AI75" s="15"/>
      <c r="AK75" s="15"/>
      <c r="AL75" s="15"/>
      <c r="AM75" s="15"/>
      <c r="AN75" s="15"/>
      <c r="AO75" s="15"/>
      <c r="AP75" s="15"/>
      <c r="AQ75" s="15"/>
      <c r="AS75" s="15"/>
      <c r="AT75" s="15"/>
      <c r="AU75" s="15"/>
      <c r="AV75" s="15"/>
      <c r="AW75" s="15"/>
      <c r="AX75" s="15"/>
      <c r="AY75" s="15"/>
      <c r="BA75" s="15"/>
      <c r="BB75" s="15"/>
      <c r="BC75" s="15"/>
      <c r="BD75" s="15"/>
      <c r="BE75" s="15"/>
      <c r="BF75" s="15"/>
      <c r="BG75" s="15"/>
      <c r="BI75" s="15"/>
      <c r="BJ75" s="15"/>
      <c r="BK75" s="15"/>
      <c r="BL75" s="15"/>
      <c r="BM75" s="15"/>
      <c r="BN75" s="15"/>
      <c r="BO75" s="15"/>
      <c r="BQ75" s="15"/>
      <c r="BR75" s="15"/>
      <c r="BS75" s="15"/>
      <c r="BT75" s="15"/>
      <c r="BU75" s="15"/>
      <c r="BV75" s="15"/>
      <c r="BW75" s="15"/>
      <c r="BY75" s="15"/>
      <c r="BZ75" s="15"/>
      <c r="CA75" s="15"/>
      <c r="CB75" s="15"/>
      <c r="CC75" s="15"/>
      <c r="CD75" s="15"/>
      <c r="CE75" s="15"/>
      <c r="CG75" s="15"/>
      <c r="CH75" s="15"/>
      <c r="CI75" s="15"/>
      <c r="CJ75" s="15"/>
      <c r="CK75" s="15"/>
      <c r="CL75" s="15"/>
      <c r="CM75" s="15"/>
      <c r="CO75" s="15"/>
      <c r="CP75" s="15"/>
      <c r="CQ75" s="15"/>
      <c r="CR75" s="15"/>
      <c r="CS75" s="15"/>
      <c r="CT75" s="15"/>
      <c r="CU75" s="15"/>
      <c r="CW75" s="15"/>
      <c r="CX75" s="15"/>
      <c r="CY75" s="15"/>
      <c r="CZ75" s="15"/>
      <c r="DA75" s="15"/>
      <c r="DB75" s="15"/>
      <c r="DC75" s="15"/>
      <c r="DE75" s="15"/>
      <c r="DF75" s="15"/>
      <c r="DG75" s="15"/>
      <c r="DH75" s="15"/>
      <c r="DI75" s="15"/>
      <c r="DJ75" s="15"/>
      <c r="DK75" s="15"/>
      <c r="DM75" s="15"/>
      <c r="DN75" s="15"/>
      <c r="DO75" s="15"/>
      <c r="DP75" s="15"/>
      <c r="DQ75" s="15"/>
      <c r="DR75" s="15"/>
      <c r="DS75" s="15"/>
      <c r="DU75" s="15"/>
      <c r="DV75" s="15"/>
      <c r="DW75" s="15"/>
      <c r="DX75" s="15"/>
      <c r="DY75" s="15"/>
      <c r="DZ75" s="15"/>
      <c r="EA75" s="15"/>
      <c r="EC75" s="15"/>
      <c r="ED75" s="15"/>
      <c r="EE75" s="15"/>
      <c r="EF75" s="15"/>
      <c r="EG75" s="15"/>
      <c r="EH75" s="15"/>
      <c r="EI75" s="15"/>
      <c r="EP75" s="15"/>
      <c r="EQ75" s="15"/>
      <c r="EX75" s="15"/>
      <c r="EY75" s="15"/>
      <c r="FF75" s="15"/>
      <c r="FG75" s="15"/>
      <c r="FM75" s="15"/>
    </row>
    <row r="76" ht="15.75" hidden="1" customHeight="1" spans="5:169">
      <c r="E76" s="15"/>
      <c r="F76" s="15"/>
      <c r="G76" s="15"/>
      <c r="H76" s="15"/>
      <c r="I76" s="15"/>
      <c r="J76" s="15"/>
      <c r="K76" s="15"/>
      <c r="M76" s="15"/>
      <c r="N76" s="15"/>
      <c r="O76" s="15"/>
      <c r="P76" s="15"/>
      <c r="Q76" s="15"/>
      <c r="R76" s="15"/>
      <c r="S76" s="15"/>
      <c r="U76" s="15"/>
      <c r="V76" s="15"/>
      <c r="W76" s="15"/>
      <c r="X76" s="15"/>
      <c r="Y76" s="15"/>
      <c r="Z76" s="15"/>
      <c r="AA76" s="15"/>
      <c r="AC76" s="15"/>
      <c r="AD76" s="15"/>
      <c r="AE76" s="15"/>
      <c r="AF76" s="15"/>
      <c r="AG76" s="15"/>
      <c r="AH76" s="15"/>
      <c r="AI76" s="15"/>
      <c r="AK76" s="15"/>
      <c r="AL76" s="15"/>
      <c r="AM76" s="15"/>
      <c r="AN76" s="15"/>
      <c r="AO76" s="15"/>
      <c r="AP76" s="15"/>
      <c r="AQ76" s="15"/>
      <c r="AS76" s="15"/>
      <c r="AT76" s="15"/>
      <c r="AU76" s="15"/>
      <c r="AV76" s="15"/>
      <c r="AW76" s="15"/>
      <c r="AX76" s="15"/>
      <c r="AY76" s="15"/>
      <c r="BA76" s="15"/>
      <c r="BB76" s="15"/>
      <c r="BC76" s="15"/>
      <c r="BD76" s="15"/>
      <c r="BE76" s="15"/>
      <c r="BF76" s="15"/>
      <c r="BG76" s="15"/>
      <c r="BI76" s="15"/>
      <c r="BJ76" s="15"/>
      <c r="BK76" s="15"/>
      <c r="BL76" s="15"/>
      <c r="BM76" s="15"/>
      <c r="BN76" s="15"/>
      <c r="BO76" s="15"/>
      <c r="BQ76" s="15"/>
      <c r="BR76" s="15"/>
      <c r="BS76" s="15"/>
      <c r="BT76" s="15"/>
      <c r="BU76" s="15"/>
      <c r="BV76" s="15"/>
      <c r="BW76" s="15"/>
      <c r="BY76" s="15"/>
      <c r="BZ76" s="15"/>
      <c r="CA76" s="15"/>
      <c r="CB76" s="15"/>
      <c r="CC76" s="15"/>
      <c r="CD76" s="15"/>
      <c r="CE76" s="15"/>
      <c r="CG76" s="15"/>
      <c r="CH76" s="15"/>
      <c r="CI76" s="15"/>
      <c r="CJ76" s="15"/>
      <c r="CK76" s="15"/>
      <c r="CL76" s="15"/>
      <c r="CM76" s="15"/>
      <c r="CO76" s="15"/>
      <c r="CP76" s="15"/>
      <c r="CQ76" s="15"/>
      <c r="CR76" s="15"/>
      <c r="CS76" s="15"/>
      <c r="CT76" s="15"/>
      <c r="CU76" s="15"/>
      <c r="CW76" s="15"/>
      <c r="CX76" s="15"/>
      <c r="CY76" s="15"/>
      <c r="CZ76" s="15"/>
      <c r="DA76" s="15"/>
      <c r="DB76" s="15"/>
      <c r="DC76" s="15"/>
      <c r="DE76" s="15"/>
      <c r="DF76" s="15"/>
      <c r="DG76" s="15"/>
      <c r="DH76" s="15"/>
      <c r="DI76" s="15"/>
      <c r="DJ76" s="15"/>
      <c r="DK76" s="15"/>
      <c r="DM76" s="15"/>
      <c r="DN76" s="15"/>
      <c r="DO76" s="15"/>
      <c r="DP76" s="15"/>
      <c r="DQ76" s="15"/>
      <c r="DR76" s="15"/>
      <c r="DS76" s="15"/>
      <c r="DU76" s="15"/>
      <c r="DV76" s="15"/>
      <c r="DW76" s="15"/>
      <c r="DX76" s="15"/>
      <c r="DY76" s="15"/>
      <c r="DZ76" s="15"/>
      <c r="EA76" s="15"/>
      <c r="EC76" s="15"/>
      <c r="ED76" s="15"/>
      <c r="EE76" s="15"/>
      <c r="EF76" s="15"/>
      <c r="EG76" s="15"/>
      <c r="EH76" s="15"/>
      <c r="EI76" s="15"/>
      <c r="EP76" s="15"/>
      <c r="EQ76" s="15"/>
      <c r="EX76" s="15"/>
      <c r="EY76" s="15"/>
      <c r="FF76" s="15"/>
      <c r="FG76" s="15"/>
      <c r="FM76" s="15"/>
    </row>
    <row r="77" ht="15.75" hidden="1" customHeight="1" spans="5:169">
      <c r="E77" s="15"/>
      <c r="F77" s="15"/>
      <c r="G77" s="15"/>
      <c r="H77" s="15"/>
      <c r="I77" s="15"/>
      <c r="J77" s="15"/>
      <c r="K77" s="15"/>
      <c r="M77" s="15"/>
      <c r="N77" s="15"/>
      <c r="O77" s="15"/>
      <c r="P77" s="15"/>
      <c r="Q77" s="15"/>
      <c r="R77" s="15"/>
      <c r="S77" s="15"/>
      <c r="U77" s="15"/>
      <c r="V77" s="15"/>
      <c r="W77" s="15"/>
      <c r="X77" s="15"/>
      <c r="Y77" s="15"/>
      <c r="Z77" s="15"/>
      <c r="AA77" s="15"/>
      <c r="AC77" s="15"/>
      <c r="AD77" s="15"/>
      <c r="AE77" s="15"/>
      <c r="AF77" s="15"/>
      <c r="AG77" s="15"/>
      <c r="AH77" s="15"/>
      <c r="AI77" s="15"/>
      <c r="AK77" s="15"/>
      <c r="AL77" s="15"/>
      <c r="AM77" s="15"/>
      <c r="AN77" s="15"/>
      <c r="AO77" s="15"/>
      <c r="AP77" s="15"/>
      <c r="AQ77" s="15"/>
      <c r="AS77" s="15"/>
      <c r="AT77" s="15"/>
      <c r="AU77" s="15"/>
      <c r="AV77" s="15"/>
      <c r="AW77" s="15"/>
      <c r="AX77" s="15"/>
      <c r="AY77" s="15"/>
      <c r="BA77" s="15"/>
      <c r="BB77" s="15"/>
      <c r="BC77" s="15"/>
      <c r="BD77" s="15"/>
      <c r="BE77" s="15"/>
      <c r="BF77" s="15"/>
      <c r="BG77" s="15"/>
      <c r="BI77" s="15"/>
      <c r="BJ77" s="15"/>
      <c r="BK77" s="15"/>
      <c r="BL77" s="15"/>
      <c r="BM77" s="15"/>
      <c r="BN77" s="15"/>
      <c r="BO77" s="15"/>
      <c r="BQ77" s="15"/>
      <c r="BR77" s="15"/>
      <c r="BS77" s="15"/>
      <c r="BT77" s="15"/>
      <c r="BU77" s="15"/>
      <c r="BV77" s="15"/>
      <c r="BW77" s="15"/>
      <c r="BY77" s="15"/>
      <c r="BZ77" s="15"/>
      <c r="CA77" s="15"/>
      <c r="CB77" s="15"/>
      <c r="CC77" s="15"/>
      <c r="CD77" s="15"/>
      <c r="CE77" s="15"/>
      <c r="CG77" s="15"/>
      <c r="CH77" s="15"/>
      <c r="CI77" s="15"/>
      <c r="CJ77" s="15"/>
      <c r="CK77" s="15"/>
      <c r="CL77" s="15"/>
      <c r="CM77" s="15"/>
      <c r="CO77" s="15"/>
      <c r="CP77" s="15"/>
      <c r="CQ77" s="15"/>
      <c r="CR77" s="15"/>
      <c r="CS77" s="15"/>
      <c r="CT77" s="15"/>
      <c r="CU77" s="15"/>
      <c r="CW77" s="15"/>
      <c r="CX77" s="15"/>
      <c r="CY77" s="15"/>
      <c r="CZ77" s="15"/>
      <c r="DA77" s="15"/>
      <c r="DB77" s="15"/>
      <c r="DC77" s="15"/>
      <c r="DE77" s="15"/>
      <c r="DF77" s="15"/>
      <c r="DG77" s="15"/>
      <c r="DH77" s="15"/>
      <c r="DI77" s="15"/>
      <c r="DJ77" s="15"/>
      <c r="DK77" s="15"/>
      <c r="DM77" s="15"/>
      <c r="DN77" s="15"/>
      <c r="DO77" s="15"/>
      <c r="DP77" s="15"/>
      <c r="DQ77" s="15"/>
      <c r="DR77" s="15"/>
      <c r="DS77" s="15"/>
      <c r="DU77" s="15"/>
      <c r="DV77" s="15"/>
      <c r="DW77" s="15"/>
      <c r="DX77" s="15"/>
      <c r="DY77" s="15"/>
      <c r="DZ77" s="15"/>
      <c r="EA77" s="15"/>
      <c r="EC77" s="15"/>
      <c r="ED77" s="15"/>
      <c r="EE77" s="15"/>
      <c r="EF77" s="15"/>
      <c r="EG77" s="15"/>
      <c r="EH77" s="15"/>
      <c r="EI77" s="15"/>
      <c r="EP77" s="15"/>
      <c r="EQ77" s="15"/>
      <c r="EX77" s="15"/>
      <c r="EY77" s="15"/>
      <c r="FF77" s="15"/>
      <c r="FG77" s="15"/>
      <c r="FM77" s="15"/>
    </row>
    <row r="78" ht="15.75" hidden="1" customHeight="1" spans="5:169">
      <c r="E78" s="15"/>
      <c r="F78" s="15"/>
      <c r="G78" s="15"/>
      <c r="H78" s="15"/>
      <c r="I78" s="15"/>
      <c r="J78" s="15"/>
      <c r="K78" s="15"/>
      <c r="M78" s="15"/>
      <c r="N78" s="15"/>
      <c r="O78" s="15"/>
      <c r="P78" s="15"/>
      <c r="Q78" s="15"/>
      <c r="R78" s="15"/>
      <c r="S78" s="15"/>
      <c r="U78" s="15"/>
      <c r="V78" s="15"/>
      <c r="W78" s="15"/>
      <c r="X78" s="15"/>
      <c r="Y78" s="15"/>
      <c r="Z78" s="15"/>
      <c r="AA78" s="15"/>
      <c r="AC78" s="15"/>
      <c r="AD78" s="15"/>
      <c r="AE78" s="15"/>
      <c r="AF78" s="15"/>
      <c r="AG78" s="15"/>
      <c r="AH78" s="15"/>
      <c r="AI78" s="15"/>
      <c r="AK78" s="15"/>
      <c r="AL78" s="15"/>
      <c r="AM78" s="15"/>
      <c r="AN78" s="15"/>
      <c r="AO78" s="15"/>
      <c r="AP78" s="15"/>
      <c r="AQ78" s="15"/>
      <c r="AS78" s="15"/>
      <c r="AT78" s="15"/>
      <c r="AU78" s="15"/>
      <c r="AV78" s="15"/>
      <c r="AW78" s="15"/>
      <c r="AX78" s="15"/>
      <c r="AY78" s="15"/>
      <c r="BA78" s="15"/>
      <c r="BB78" s="15"/>
      <c r="BC78" s="15"/>
      <c r="BD78" s="15"/>
      <c r="BE78" s="15"/>
      <c r="BF78" s="15"/>
      <c r="BG78" s="15"/>
      <c r="BI78" s="15"/>
      <c r="BJ78" s="15"/>
      <c r="BK78" s="15"/>
      <c r="BL78" s="15"/>
      <c r="BM78" s="15"/>
      <c r="BN78" s="15"/>
      <c r="BO78" s="15"/>
      <c r="BQ78" s="15"/>
      <c r="BR78" s="15"/>
      <c r="BS78" s="15"/>
      <c r="BT78" s="15"/>
      <c r="BU78" s="15"/>
      <c r="BV78" s="15"/>
      <c r="BW78" s="15"/>
      <c r="BY78" s="15"/>
      <c r="BZ78" s="15"/>
      <c r="CA78" s="15"/>
      <c r="CB78" s="15"/>
      <c r="CC78" s="15"/>
      <c r="CD78" s="15"/>
      <c r="CE78" s="15"/>
      <c r="CG78" s="15"/>
      <c r="CH78" s="15"/>
      <c r="CI78" s="15"/>
      <c r="CJ78" s="15"/>
      <c r="CK78" s="15"/>
      <c r="CL78" s="15"/>
      <c r="CM78" s="15"/>
      <c r="CO78" s="15"/>
      <c r="CP78" s="15"/>
      <c r="CQ78" s="15"/>
      <c r="CR78" s="15"/>
      <c r="CS78" s="15"/>
      <c r="CT78" s="15"/>
      <c r="CU78" s="15"/>
      <c r="CW78" s="15"/>
      <c r="CX78" s="15"/>
      <c r="CY78" s="15"/>
      <c r="CZ78" s="15"/>
      <c r="DA78" s="15"/>
      <c r="DB78" s="15"/>
      <c r="DC78" s="15"/>
      <c r="DE78" s="15"/>
      <c r="DF78" s="15"/>
      <c r="DG78" s="15"/>
      <c r="DH78" s="15"/>
      <c r="DI78" s="15"/>
      <c r="DJ78" s="15"/>
      <c r="DK78" s="15"/>
      <c r="DM78" s="15"/>
      <c r="DN78" s="15"/>
      <c r="DO78" s="15"/>
      <c r="DP78" s="15"/>
      <c r="DQ78" s="15"/>
      <c r="DR78" s="15"/>
      <c r="DS78" s="15"/>
      <c r="DU78" s="15"/>
      <c r="DV78" s="15"/>
      <c r="DW78" s="15"/>
      <c r="DX78" s="15"/>
      <c r="DY78" s="15"/>
      <c r="DZ78" s="15"/>
      <c r="EA78" s="15"/>
      <c r="EC78" s="15"/>
      <c r="ED78" s="15"/>
      <c r="EE78" s="15"/>
      <c r="EF78" s="15"/>
      <c r="EG78" s="15"/>
      <c r="EH78" s="15"/>
      <c r="EI78" s="15"/>
      <c r="EP78" s="15"/>
      <c r="EQ78" s="15"/>
      <c r="EX78" s="15"/>
      <c r="EY78" s="15"/>
      <c r="FF78" s="15"/>
      <c r="FG78" s="15"/>
      <c r="FM78" s="15"/>
    </row>
    <row r="79" ht="15.75" hidden="1" customHeight="1" spans="5:169">
      <c r="E79" s="15"/>
      <c r="F79" s="15"/>
      <c r="G79" s="15"/>
      <c r="H79" s="15"/>
      <c r="I79" s="15"/>
      <c r="J79" s="15"/>
      <c r="K79" s="15"/>
      <c r="M79" s="15"/>
      <c r="N79" s="15"/>
      <c r="O79" s="15"/>
      <c r="P79" s="15"/>
      <c r="Q79" s="15"/>
      <c r="R79" s="15"/>
      <c r="S79" s="15"/>
      <c r="U79" s="15"/>
      <c r="V79" s="15"/>
      <c r="W79" s="15"/>
      <c r="X79" s="15"/>
      <c r="Y79" s="15"/>
      <c r="Z79" s="15"/>
      <c r="AA79" s="15"/>
      <c r="AC79" s="15"/>
      <c r="AD79" s="15"/>
      <c r="AE79" s="15"/>
      <c r="AF79" s="15"/>
      <c r="AG79" s="15"/>
      <c r="AH79" s="15"/>
      <c r="AI79" s="15"/>
      <c r="AK79" s="15"/>
      <c r="AL79" s="15"/>
      <c r="AM79" s="15"/>
      <c r="AN79" s="15"/>
      <c r="AO79" s="15"/>
      <c r="AP79" s="15"/>
      <c r="AQ79" s="15"/>
      <c r="AS79" s="15"/>
      <c r="AT79" s="15"/>
      <c r="AU79" s="15"/>
      <c r="AV79" s="15"/>
      <c r="AW79" s="15"/>
      <c r="AX79" s="15"/>
      <c r="AY79" s="15"/>
      <c r="BA79" s="15"/>
      <c r="BB79" s="15"/>
      <c r="BC79" s="15"/>
      <c r="BD79" s="15"/>
      <c r="BE79" s="15"/>
      <c r="BF79" s="15"/>
      <c r="BG79" s="15"/>
      <c r="BI79" s="15"/>
      <c r="BJ79" s="15"/>
      <c r="BK79" s="15"/>
      <c r="BL79" s="15"/>
      <c r="BM79" s="15"/>
      <c r="BN79" s="15"/>
      <c r="BO79" s="15"/>
      <c r="BQ79" s="15"/>
      <c r="BR79" s="15"/>
      <c r="BS79" s="15"/>
      <c r="BT79" s="15"/>
      <c r="BU79" s="15"/>
      <c r="BV79" s="15"/>
      <c r="BW79" s="15"/>
      <c r="BY79" s="15"/>
      <c r="BZ79" s="15"/>
      <c r="CA79" s="15"/>
      <c r="CB79" s="15"/>
      <c r="CC79" s="15"/>
      <c r="CD79" s="15"/>
      <c r="CE79" s="15"/>
      <c r="CG79" s="15"/>
      <c r="CH79" s="15"/>
      <c r="CI79" s="15"/>
      <c r="CJ79" s="15"/>
      <c r="CK79" s="15"/>
      <c r="CL79" s="15"/>
      <c r="CM79" s="15"/>
      <c r="CO79" s="15"/>
      <c r="CP79" s="15"/>
      <c r="CQ79" s="15"/>
      <c r="CR79" s="15"/>
      <c r="CS79" s="15"/>
      <c r="CT79" s="15"/>
      <c r="CU79" s="15"/>
      <c r="CW79" s="15"/>
      <c r="CX79" s="15"/>
      <c r="CY79" s="15"/>
      <c r="CZ79" s="15"/>
      <c r="DA79" s="15"/>
      <c r="DB79" s="15"/>
      <c r="DC79" s="15"/>
      <c r="DE79" s="15"/>
      <c r="DF79" s="15"/>
      <c r="DG79" s="15"/>
      <c r="DH79" s="15"/>
      <c r="DI79" s="15"/>
      <c r="DJ79" s="15"/>
      <c r="DK79" s="15"/>
      <c r="DM79" s="15"/>
      <c r="DN79" s="15"/>
      <c r="DO79" s="15"/>
      <c r="DP79" s="15"/>
      <c r="DQ79" s="15"/>
      <c r="DR79" s="15"/>
      <c r="DS79" s="15"/>
      <c r="DU79" s="15"/>
      <c r="DV79" s="15"/>
      <c r="DW79" s="15"/>
      <c r="DX79" s="15"/>
      <c r="DY79" s="15"/>
      <c r="DZ79" s="15"/>
      <c r="EA79" s="15"/>
      <c r="EC79" s="15"/>
      <c r="ED79" s="15"/>
      <c r="EE79" s="15"/>
      <c r="EF79" s="15"/>
      <c r="EG79" s="15"/>
      <c r="EH79" s="15"/>
      <c r="EI79" s="15"/>
      <c r="EP79" s="15"/>
      <c r="EQ79" s="15"/>
      <c r="EX79" s="15"/>
      <c r="EY79" s="15"/>
      <c r="FF79" s="15"/>
      <c r="FG79" s="15"/>
      <c r="FM79" s="15"/>
    </row>
    <row r="80" ht="15.75" hidden="1" customHeight="1" spans="5:169">
      <c r="E80" s="15"/>
      <c r="F80" s="15"/>
      <c r="G80" s="15"/>
      <c r="H80" s="15"/>
      <c r="I80" s="15"/>
      <c r="J80" s="15"/>
      <c r="K80" s="15"/>
      <c r="M80" s="15"/>
      <c r="N80" s="15"/>
      <c r="O80" s="15"/>
      <c r="P80" s="15"/>
      <c r="Q80" s="15"/>
      <c r="R80" s="15"/>
      <c r="S80" s="15"/>
      <c r="U80" s="15"/>
      <c r="V80" s="15"/>
      <c r="W80" s="15"/>
      <c r="X80" s="15"/>
      <c r="Y80" s="15"/>
      <c r="Z80" s="15"/>
      <c r="AA80" s="15"/>
      <c r="AC80" s="15"/>
      <c r="AD80" s="15"/>
      <c r="AE80" s="15"/>
      <c r="AF80" s="15"/>
      <c r="AG80" s="15"/>
      <c r="AH80" s="15"/>
      <c r="AI80" s="15"/>
      <c r="AK80" s="15"/>
      <c r="AL80" s="15"/>
      <c r="AM80" s="15"/>
      <c r="AN80" s="15"/>
      <c r="AO80" s="15"/>
      <c r="AP80" s="15"/>
      <c r="AQ80" s="15"/>
      <c r="AS80" s="15"/>
      <c r="AT80" s="15"/>
      <c r="AU80" s="15"/>
      <c r="AV80" s="15"/>
      <c r="AW80" s="15"/>
      <c r="AX80" s="15"/>
      <c r="AY80" s="15"/>
      <c r="BA80" s="15"/>
      <c r="BB80" s="15"/>
      <c r="BC80" s="15"/>
      <c r="BD80" s="15"/>
      <c r="BE80" s="15"/>
      <c r="BF80" s="15"/>
      <c r="BG80" s="15"/>
      <c r="BI80" s="15"/>
      <c r="BJ80" s="15"/>
      <c r="BK80" s="15"/>
      <c r="BL80" s="15"/>
      <c r="BM80" s="15"/>
      <c r="BN80" s="15"/>
      <c r="BO80" s="15"/>
      <c r="BQ80" s="15"/>
      <c r="BR80" s="15"/>
      <c r="BS80" s="15"/>
      <c r="BT80" s="15"/>
      <c r="BU80" s="15"/>
      <c r="BV80" s="15"/>
      <c r="BW80" s="15"/>
      <c r="BY80" s="15"/>
      <c r="BZ80" s="15"/>
      <c r="CA80" s="15"/>
      <c r="CB80" s="15"/>
      <c r="CC80" s="15"/>
      <c r="CD80" s="15"/>
      <c r="CE80" s="15"/>
      <c r="CG80" s="15"/>
      <c r="CH80" s="15"/>
      <c r="CI80" s="15"/>
      <c r="CJ80" s="15"/>
      <c r="CK80" s="15"/>
      <c r="CL80" s="15"/>
      <c r="CM80" s="15"/>
      <c r="CO80" s="15"/>
      <c r="CP80" s="15"/>
      <c r="CQ80" s="15"/>
      <c r="CR80" s="15"/>
      <c r="CS80" s="15"/>
      <c r="CT80" s="15"/>
      <c r="CU80" s="15"/>
      <c r="CW80" s="15"/>
      <c r="CX80" s="15"/>
      <c r="CY80" s="15"/>
      <c r="CZ80" s="15"/>
      <c r="DA80" s="15"/>
      <c r="DB80" s="15"/>
      <c r="DC80" s="15"/>
      <c r="DE80" s="15"/>
      <c r="DF80" s="15"/>
      <c r="DG80" s="15"/>
      <c r="DH80" s="15"/>
      <c r="DI80" s="15"/>
      <c r="DJ80" s="15"/>
      <c r="DK80" s="15"/>
      <c r="DM80" s="15"/>
      <c r="DN80" s="15"/>
      <c r="DO80" s="15"/>
      <c r="DP80" s="15"/>
      <c r="DQ80" s="15"/>
      <c r="DR80" s="15"/>
      <c r="DS80" s="15"/>
      <c r="DU80" s="15"/>
      <c r="DV80" s="15"/>
      <c r="DW80" s="15"/>
      <c r="DX80" s="15"/>
      <c r="DY80" s="15"/>
      <c r="DZ80" s="15"/>
      <c r="EA80" s="15"/>
      <c r="EC80" s="15"/>
      <c r="ED80" s="15"/>
      <c r="EE80" s="15"/>
      <c r="EF80" s="15"/>
      <c r="EG80" s="15"/>
      <c r="EH80" s="15"/>
      <c r="EI80" s="15"/>
      <c r="EP80" s="15"/>
      <c r="EQ80" s="15"/>
      <c r="EX80" s="15"/>
      <c r="EY80" s="15"/>
      <c r="FF80" s="15"/>
      <c r="FG80" s="15"/>
      <c r="FM80" s="15"/>
    </row>
    <row r="81" ht="15.75" hidden="1" customHeight="1" spans="5:169">
      <c r="E81" s="15"/>
      <c r="F81" s="15"/>
      <c r="G81" s="15"/>
      <c r="H81" s="15"/>
      <c r="I81" s="15"/>
      <c r="J81" s="15"/>
      <c r="K81" s="15"/>
      <c r="M81" s="15"/>
      <c r="N81" s="15"/>
      <c r="O81" s="15"/>
      <c r="P81" s="15"/>
      <c r="Q81" s="15"/>
      <c r="R81" s="15"/>
      <c r="S81" s="15"/>
      <c r="U81" s="15"/>
      <c r="V81" s="15"/>
      <c r="W81" s="15"/>
      <c r="X81" s="15"/>
      <c r="Y81" s="15"/>
      <c r="Z81" s="15"/>
      <c r="AA81" s="15"/>
      <c r="AC81" s="15"/>
      <c r="AD81" s="15"/>
      <c r="AE81" s="15"/>
      <c r="AF81" s="15"/>
      <c r="AG81" s="15"/>
      <c r="AH81" s="15"/>
      <c r="AI81" s="15"/>
      <c r="AK81" s="15"/>
      <c r="AL81" s="15"/>
      <c r="AM81" s="15"/>
      <c r="AN81" s="15"/>
      <c r="AO81" s="15"/>
      <c r="AP81" s="15"/>
      <c r="AQ81" s="15"/>
      <c r="AS81" s="15"/>
      <c r="AT81" s="15"/>
      <c r="AU81" s="15"/>
      <c r="AV81" s="15"/>
      <c r="AW81" s="15"/>
      <c r="AX81" s="15"/>
      <c r="AY81" s="15"/>
      <c r="BA81" s="15"/>
      <c r="BB81" s="15"/>
      <c r="BC81" s="15"/>
      <c r="BD81" s="15"/>
      <c r="BE81" s="15"/>
      <c r="BF81" s="15"/>
      <c r="BG81" s="15"/>
      <c r="BI81" s="15"/>
      <c r="BJ81" s="15"/>
      <c r="BK81" s="15"/>
      <c r="BL81" s="15"/>
      <c r="BM81" s="15"/>
      <c r="BN81" s="15"/>
      <c r="BO81" s="15"/>
      <c r="BQ81" s="15"/>
      <c r="BR81" s="15"/>
      <c r="BS81" s="15"/>
      <c r="BT81" s="15"/>
      <c r="BU81" s="15"/>
      <c r="BV81" s="15"/>
      <c r="BW81" s="15"/>
      <c r="BY81" s="15"/>
      <c r="BZ81" s="15"/>
      <c r="CA81" s="15"/>
      <c r="CB81" s="15"/>
      <c r="CC81" s="15"/>
      <c r="CD81" s="15"/>
      <c r="CE81" s="15"/>
      <c r="CG81" s="15"/>
      <c r="CH81" s="15"/>
      <c r="CI81" s="15"/>
      <c r="CJ81" s="15"/>
      <c r="CK81" s="15"/>
      <c r="CL81" s="15"/>
      <c r="CM81" s="15"/>
      <c r="CO81" s="15"/>
      <c r="CP81" s="15"/>
      <c r="CQ81" s="15"/>
      <c r="CR81" s="15"/>
      <c r="CS81" s="15"/>
      <c r="CT81" s="15"/>
      <c r="CU81" s="15"/>
      <c r="CW81" s="15"/>
      <c r="CX81" s="15"/>
      <c r="CY81" s="15"/>
      <c r="CZ81" s="15"/>
      <c r="DA81" s="15"/>
      <c r="DB81" s="15"/>
      <c r="DC81" s="15"/>
      <c r="DE81" s="15"/>
      <c r="DF81" s="15"/>
      <c r="DG81" s="15"/>
      <c r="DH81" s="15"/>
      <c r="DI81" s="15"/>
      <c r="DJ81" s="15"/>
      <c r="DK81" s="15"/>
      <c r="DM81" s="15"/>
      <c r="DN81" s="15"/>
      <c r="DO81" s="15"/>
      <c r="DP81" s="15"/>
      <c r="DQ81" s="15"/>
      <c r="DR81" s="15"/>
      <c r="DS81" s="15"/>
      <c r="DU81" s="15"/>
      <c r="DV81" s="15"/>
      <c r="DW81" s="15"/>
      <c r="DX81" s="15"/>
      <c r="DY81" s="15"/>
      <c r="DZ81" s="15"/>
      <c r="EA81" s="15"/>
      <c r="EC81" s="15"/>
      <c r="ED81" s="15"/>
      <c r="EE81" s="15"/>
      <c r="EF81" s="15"/>
      <c r="EG81" s="15"/>
      <c r="EH81" s="15"/>
      <c r="EI81" s="15"/>
      <c r="EP81" s="15"/>
      <c r="EQ81" s="15"/>
      <c r="EX81" s="15"/>
      <c r="EY81" s="15"/>
      <c r="FF81" s="15"/>
      <c r="FG81" s="15"/>
      <c r="FM81" s="15"/>
    </row>
    <row r="82" ht="15.75" hidden="1" customHeight="1" spans="5:169">
      <c r="E82" s="15"/>
      <c r="F82" s="15"/>
      <c r="G82" s="15"/>
      <c r="H82" s="15"/>
      <c r="I82" s="15"/>
      <c r="J82" s="15"/>
      <c r="K82" s="15"/>
      <c r="M82" s="15"/>
      <c r="N82" s="15"/>
      <c r="O82" s="15"/>
      <c r="P82" s="15"/>
      <c r="Q82" s="15"/>
      <c r="R82" s="15"/>
      <c r="S82" s="15"/>
      <c r="U82" s="15"/>
      <c r="V82" s="15"/>
      <c r="W82" s="15"/>
      <c r="X82" s="15"/>
      <c r="Y82" s="15"/>
      <c r="Z82" s="15"/>
      <c r="AA82" s="15"/>
      <c r="AC82" s="15"/>
      <c r="AD82" s="15"/>
      <c r="AE82" s="15"/>
      <c r="AF82" s="15"/>
      <c r="AG82" s="15"/>
      <c r="AH82" s="15"/>
      <c r="AI82" s="15"/>
      <c r="AK82" s="15"/>
      <c r="AL82" s="15"/>
      <c r="AM82" s="15"/>
      <c r="AN82" s="15"/>
      <c r="AO82" s="15"/>
      <c r="AP82" s="15"/>
      <c r="AQ82" s="15"/>
      <c r="AS82" s="15"/>
      <c r="AT82" s="15"/>
      <c r="AU82" s="15"/>
      <c r="AV82" s="15"/>
      <c r="AW82" s="15"/>
      <c r="AX82" s="15"/>
      <c r="AY82" s="15"/>
      <c r="BA82" s="15"/>
      <c r="BB82" s="15"/>
      <c r="BC82" s="15"/>
      <c r="BD82" s="15"/>
      <c r="BE82" s="15"/>
      <c r="BF82" s="15"/>
      <c r="BG82" s="15"/>
      <c r="BI82" s="15"/>
      <c r="BJ82" s="15"/>
      <c r="BK82" s="15"/>
      <c r="BL82" s="15"/>
      <c r="BM82" s="15"/>
      <c r="BN82" s="15"/>
      <c r="BO82" s="15"/>
      <c r="BQ82" s="15"/>
      <c r="BR82" s="15"/>
      <c r="BS82" s="15"/>
      <c r="BT82" s="15"/>
      <c r="BU82" s="15"/>
      <c r="BV82" s="15"/>
      <c r="BW82" s="15"/>
      <c r="BY82" s="15"/>
      <c r="BZ82" s="15"/>
      <c r="CA82" s="15"/>
      <c r="CB82" s="15"/>
      <c r="CC82" s="15"/>
      <c r="CD82" s="15"/>
      <c r="CE82" s="15"/>
      <c r="CG82" s="15"/>
      <c r="CH82" s="15"/>
      <c r="CI82" s="15"/>
      <c r="CJ82" s="15"/>
      <c r="CK82" s="15"/>
      <c r="CL82" s="15"/>
      <c r="CM82" s="15"/>
      <c r="CO82" s="15"/>
      <c r="CP82" s="15"/>
      <c r="CQ82" s="15"/>
      <c r="CR82" s="15"/>
      <c r="CS82" s="15"/>
      <c r="CT82" s="15"/>
      <c r="CU82" s="15"/>
      <c r="CW82" s="15"/>
      <c r="CX82" s="15"/>
      <c r="CY82" s="15"/>
      <c r="CZ82" s="15"/>
      <c r="DA82" s="15"/>
      <c r="DB82" s="15"/>
      <c r="DC82" s="15"/>
      <c r="DE82" s="15"/>
      <c r="DF82" s="15"/>
      <c r="DG82" s="15"/>
      <c r="DH82" s="15"/>
      <c r="DI82" s="15"/>
      <c r="DJ82" s="15"/>
      <c r="DK82" s="15"/>
      <c r="DM82" s="15"/>
      <c r="DN82" s="15"/>
      <c r="DO82" s="15"/>
      <c r="DP82" s="15"/>
      <c r="DQ82" s="15"/>
      <c r="DR82" s="15"/>
      <c r="DS82" s="15"/>
      <c r="DU82" s="15"/>
      <c r="DV82" s="15"/>
      <c r="DW82" s="15"/>
      <c r="DX82" s="15"/>
      <c r="DY82" s="15"/>
      <c r="DZ82" s="15"/>
      <c r="EA82" s="15"/>
      <c r="EC82" s="15"/>
      <c r="ED82" s="15"/>
      <c r="EE82" s="15"/>
      <c r="EF82" s="15"/>
      <c r="EG82" s="15"/>
      <c r="EH82" s="15"/>
      <c r="EI82" s="15"/>
      <c r="EP82" s="15"/>
      <c r="EQ82" s="15"/>
      <c r="EX82" s="15"/>
      <c r="EY82" s="15"/>
      <c r="FF82" s="15"/>
      <c r="FG82" s="15"/>
      <c r="FM82" s="15"/>
    </row>
    <row r="83" ht="15.75" hidden="1" customHeight="1" spans="5:169">
      <c r="E83" s="15"/>
      <c r="F83" s="15"/>
      <c r="G83" s="15"/>
      <c r="H83" s="15"/>
      <c r="I83" s="15"/>
      <c r="J83" s="15"/>
      <c r="K83" s="15"/>
      <c r="M83" s="15"/>
      <c r="N83" s="15"/>
      <c r="O83" s="15"/>
      <c r="P83" s="15"/>
      <c r="Q83" s="15"/>
      <c r="R83" s="15"/>
      <c r="S83" s="15"/>
      <c r="U83" s="15"/>
      <c r="V83" s="15"/>
      <c r="W83" s="15"/>
      <c r="X83" s="15"/>
      <c r="Y83" s="15"/>
      <c r="Z83" s="15"/>
      <c r="AA83" s="15"/>
      <c r="AC83" s="15"/>
      <c r="AD83" s="15"/>
      <c r="AE83" s="15"/>
      <c r="AF83" s="15"/>
      <c r="AG83" s="15"/>
      <c r="AH83" s="15"/>
      <c r="AI83" s="15"/>
      <c r="AK83" s="15"/>
      <c r="AL83" s="15"/>
      <c r="AM83" s="15"/>
      <c r="AN83" s="15"/>
      <c r="AO83" s="15"/>
      <c r="AP83" s="15"/>
      <c r="AQ83" s="15"/>
      <c r="AS83" s="15"/>
      <c r="AT83" s="15"/>
      <c r="AU83" s="15"/>
      <c r="AV83" s="15"/>
      <c r="AW83" s="15"/>
      <c r="AX83" s="15"/>
      <c r="AY83" s="15"/>
      <c r="BA83" s="15"/>
      <c r="BB83" s="15"/>
      <c r="BC83" s="15"/>
      <c r="BD83" s="15"/>
      <c r="BE83" s="15"/>
      <c r="BF83" s="15"/>
      <c r="BG83" s="15"/>
      <c r="BI83" s="15"/>
      <c r="BJ83" s="15"/>
      <c r="BK83" s="15"/>
      <c r="BL83" s="15"/>
      <c r="BM83" s="15"/>
      <c r="BN83" s="15"/>
      <c r="BO83" s="15"/>
      <c r="BQ83" s="15"/>
      <c r="BR83" s="15"/>
      <c r="BS83" s="15"/>
      <c r="BT83" s="15"/>
      <c r="BU83" s="15"/>
      <c r="BV83" s="15"/>
      <c r="BW83" s="15"/>
      <c r="BY83" s="15"/>
      <c r="BZ83" s="15"/>
      <c r="CA83" s="15"/>
      <c r="CB83" s="15"/>
      <c r="CC83" s="15"/>
      <c r="CD83" s="15"/>
      <c r="CE83" s="15"/>
      <c r="CG83" s="15"/>
      <c r="CH83" s="15"/>
      <c r="CI83" s="15"/>
      <c r="CJ83" s="15"/>
      <c r="CK83" s="15"/>
      <c r="CL83" s="15"/>
      <c r="CM83" s="15"/>
      <c r="CO83" s="15"/>
      <c r="CP83" s="15"/>
      <c r="CQ83" s="15"/>
      <c r="CR83" s="15"/>
      <c r="CS83" s="15"/>
      <c r="CT83" s="15"/>
      <c r="CU83" s="15"/>
      <c r="CW83" s="15"/>
      <c r="CX83" s="15"/>
      <c r="CY83" s="15"/>
      <c r="CZ83" s="15"/>
      <c r="DA83" s="15"/>
      <c r="DB83" s="15"/>
      <c r="DC83" s="15"/>
      <c r="DE83" s="15"/>
      <c r="DF83" s="15"/>
      <c r="DG83" s="15"/>
      <c r="DH83" s="15"/>
      <c r="DI83" s="15"/>
      <c r="DJ83" s="15"/>
      <c r="DK83" s="15"/>
      <c r="DM83" s="15"/>
      <c r="DN83" s="15"/>
      <c r="DO83" s="15"/>
      <c r="DP83" s="15"/>
      <c r="DQ83" s="15"/>
      <c r="DR83" s="15"/>
      <c r="DS83" s="15"/>
      <c r="DU83" s="15"/>
      <c r="DV83" s="15"/>
      <c r="DW83" s="15"/>
      <c r="DX83" s="15"/>
      <c r="DY83" s="15"/>
      <c r="DZ83" s="15"/>
      <c r="EA83" s="15"/>
      <c r="EC83" s="15"/>
      <c r="ED83" s="15"/>
      <c r="EE83" s="15"/>
      <c r="EF83" s="15"/>
      <c r="EG83" s="15"/>
      <c r="EH83" s="15"/>
      <c r="EI83" s="15"/>
      <c r="EP83" s="15"/>
      <c r="EQ83" s="15"/>
      <c r="EX83" s="15"/>
      <c r="EY83" s="15"/>
      <c r="FF83" s="15"/>
      <c r="FG83" s="15"/>
      <c r="FM83" s="15"/>
    </row>
    <row r="84" ht="15.75" hidden="1" customHeight="1" spans="5:169">
      <c r="E84" s="15"/>
      <c r="F84" s="15"/>
      <c r="G84" s="15"/>
      <c r="H84" s="15"/>
      <c r="I84" s="15"/>
      <c r="J84" s="15"/>
      <c r="K84" s="15"/>
      <c r="M84" s="15"/>
      <c r="N84" s="15"/>
      <c r="O84" s="15"/>
      <c r="P84" s="15"/>
      <c r="Q84" s="15"/>
      <c r="R84" s="15"/>
      <c r="S84" s="15"/>
      <c r="U84" s="15"/>
      <c r="V84" s="15"/>
      <c r="W84" s="15"/>
      <c r="X84" s="15"/>
      <c r="Y84" s="15"/>
      <c r="Z84" s="15"/>
      <c r="AA84" s="15"/>
      <c r="AC84" s="15"/>
      <c r="AD84" s="15"/>
      <c r="AE84" s="15"/>
      <c r="AF84" s="15"/>
      <c r="AG84" s="15"/>
      <c r="AH84" s="15"/>
      <c r="AI84" s="15"/>
      <c r="AK84" s="15"/>
      <c r="AL84" s="15"/>
      <c r="AM84" s="15"/>
      <c r="AN84" s="15"/>
      <c r="AO84" s="15"/>
      <c r="AP84" s="15"/>
      <c r="AQ84" s="15"/>
      <c r="AS84" s="15"/>
      <c r="AT84" s="15"/>
      <c r="AU84" s="15"/>
      <c r="AV84" s="15"/>
      <c r="AW84" s="15"/>
      <c r="AX84" s="15"/>
      <c r="AY84" s="15"/>
      <c r="BA84" s="15"/>
      <c r="BB84" s="15"/>
      <c r="BC84" s="15"/>
      <c r="BD84" s="15"/>
      <c r="BE84" s="15"/>
      <c r="BF84" s="15"/>
      <c r="BG84" s="15"/>
      <c r="BI84" s="15"/>
      <c r="BJ84" s="15"/>
      <c r="BK84" s="15"/>
      <c r="BL84" s="15"/>
      <c r="BM84" s="15"/>
      <c r="BN84" s="15"/>
      <c r="BO84" s="15"/>
      <c r="BQ84" s="15"/>
      <c r="BR84" s="15"/>
      <c r="BS84" s="15"/>
      <c r="BT84" s="15"/>
      <c r="BU84" s="15"/>
      <c r="BV84" s="15"/>
      <c r="BW84" s="15"/>
      <c r="BY84" s="15"/>
      <c r="BZ84" s="15"/>
      <c r="CA84" s="15"/>
      <c r="CB84" s="15"/>
      <c r="CC84" s="15"/>
      <c r="CD84" s="15"/>
      <c r="CE84" s="15"/>
      <c r="CG84" s="15"/>
      <c r="CH84" s="15"/>
      <c r="CI84" s="15"/>
      <c r="CJ84" s="15"/>
      <c r="CK84" s="15"/>
      <c r="CL84" s="15"/>
      <c r="CM84" s="15"/>
      <c r="CO84" s="15"/>
      <c r="CP84" s="15"/>
      <c r="CQ84" s="15"/>
      <c r="CR84" s="15"/>
      <c r="CS84" s="15"/>
      <c r="CT84" s="15"/>
      <c r="CU84" s="15"/>
      <c r="CW84" s="15"/>
      <c r="CX84" s="15"/>
      <c r="CY84" s="15"/>
      <c r="CZ84" s="15"/>
      <c r="DA84" s="15"/>
      <c r="DB84" s="15"/>
      <c r="DC84" s="15"/>
      <c r="DE84" s="15"/>
      <c r="DF84" s="15"/>
      <c r="DG84" s="15"/>
      <c r="DH84" s="15"/>
      <c r="DI84" s="15"/>
      <c r="DJ84" s="15"/>
      <c r="DK84" s="15"/>
      <c r="DM84" s="15"/>
      <c r="DN84" s="15"/>
      <c r="DO84" s="15"/>
      <c r="DP84" s="15"/>
      <c r="DQ84" s="15"/>
      <c r="DR84" s="15"/>
      <c r="DS84" s="15"/>
      <c r="DU84" s="15"/>
      <c r="DV84" s="15"/>
      <c r="DW84" s="15"/>
      <c r="DX84" s="15"/>
      <c r="DY84" s="15"/>
      <c r="DZ84" s="15"/>
      <c r="EA84" s="15"/>
      <c r="EC84" s="15"/>
      <c r="ED84" s="15"/>
      <c r="EE84" s="15"/>
      <c r="EF84" s="15"/>
      <c r="EG84" s="15"/>
      <c r="EH84" s="15"/>
      <c r="EI84" s="15"/>
      <c r="EP84" s="15"/>
      <c r="EQ84" s="15"/>
      <c r="EX84" s="15"/>
      <c r="EY84" s="15"/>
      <c r="FF84" s="15"/>
      <c r="FG84" s="15"/>
      <c r="FM84" s="15"/>
    </row>
    <row r="85" ht="15.75" hidden="1" customHeight="1" spans="5:169">
      <c r="E85" s="15"/>
      <c r="F85" s="15"/>
      <c r="G85" s="15"/>
      <c r="H85" s="15"/>
      <c r="I85" s="15"/>
      <c r="J85" s="15"/>
      <c r="K85" s="15"/>
      <c r="M85" s="15"/>
      <c r="N85" s="15"/>
      <c r="O85" s="15"/>
      <c r="P85" s="15"/>
      <c r="Q85" s="15"/>
      <c r="R85" s="15"/>
      <c r="S85" s="15"/>
      <c r="U85" s="15"/>
      <c r="V85" s="15"/>
      <c r="W85" s="15"/>
      <c r="X85" s="15"/>
      <c r="Y85" s="15"/>
      <c r="Z85" s="15"/>
      <c r="AA85" s="15"/>
      <c r="AC85" s="15"/>
      <c r="AD85" s="15"/>
      <c r="AE85" s="15"/>
      <c r="AF85" s="15"/>
      <c r="AG85" s="15"/>
      <c r="AH85" s="15"/>
      <c r="AI85" s="15"/>
      <c r="AK85" s="15"/>
      <c r="AL85" s="15"/>
      <c r="AM85" s="15"/>
      <c r="AN85" s="15"/>
      <c r="AO85" s="15"/>
      <c r="AP85" s="15"/>
      <c r="AQ85" s="15"/>
      <c r="AS85" s="15"/>
      <c r="AT85" s="15"/>
      <c r="AU85" s="15"/>
      <c r="AV85" s="15"/>
      <c r="AW85" s="15"/>
      <c r="AX85" s="15"/>
      <c r="AY85" s="15"/>
      <c r="BA85" s="15"/>
      <c r="BB85" s="15"/>
      <c r="BC85" s="15"/>
      <c r="BD85" s="15"/>
      <c r="BE85" s="15"/>
      <c r="BF85" s="15"/>
      <c r="BG85" s="15"/>
      <c r="BI85" s="15"/>
      <c r="BJ85" s="15"/>
      <c r="BK85" s="15"/>
      <c r="BL85" s="15"/>
      <c r="BM85" s="15"/>
      <c r="BN85" s="15"/>
      <c r="BO85" s="15"/>
      <c r="BQ85" s="15"/>
      <c r="BR85" s="15"/>
      <c r="BS85" s="15"/>
      <c r="BT85" s="15"/>
      <c r="BU85" s="15"/>
      <c r="BV85" s="15"/>
      <c r="BW85" s="15"/>
      <c r="BY85" s="15"/>
      <c r="BZ85" s="15"/>
      <c r="CA85" s="15"/>
      <c r="CB85" s="15"/>
      <c r="CC85" s="15"/>
      <c r="CD85" s="15"/>
      <c r="CE85" s="15"/>
      <c r="CG85" s="15"/>
      <c r="CH85" s="15"/>
      <c r="CI85" s="15"/>
      <c r="CJ85" s="15"/>
      <c r="CK85" s="15"/>
      <c r="CL85" s="15"/>
      <c r="CM85" s="15"/>
      <c r="CO85" s="15"/>
      <c r="CP85" s="15"/>
      <c r="CQ85" s="15"/>
      <c r="CR85" s="15"/>
      <c r="CS85" s="15"/>
      <c r="CT85" s="15"/>
      <c r="CU85" s="15"/>
      <c r="CW85" s="15"/>
      <c r="CX85" s="15"/>
      <c r="CY85" s="15"/>
      <c r="CZ85" s="15"/>
      <c r="DA85" s="15"/>
      <c r="DB85" s="15"/>
      <c r="DC85" s="15"/>
      <c r="DE85" s="15"/>
      <c r="DF85" s="15"/>
      <c r="DG85" s="15"/>
      <c r="DH85" s="15"/>
      <c r="DI85" s="15"/>
      <c r="DJ85" s="15"/>
      <c r="DK85" s="15"/>
      <c r="DM85" s="15"/>
      <c r="DN85" s="15"/>
      <c r="DO85" s="15"/>
      <c r="DP85" s="15"/>
      <c r="DQ85" s="15"/>
      <c r="DR85" s="15"/>
      <c r="DS85" s="15"/>
      <c r="DU85" s="15"/>
      <c r="DV85" s="15"/>
      <c r="DW85" s="15"/>
      <c r="DX85" s="15"/>
      <c r="DY85" s="15"/>
      <c r="DZ85" s="15"/>
      <c r="EA85" s="15"/>
      <c r="EC85" s="15"/>
      <c r="ED85" s="15"/>
      <c r="EE85" s="15"/>
      <c r="EF85" s="15"/>
      <c r="EG85" s="15"/>
      <c r="EH85" s="15"/>
      <c r="EI85" s="15"/>
      <c r="EP85" s="15"/>
      <c r="EQ85" s="15"/>
      <c r="EX85" s="15"/>
      <c r="EY85" s="15"/>
      <c r="FF85" s="15"/>
      <c r="FG85" s="15"/>
      <c r="FM85" s="15"/>
    </row>
    <row r="86" ht="15.75" hidden="1" customHeight="1" spans="5:169">
      <c r="E86" s="15"/>
      <c r="F86" s="15"/>
      <c r="G86" s="15"/>
      <c r="H86" s="15"/>
      <c r="I86" s="15"/>
      <c r="J86" s="15"/>
      <c r="K86" s="15"/>
      <c r="M86" s="15"/>
      <c r="N86" s="15"/>
      <c r="O86" s="15"/>
      <c r="P86" s="15"/>
      <c r="Q86" s="15"/>
      <c r="R86" s="15"/>
      <c r="S86" s="15"/>
      <c r="U86" s="15"/>
      <c r="V86" s="15"/>
      <c r="W86" s="15"/>
      <c r="X86" s="15"/>
      <c r="Y86" s="15"/>
      <c r="Z86" s="15"/>
      <c r="AA86" s="15"/>
      <c r="AC86" s="15"/>
      <c r="AD86" s="15"/>
      <c r="AE86" s="15"/>
      <c r="AF86" s="15"/>
      <c r="AG86" s="15"/>
      <c r="AH86" s="15"/>
      <c r="AI86" s="15"/>
      <c r="AK86" s="15"/>
      <c r="AL86" s="15"/>
      <c r="AM86" s="15"/>
      <c r="AN86" s="15"/>
      <c r="AO86" s="15"/>
      <c r="AP86" s="15"/>
      <c r="AQ86" s="15"/>
      <c r="AS86" s="15"/>
      <c r="AT86" s="15"/>
      <c r="AU86" s="15"/>
      <c r="AV86" s="15"/>
      <c r="AW86" s="15"/>
      <c r="AX86" s="15"/>
      <c r="AY86" s="15"/>
      <c r="BA86" s="15"/>
      <c r="BB86" s="15"/>
      <c r="BC86" s="15"/>
      <c r="BD86" s="15"/>
      <c r="BE86" s="15"/>
      <c r="BF86" s="15"/>
      <c r="BG86" s="15"/>
      <c r="BI86" s="15"/>
      <c r="BJ86" s="15"/>
      <c r="BK86" s="15"/>
      <c r="BL86" s="15"/>
      <c r="BM86" s="15"/>
      <c r="BN86" s="15"/>
      <c r="BO86" s="15"/>
      <c r="BQ86" s="15"/>
      <c r="BR86" s="15"/>
      <c r="BS86" s="15"/>
      <c r="BT86" s="15"/>
      <c r="BU86" s="15"/>
      <c r="BV86" s="15"/>
      <c r="BW86" s="15"/>
      <c r="BY86" s="15"/>
      <c r="BZ86" s="15"/>
      <c r="CA86" s="15"/>
      <c r="CB86" s="15"/>
      <c r="CC86" s="15"/>
      <c r="CD86" s="15"/>
      <c r="CE86" s="15"/>
      <c r="CG86" s="15"/>
      <c r="CH86" s="15"/>
      <c r="CI86" s="15"/>
      <c r="CJ86" s="15"/>
      <c r="CK86" s="15"/>
      <c r="CL86" s="15"/>
      <c r="CM86" s="15"/>
      <c r="CO86" s="15"/>
      <c r="CP86" s="15"/>
      <c r="CQ86" s="15"/>
      <c r="CR86" s="15"/>
      <c r="CS86" s="15"/>
      <c r="CT86" s="15"/>
      <c r="CU86" s="15"/>
      <c r="CW86" s="15"/>
      <c r="CX86" s="15"/>
      <c r="CY86" s="15"/>
      <c r="CZ86" s="15"/>
      <c r="DA86" s="15"/>
      <c r="DB86" s="15"/>
      <c r="DC86" s="15"/>
      <c r="DE86" s="15"/>
      <c r="DF86" s="15"/>
      <c r="DG86" s="15"/>
      <c r="DH86" s="15"/>
      <c r="DI86" s="15"/>
      <c r="DJ86" s="15"/>
      <c r="DK86" s="15"/>
      <c r="DM86" s="15"/>
      <c r="DN86" s="15"/>
      <c r="DO86" s="15"/>
      <c r="DP86" s="15"/>
      <c r="DQ86" s="15"/>
      <c r="DR86" s="15"/>
      <c r="DS86" s="15"/>
      <c r="DU86" s="15"/>
      <c r="DV86" s="15"/>
      <c r="DW86" s="15"/>
      <c r="DX86" s="15"/>
      <c r="DY86" s="15"/>
      <c r="DZ86" s="15"/>
      <c r="EA86" s="15"/>
      <c r="EC86" s="15"/>
      <c r="ED86" s="15"/>
      <c r="EE86" s="15"/>
      <c r="EF86" s="15"/>
      <c r="EG86" s="15"/>
      <c r="EH86" s="15"/>
      <c r="EI86" s="15"/>
      <c r="EP86" s="15"/>
      <c r="EQ86" s="15"/>
      <c r="EX86" s="15"/>
      <c r="EY86" s="15"/>
      <c r="FF86" s="15"/>
      <c r="FG86" s="15"/>
      <c r="FM86" s="15"/>
    </row>
    <row r="87" ht="15.75" hidden="1" customHeight="1" spans="5:169">
      <c r="E87" s="15"/>
      <c r="F87" s="15"/>
      <c r="G87" s="15"/>
      <c r="H87" s="15"/>
      <c r="I87" s="15"/>
      <c r="J87" s="15"/>
      <c r="K87" s="15"/>
      <c r="M87" s="15"/>
      <c r="N87" s="15"/>
      <c r="O87" s="15"/>
      <c r="P87" s="15"/>
      <c r="Q87" s="15"/>
      <c r="R87" s="15"/>
      <c r="S87" s="15"/>
      <c r="U87" s="15"/>
      <c r="V87" s="15"/>
      <c r="W87" s="15"/>
      <c r="X87" s="15"/>
      <c r="Y87" s="15"/>
      <c r="Z87" s="15"/>
      <c r="AA87" s="15"/>
      <c r="AC87" s="15"/>
      <c r="AD87" s="15"/>
      <c r="AE87" s="15"/>
      <c r="AF87" s="15"/>
      <c r="AG87" s="15"/>
      <c r="AH87" s="15"/>
      <c r="AI87" s="15"/>
      <c r="AK87" s="15"/>
      <c r="AL87" s="15"/>
      <c r="AM87" s="15"/>
      <c r="AN87" s="15"/>
      <c r="AO87" s="15"/>
      <c r="AP87" s="15"/>
      <c r="AQ87" s="15"/>
      <c r="AS87" s="15"/>
      <c r="AT87" s="15"/>
      <c r="AU87" s="15"/>
      <c r="AV87" s="15"/>
      <c r="AW87" s="15"/>
      <c r="AX87" s="15"/>
      <c r="AY87" s="15"/>
      <c r="BA87" s="15"/>
      <c r="BB87" s="15"/>
      <c r="BC87" s="15"/>
      <c r="BD87" s="15"/>
      <c r="BE87" s="15"/>
      <c r="BF87" s="15"/>
      <c r="BG87" s="15"/>
      <c r="BI87" s="15"/>
      <c r="BJ87" s="15"/>
      <c r="BK87" s="15"/>
      <c r="BL87" s="15"/>
      <c r="BM87" s="15"/>
      <c r="BN87" s="15"/>
      <c r="BO87" s="15"/>
      <c r="BQ87" s="15"/>
      <c r="BR87" s="15"/>
      <c r="BS87" s="15"/>
      <c r="BT87" s="15"/>
      <c r="BU87" s="15"/>
      <c r="BV87" s="15"/>
      <c r="BW87" s="15"/>
      <c r="BY87" s="15"/>
      <c r="BZ87" s="15"/>
      <c r="CA87" s="15"/>
      <c r="CB87" s="15"/>
      <c r="CC87" s="15"/>
      <c r="CD87" s="15"/>
      <c r="CE87" s="15"/>
      <c r="CG87" s="15"/>
      <c r="CH87" s="15"/>
      <c r="CI87" s="15"/>
      <c r="CJ87" s="15"/>
      <c r="CK87" s="15"/>
      <c r="CL87" s="15"/>
      <c r="CM87" s="15"/>
      <c r="CO87" s="15"/>
      <c r="CP87" s="15"/>
      <c r="CQ87" s="15"/>
      <c r="CR87" s="15"/>
      <c r="CS87" s="15"/>
      <c r="CT87" s="15"/>
      <c r="CU87" s="15"/>
      <c r="CW87" s="15"/>
      <c r="CX87" s="15"/>
      <c r="CY87" s="15"/>
      <c r="CZ87" s="15"/>
      <c r="DA87" s="15"/>
      <c r="DB87" s="15"/>
      <c r="DC87" s="15"/>
      <c r="DE87" s="15"/>
      <c r="DF87" s="15"/>
      <c r="DG87" s="15"/>
      <c r="DH87" s="15"/>
      <c r="DI87" s="15"/>
      <c r="DJ87" s="15"/>
      <c r="DK87" s="15"/>
      <c r="DM87" s="15"/>
      <c r="DN87" s="15"/>
      <c r="DO87" s="15"/>
      <c r="DP87" s="15"/>
      <c r="DQ87" s="15"/>
      <c r="DR87" s="15"/>
      <c r="DS87" s="15"/>
      <c r="DU87" s="15"/>
      <c r="DV87" s="15"/>
      <c r="DW87" s="15"/>
      <c r="DX87" s="15"/>
      <c r="DY87" s="15"/>
      <c r="DZ87" s="15"/>
      <c r="EA87" s="15"/>
      <c r="EC87" s="15"/>
      <c r="ED87" s="15"/>
      <c r="EE87" s="15"/>
      <c r="EF87" s="15"/>
      <c r="EG87" s="15"/>
      <c r="EH87" s="15"/>
      <c r="EI87" s="15"/>
      <c r="EP87" s="15"/>
      <c r="EQ87" s="15"/>
      <c r="EX87" s="15"/>
      <c r="EY87" s="15"/>
      <c r="FF87" s="15"/>
      <c r="FG87" s="15"/>
      <c r="FM87" s="15"/>
    </row>
    <row r="88" ht="15.75" hidden="1" customHeight="1" spans="5:169">
      <c r="E88" s="15"/>
      <c r="F88" s="15"/>
      <c r="G88" s="15"/>
      <c r="H88" s="15"/>
      <c r="I88" s="15"/>
      <c r="J88" s="15"/>
      <c r="K88" s="15"/>
      <c r="M88" s="15"/>
      <c r="N88" s="15"/>
      <c r="O88" s="15"/>
      <c r="P88" s="15"/>
      <c r="Q88" s="15"/>
      <c r="R88" s="15"/>
      <c r="S88" s="15"/>
      <c r="U88" s="15"/>
      <c r="V88" s="15"/>
      <c r="W88" s="15"/>
      <c r="X88" s="15"/>
      <c r="Y88" s="15"/>
      <c r="Z88" s="15"/>
      <c r="AA88" s="15"/>
      <c r="AC88" s="15"/>
      <c r="AD88" s="15"/>
      <c r="AE88" s="15"/>
      <c r="AF88" s="15"/>
      <c r="AG88" s="15"/>
      <c r="AH88" s="15"/>
      <c r="AI88" s="15"/>
      <c r="AK88" s="15"/>
      <c r="AL88" s="15"/>
      <c r="AM88" s="15"/>
      <c r="AN88" s="15"/>
      <c r="AO88" s="15"/>
      <c r="AP88" s="15"/>
      <c r="AQ88" s="15"/>
      <c r="AS88" s="15"/>
      <c r="AT88" s="15"/>
      <c r="AU88" s="15"/>
      <c r="AV88" s="15"/>
      <c r="AW88" s="15"/>
      <c r="AX88" s="15"/>
      <c r="AY88" s="15"/>
      <c r="BA88" s="15"/>
      <c r="BB88" s="15"/>
      <c r="BC88" s="15"/>
      <c r="BD88" s="15"/>
      <c r="BE88" s="15"/>
      <c r="BF88" s="15"/>
      <c r="BG88" s="15"/>
      <c r="BI88" s="15"/>
      <c r="BJ88" s="15"/>
      <c r="BK88" s="15"/>
      <c r="BL88" s="15"/>
      <c r="BM88" s="15"/>
      <c r="BN88" s="15"/>
      <c r="BO88" s="15"/>
      <c r="BQ88" s="15"/>
      <c r="BR88" s="15"/>
      <c r="BS88" s="15"/>
      <c r="BT88" s="15"/>
      <c r="BU88" s="15"/>
      <c r="BV88" s="15"/>
      <c r="BW88" s="15"/>
      <c r="BY88" s="15"/>
      <c r="BZ88" s="15"/>
      <c r="CA88" s="15"/>
      <c r="CB88" s="15"/>
      <c r="CC88" s="15"/>
      <c r="CD88" s="15"/>
      <c r="CE88" s="15"/>
      <c r="CG88" s="15"/>
      <c r="CH88" s="15"/>
      <c r="CI88" s="15"/>
      <c r="CJ88" s="15"/>
      <c r="CK88" s="15"/>
      <c r="CL88" s="15"/>
      <c r="CM88" s="15"/>
      <c r="CO88" s="15"/>
      <c r="CP88" s="15"/>
      <c r="CQ88" s="15"/>
      <c r="CR88" s="15"/>
      <c r="CS88" s="15"/>
      <c r="CT88" s="15"/>
      <c r="CU88" s="15"/>
      <c r="CW88" s="15"/>
      <c r="CX88" s="15"/>
      <c r="CY88" s="15"/>
      <c r="CZ88" s="15"/>
      <c r="DA88" s="15"/>
      <c r="DB88" s="15"/>
      <c r="DC88" s="15"/>
      <c r="DE88" s="15"/>
      <c r="DF88" s="15"/>
      <c r="DG88" s="15"/>
      <c r="DH88" s="15"/>
      <c r="DI88" s="15"/>
      <c r="DJ88" s="15"/>
      <c r="DK88" s="15"/>
      <c r="DM88" s="15"/>
      <c r="DN88" s="15"/>
      <c r="DO88" s="15"/>
      <c r="DP88" s="15"/>
      <c r="DQ88" s="15"/>
      <c r="DR88" s="15"/>
      <c r="DS88" s="15"/>
      <c r="DU88" s="15"/>
      <c r="DV88" s="15"/>
      <c r="DW88" s="15"/>
      <c r="DX88" s="15"/>
      <c r="DY88" s="15"/>
      <c r="DZ88" s="15"/>
      <c r="EA88" s="15"/>
      <c r="EC88" s="15"/>
      <c r="ED88" s="15"/>
      <c r="EE88" s="15"/>
      <c r="EF88" s="15"/>
      <c r="EG88" s="15"/>
      <c r="EH88" s="15"/>
      <c r="EI88" s="15"/>
      <c r="EP88" s="15"/>
      <c r="EQ88" s="15"/>
      <c r="EX88" s="15"/>
      <c r="EY88" s="15"/>
      <c r="FF88" s="15"/>
      <c r="FG88" s="15"/>
      <c r="FM88" s="15"/>
    </row>
    <row r="89" ht="15.75" hidden="1" customHeight="1" spans="5:169">
      <c r="E89" s="15"/>
      <c r="F89" s="15"/>
      <c r="G89" s="15"/>
      <c r="H89" s="15"/>
      <c r="I89" s="15"/>
      <c r="J89" s="15"/>
      <c r="K89" s="15"/>
      <c r="M89" s="15"/>
      <c r="N89" s="15"/>
      <c r="O89" s="15"/>
      <c r="P89" s="15"/>
      <c r="Q89" s="15"/>
      <c r="R89" s="15"/>
      <c r="S89" s="15"/>
      <c r="U89" s="15"/>
      <c r="V89" s="15"/>
      <c r="W89" s="15"/>
      <c r="X89" s="15"/>
      <c r="Y89" s="15"/>
      <c r="Z89" s="15"/>
      <c r="AA89" s="15"/>
      <c r="AC89" s="15"/>
      <c r="AD89" s="15"/>
      <c r="AE89" s="15"/>
      <c r="AF89" s="15"/>
      <c r="AG89" s="15"/>
      <c r="AH89" s="15"/>
      <c r="AI89" s="15"/>
      <c r="AK89" s="15"/>
      <c r="AL89" s="15"/>
      <c r="AM89" s="15"/>
      <c r="AN89" s="15"/>
      <c r="AO89" s="15"/>
      <c r="AP89" s="15"/>
      <c r="AQ89" s="15"/>
      <c r="AS89" s="15"/>
      <c r="AT89" s="15"/>
      <c r="AU89" s="15"/>
      <c r="AV89" s="15"/>
      <c r="AW89" s="15"/>
      <c r="AX89" s="15"/>
      <c r="AY89" s="15"/>
      <c r="BA89" s="15"/>
      <c r="BB89" s="15"/>
      <c r="BC89" s="15"/>
      <c r="BD89" s="15"/>
      <c r="BE89" s="15"/>
      <c r="BF89" s="15"/>
      <c r="BG89" s="15"/>
      <c r="BI89" s="15"/>
      <c r="BJ89" s="15"/>
      <c r="BK89" s="15"/>
      <c r="BL89" s="15"/>
      <c r="BM89" s="15"/>
      <c r="BN89" s="15"/>
      <c r="BO89" s="15"/>
      <c r="BQ89" s="15"/>
      <c r="BR89" s="15"/>
      <c r="BS89" s="15"/>
      <c r="BT89" s="15"/>
      <c r="BU89" s="15"/>
      <c r="BV89" s="15"/>
      <c r="BW89" s="15"/>
      <c r="BY89" s="15"/>
      <c r="BZ89" s="15"/>
      <c r="CA89" s="15"/>
      <c r="CB89" s="15"/>
      <c r="CC89" s="15"/>
      <c r="CD89" s="15"/>
      <c r="CE89" s="15"/>
      <c r="CG89" s="15"/>
      <c r="CH89" s="15"/>
      <c r="CI89" s="15"/>
      <c r="CJ89" s="15"/>
      <c r="CK89" s="15"/>
      <c r="CL89" s="15"/>
      <c r="CM89" s="15"/>
      <c r="CO89" s="15"/>
      <c r="CP89" s="15"/>
      <c r="CQ89" s="15"/>
      <c r="CR89" s="15"/>
      <c r="CS89" s="15"/>
      <c r="CT89" s="15"/>
      <c r="CU89" s="15"/>
      <c r="CW89" s="15"/>
      <c r="CX89" s="15"/>
      <c r="CY89" s="15"/>
      <c r="CZ89" s="15"/>
      <c r="DA89" s="15"/>
      <c r="DB89" s="15"/>
      <c r="DC89" s="15"/>
      <c r="DE89" s="15"/>
      <c r="DF89" s="15"/>
      <c r="DG89" s="15"/>
      <c r="DH89" s="15"/>
      <c r="DI89" s="15"/>
      <c r="DJ89" s="15"/>
      <c r="DK89" s="15"/>
      <c r="DM89" s="15"/>
      <c r="DN89" s="15"/>
      <c r="DO89" s="15"/>
      <c r="DP89" s="15"/>
      <c r="DQ89" s="15"/>
      <c r="DR89" s="15"/>
      <c r="DS89" s="15"/>
      <c r="DU89" s="15"/>
      <c r="DV89" s="15"/>
      <c r="DW89" s="15"/>
      <c r="DX89" s="15"/>
      <c r="DY89" s="15"/>
      <c r="DZ89" s="15"/>
      <c r="EA89" s="15"/>
      <c r="EC89" s="15"/>
      <c r="ED89" s="15"/>
      <c r="EE89" s="15"/>
      <c r="EF89" s="15"/>
      <c r="EG89" s="15"/>
      <c r="EH89" s="15"/>
      <c r="EI89" s="15"/>
      <c r="EP89" s="15"/>
      <c r="EQ89" s="15"/>
      <c r="EX89" s="15"/>
      <c r="EY89" s="15"/>
      <c r="FF89" s="15"/>
      <c r="FG89" s="15"/>
      <c r="FM89" s="15"/>
    </row>
    <row r="90" ht="15.75" hidden="1" customHeight="1" spans="5:169">
      <c r="E90" s="15"/>
      <c r="F90" s="15"/>
      <c r="G90" s="15"/>
      <c r="H90" s="15"/>
      <c r="I90" s="15"/>
      <c r="J90" s="15"/>
      <c r="K90" s="15"/>
      <c r="M90" s="15"/>
      <c r="N90" s="15"/>
      <c r="O90" s="15"/>
      <c r="P90" s="15"/>
      <c r="Q90" s="15"/>
      <c r="R90" s="15"/>
      <c r="S90" s="15"/>
      <c r="U90" s="15"/>
      <c r="V90" s="15"/>
      <c r="W90" s="15"/>
      <c r="X90" s="15"/>
      <c r="Y90" s="15"/>
      <c r="Z90" s="15"/>
      <c r="AA90" s="15"/>
      <c r="AC90" s="15"/>
      <c r="AD90" s="15"/>
      <c r="AE90" s="15"/>
      <c r="AF90" s="15"/>
      <c r="AG90" s="15"/>
      <c r="AH90" s="15"/>
      <c r="AI90" s="15"/>
      <c r="AK90" s="15"/>
      <c r="AL90" s="15"/>
      <c r="AM90" s="15"/>
      <c r="AN90" s="15"/>
      <c r="AO90" s="15"/>
      <c r="AP90" s="15"/>
      <c r="AQ90" s="15"/>
      <c r="AS90" s="15"/>
      <c r="AT90" s="15"/>
      <c r="AU90" s="15"/>
      <c r="AV90" s="15"/>
      <c r="AW90" s="15"/>
      <c r="AX90" s="15"/>
      <c r="AY90" s="15"/>
      <c r="BA90" s="15"/>
      <c r="BB90" s="15"/>
      <c r="BC90" s="15"/>
      <c r="BD90" s="15"/>
      <c r="BE90" s="15"/>
      <c r="BF90" s="15"/>
      <c r="BG90" s="15"/>
      <c r="BI90" s="15"/>
      <c r="BJ90" s="15"/>
      <c r="BK90" s="15"/>
      <c r="BL90" s="15"/>
      <c r="BM90" s="15"/>
      <c r="BN90" s="15"/>
      <c r="BO90" s="15"/>
      <c r="BQ90" s="15"/>
      <c r="BR90" s="15"/>
      <c r="BS90" s="15"/>
      <c r="BT90" s="15"/>
      <c r="BU90" s="15"/>
      <c r="BV90" s="15"/>
      <c r="BW90" s="15"/>
      <c r="BY90" s="15"/>
      <c r="BZ90" s="15"/>
      <c r="CA90" s="15"/>
      <c r="CB90" s="15"/>
      <c r="CC90" s="15"/>
      <c r="CD90" s="15"/>
      <c r="CE90" s="15"/>
      <c r="CG90" s="15"/>
      <c r="CH90" s="15"/>
      <c r="CI90" s="15"/>
      <c r="CJ90" s="15"/>
      <c r="CK90" s="15"/>
      <c r="CL90" s="15"/>
      <c r="CM90" s="15"/>
      <c r="CO90" s="15"/>
      <c r="CP90" s="15"/>
      <c r="CQ90" s="15"/>
      <c r="CR90" s="15"/>
      <c r="CS90" s="15"/>
      <c r="CT90" s="15"/>
      <c r="CU90" s="15"/>
      <c r="CW90" s="15"/>
      <c r="CX90" s="15"/>
      <c r="CY90" s="15"/>
      <c r="CZ90" s="15"/>
      <c r="DA90" s="15"/>
      <c r="DB90" s="15"/>
      <c r="DC90" s="15"/>
      <c r="DE90" s="15"/>
      <c r="DF90" s="15"/>
      <c r="DG90" s="15"/>
      <c r="DH90" s="15"/>
      <c r="DI90" s="15"/>
      <c r="DJ90" s="15"/>
      <c r="DK90" s="15"/>
      <c r="DM90" s="15"/>
      <c r="DN90" s="15"/>
      <c r="DO90" s="15"/>
      <c r="DP90" s="15"/>
      <c r="DQ90" s="15"/>
      <c r="DR90" s="15"/>
      <c r="DS90" s="15"/>
      <c r="DU90" s="15"/>
      <c r="DV90" s="15"/>
      <c r="DW90" s="15"/>
      <c r="DX90" s="15"/>
      <c r="DY90" s="15"/>
      <c r="DZ90" s="15"/>
      <c r="EA90" s="15"/>
      <c r="EC90" s="15"/>
      <c r="ED90" s="15"/>
      <c r="EE90" s="15"/>
      <c r="EF90" s="15"/>
      <c r="EG90" s="15"/>
      <c r="EH90" s="15"/>
      <c r="EI90" s="15"/>
      <c r="EP90" s="15"/>
      <c r="EQ90" s="15"/>
      <c r="EX90" s="15"/>
      <c r="EY90" s="15"/>
      <c r="FF90" s="15"/>
      <c r="FG90" s="15"/>
      <c r="FM90" s="15"/>
    </row>
    <row r="91" ht="15.75" hidden="1" customHeight="1" spans="5:169">
      <c r="E91" s="15"/>
      <c r="F91" s="15"/>
      <c r="G91" s="15"/>
      <c r="H91" s="15"/>
      <c r="I91" s="15"/>
      <c r="J91" s="15"/>
      <c r="K91" s="15"/>
      <c r="M91" s="15"/>
      <c r="N91" s="15"/>
      <c r="O91" s="15"/>
      <c r="P91" s="15"/>
      <c r="Q91" s="15"/>
      <c r="R91" s="15"/>
      <c r="S91" s="15"/>
      <c r="U91" s="15"/>
      <c r="V91" s="15"/>
      <c r="W91" s="15"/>
      <c r="X91" s="15"/>
      <c r="Y91" s="15"/>
      <c r="Z91" s="15"/>
      <c r="AA91" s="15"/>
      <c r="AC91" s="15"/>
      <c r="AD91" s="15"/>
      <c r="AE91" s="15"/>
      <c r="AF91" s="15"/>
      <c r="AG91" s="15"/>
      <c r="AH91" s="15"/>
      <c r="AI91" s="15"/>
      <c r="AK91" s="15"/>
      <c r="AL91" s="15"/>
      <c r="AM91" s="15"/>
      <c r="AN91" s="15"/>
      <c r="AO91" s="15"/>
      <c r="AP91" s="15"/>
      <c r="AQ91" s="15"/>
      <c r="AS91" s="15"/>
      <c r="AT91" s="15"/>
      <c r="AU91" s="15"/>
      <c r="AV91" s="15"/>
      <c r="AW91" s="15"/>
      <c r="AX91" s="15"/>
      <c r="AY91" s="15"/>
      <c r="BA91" s="15"/>
      <c r="BB91" s="15"/>
      <c r="BC91" s="15"/>
      <c r="BD91" s="15"/>
      <c r="BE91" s="15"/>
      <c r="BF91" s="15"/>
      <c r="BG91" s="15"/>
      <c r="BI91" s="15"/>
      <c r="BJ91" s="15"/>
      <c r="BK91" s="15"/>
      <c r="BL91" s="15"/>
      <c r="BM91" s="15"/>
      <c r="BN91" s="15"/>
      <c r="BO91" s="15"/>
      <c r="BQ91" s="15"/>
      <c r="BR91" s="15"/>
      <c r="BS91" s="15"/>
      <c r="BT91" s="15"/>
      <c r="BU91" s="15"/>
      <c r="BV91" s="15"/>
      <c r="BW91" s="15"/>
      <c r="BY91" s="15"/>
      <c r="BZ91" s="15"/>
      <c r="CA91" s="15"/>
      <c r="CB91" s="15"/>
      <c r="CC91" s="15"/>
      <c r="CD91" s="15"/>
      <c r="CE91" s="15"/>
      <c r="CG91" s="15"/>
      <c r="CH91" s="15"/>
      <c r="CI91" s="15"/>
      <c r="CJ91" s="15"/>
      <c r="CK91" s="15"/>
      <c r="CL91" s="15"/>
      <c r="CM91" s="15"/>
      <c r="CO91" s="15"/>
      <c r="CP91" s="15"/>
      <c r="CQ91" s="15"/>
      <c r="CR91" s="15"/>
      <c r="CS91" s="15"/>
      <c r="CT91" s="15"/>
      <c r="CU91" s="15"/>
      <c r="CW91" s="15"/>
      <c r="CX91" s="15"/>
      <c r="CY91" s="15"/>
      <c r="CZ91" s="15"/>
      <c r="DA91" s="15"/>
      <c r="DB91" s="15"/>
      <c r="DC91" s="15"/>
      <c r="DE91" s="15"/>
      <c r="DF91" s="15"/>
      <c r="DG91" s="15"/>
      <c r="DH91" s="15"/>
      <c r="DI91" s="15"/>
      <c r="DJ91" s="15"/>
      <c r="DK91" s="15"/>
      <c r="DM91" s="15"/>
      <c r="DN91" s="15"/>
      <c r="DO91" s="15"/>
      <c r="DP91" s="15"/>
      <c r="DQ91" s="15"/>
      <c r="DR91" s="15"/>
      <c r="DS91" s="15"/>
      <c r="DU91" s="15"/>
      <c r="DV91" s="15"/>
      <c r="DW91" s="15"/>
      <c r="DX91" s="15"/>
      <c r="DY91" s="15"/>
      <c r="DZ91" s="15"/>
      <c r="EA91" s="15"/>
      <c r="EC91" s="15"/>
      <c r="ED91" s="15"/>
      <c r="EE91" s="15"/>
      <c r="EF91" s="15"/>
      <c r="EG91" s="15"/>
      <c r="EH91" s="15"/>
      <c r="EI91" s="15"/>
      <c r="EP91" s="15"/>
      <c r="EQ91" s="15"/>
      <c r="EX91" s="15"/>
      <c r="EY91" s="15"/>
      <c r="FF91" s="15"/>
      <c r="FG91" s="15"/>
      <c r="FM91" s="15"/>
    </row>
    <row r="92" ht="15.75" hidden="1" customHeight="1" spans="5:169">
      <c r="E92" s="15"/>
      <c r="F92" s="15"/>
      <c r="G92" s="15"/>
      <c r="H92" s="15"/>
      <c r="I92" s="15"/>
      <c r="J92" s="15"/>
      <c r="K92" s="15"/>
      <c r="M92" s="15"/>
      <c r="N92" s="15"/>
      <c r="O92" s="15"/>
      <c r="P92" s="15"/>
      <c r="Q92" s="15"/>
      <c r="R92" s="15"/>
      <c r="S92" s="15"/>
      <c r="U92" s="15"/>
      <c r="V92" s="15"/>
      <c r="W92" s="15"/>
      <c r="X92" s="15"/>
      <c r="Y92" s="15"/>
      <c r="Z92" s="15"/>
      <c r="AA92" s="15"/>
      <c r="AC92" s="15"/>
      <c r="AD92" s="15"/>
      <c r="AE92" s="15"/>
      <c r="AF92" s="15"/>
      <c r="AG92" s="15"/>
      <c r="AH92" s="15"/>
      <c r="AI92" s="15"/>
      <c r="AK92" s="15"/>
      <c r="AL92" s="15"/>
      <c r="AM92" s="15"/>
      <c r="AN92" s="15"/>
      <c r="AO92" s="15"/>
      <c r="AP92" s="15"/>
      <c r="AQ92" s="15"/>
      <c r="AS92" s="15"/>
      <c r="AT92" s="15"/>
      <c r="AU92" s="15"/>
      <c r="AV92" s="15"/>
      <c r="AW92" s="15"/>
      <c r="AX92" s="15"/>
      <c r="AY92" s="15"/>
      <c r="BA92" s="15"/>
      <c r="BB92" s="15"/>
      <c r="BC92" s="15"/>
      <c r="BD92" s="15"/>
      <c r="BE92" s="15"/>
      <c r="BF92" s="15"/>
      <c r="BG92" s="15"/>
      <c r="BI92" s="15"/>
      <c r="BJ92" s="15"/>
      <c r="BK92" s="15"/>
      <c r="BL92" s="15"/>
      <c r="BM92" s="15"/>
      <c r="BN92" s="15"/>
      <c r="BO92" s="15"/>
      <c r="BQ92" s="15"/>
      <c r="BR92" s="15"/>
      <c r="BS92" s="15"/>
      <c r="BT92" s="15"/>
      <c r="BU92" s="15"/>
      <c r="BV92" s="15"/>
      <c r="BW92" s="15"/>
      <c r="BY92" s="15"/>
      <c r="BZ92" s="15"/>
      <c r="CA92" s="15"/>
      <c r="CB92" s="15"/>
      <c r="CC92" s="15"/>
      <c r="CD92" s="15"/>
      <c r="CE92" s="15"/>
      <c r="CG92" s="15"/>
      <c r="CH92" s="15"/>
      <c r="CI92" s="15"/>
      <c r="CJ92" s="15"/>
      <c r="CK92" s="15"/>
      <c r="CL92" s="15"/>
      <c r="CM92" s="15"/>
      <c r="CO92" s="15"/>
      <c r="CP92" s="15"/>
      <c r="CQ92" s="15"/>
      <c r="CR92" s="15"/>
      <c r="CS92" s="15"/>
      <c r="CT92" s="15"/>
      <c r="CU92" s="15"/>
      <c r="CW92" s="15"/>
      <c r="CX92" s="15"/>
      <c r="CY92" s="15"/>
      <c r="CZ92" s="15"/>
      <c r="DA92" s="15"/>
      <c r="DB92" s="15"/>
      <c r="DC92" s="15"/>
      <c r="DE92" s="15"/>
      <c r="DF92" s="15"/>
      <c r="DG92" s="15"/>
      <c r="DH92" s="15"/>
      <c r="DI92" s="15"/>
      <c r="DJ92" s="15"/>
      <c r="DK92" s="15"/>
      <c r="DM92" s="15"/>
      <c r="DN92" s="15"/>
      <c r="DO92" s="15"/>
      <c r="DP92" s="15"/>
      <c r="DQ92" s="15"/>
      <c r="DR92" s="15"/>
      <c r="DS92" s="15"/>
      <c r="DU92" s="15"/>
      <c r="DV92" s="15"/>
      <c r="DW92" s="15"/>
      <c r="DX92" s="15"/>
      <c r="DY92" s="15"/>
      <c r="DZ92" s="15"/>
      <c r="EA92" s="15"/>
      <c r="EC92" s="15"/>
      <c r="ED92" s="15"/>
      <c r="EE92" s="15"/>
      <c r="EF92" s="15"/>
      <c r="EG92" s="15"/>
      <c r="EH92" s="15"/>
      <c r="EI92" s="15"/>
      <c r="EP92" s="15"/>
      <c r="EQ92" s="15"/>
      <c r="EX92" s="15"/>
      <c r="EY92" s="15"/>
      <c r="FF92" s="15"/>
      <c r="FG92" s="15"/>
      <c r="FM92" s="15"/>
    </row>
    <row r="93" ht="15.75" hidden="1" customHeight="1" spans="5:169">
      <c r="E93" s="15"/>
      <c r="F93" s="15"/>
      <c r="G93" s="15"/>
      <c r="H93" s="15"/>
      <c r="I93" s="15"/>
      <c r="J93" s="15"/>
      <c r="K93" s="15"/>
      <c r="M93" s="15"/>
      <c r="N93" s="15"/>
      <c r="O93" s="15"/>
      <c r="P93" s="15"/>
      <c r="Q93" s="15"/>
      <c r="R93" s="15"/>
      <c r="S93" s="15"/>
      <c r="U93" s="15"/>
      <c r="V93" s="15"/>
      <c r="W93" s="15"/>
      <c r="X93" s="15"/>
      <c r="Y93" s="15"/>
      <c r="Z93" s="15"/>
      <c r="AA93" s="15"/>
      <c r="AC93" s="15"/>
      <c r="AD93" s="15"/>
      <c r="AE93" s="15"/>
      <c r="AF93" s="15"/>
      <c r="AG93" s="15"/>
      <c r="AH93" s="15"/>
      <c r="AI93" s="15"/>
      <c r="AK93" s="15"/>
      <c r="AL93" s="15"/>
      <c r="AM93" s="15"/>
      <c r="AN93" s="15"/>
      <c r="AO93" s="15"/>
      <c r="AP93" s="15"/>
      <c r="AQ93" s="15"/>
      <c r="AS93" s="15"/>
      <c r="AT93" s="15"/>
      <c r="AU93" s="15"/>
      <c r="AV93" s="15"/>
      <c r="AW93" s="15"/>
      <c r="AX93" s="15"/>
      <c r="AY93" s="15"/>
      <c r="BA93" s="15"/>
      <c r="BB93" s="15"/>
      <c r="BC93" s="15"/>
      <c r="BD93" s="15"/>
      <c r="BE93" s="15"/>
      <c r="BF93" s="15"/>
      <c r="BG93" s="15"/>
      <c r="BI93" s="15"/>
      <c r="BJ93" s="15"/>
      <c r="BK93" s="15"/>
      <c r="BL93" s="15"/>
      <c r="BM93" s="15"/>
      <c r="BN93" s="15"/>
      <c r="BO93" s="15"/>
      <c r="BQ93" s="15"/>
      <c r="BR93" s="15"/>
      <c r="BS93" s="15"/>
      <c r="BT93" s="15"/>
      <c r="BU93" s="15"/>
      <c r="BV93" s="15"/>
      <c r="BW93" s="15"/>
      <c r="BY93" s="15"/>
      <c r="BZ93" s="15"/>
      <c r="CA93" s="15"/>
      <c r="CB93" s="15"/>
      <c r="CC93" s="15"/>
      <c r="CD93" s="15"/>
      <c r="CE93" s="15"/>
      <c r="CG93" s="15"/>
      <c r="CH93" s="15"/>
      <c r="CI93" s="15"/>
      <c r="CJ93" s="15"/>
      <c r="CK93" s="15"/>
      <c r="CL93" s="15"/>
      <c r="CM93" s="15"/>
      <c r="CO93" s="15"/>
      <c r="CP93" s="15"/>
      <c r="CQ93" s="15"/>
      <c r="CR93" s="15"/>
      <c r="CS93" s="15"/>
      <c r="CT93" s="15"/>
      <c r="CU93" s="15"/>
      <c r="CW93" s="15"/>
      <c r="CX93" s="15"/>
      <c r="CY93" s="15"/>
      <c r="CZ93" s="15"/>
      <c r="DA93" s="15"/>
      <c r="DB93" s="15"/>
      <c r="DC93" s="15"/>
      <c r="DE93" s="15"/>
      <c r="DF93" s="15"/>
      <c r="DG93" s="15"/>
      <c r="DH93" s="15"/>
      <c r="DI93" s="15"/>
      <c r="DJ93" s="15"/>
      <c r="DK93" s="15"/>
      <c r="DM93" s="15"/>
      <c r="DN93" s="15"/>
      <c r="DO93" s="15"/>
      <c r="DP93" s="15"/>
      <c r="DQ93" s="15"/>
      <c r="DR93" s="15"/>
      <c r="DS93" s="15"/>
      <c r="DU93" s="15"/>
      <c r="DV93" s="15"/>
      <c r="DW93" s="15"/>
      <c r="DX93" s="15"/>
      <c r="DY93" s="15"/>
      <c r="DZ93" s="15"/>
      <c r="EA93" s="15"/>
      <c r="EC93" s="15"/>
      <c r="ED93" s="15"/>
      <c r="EE93" s="15"/>
      <c r="EF93" s="15"/>
      <c r="EG93" s="15"/>
      <c r="EH93" s="15"/>
      <c r="EI93" s="15"/>
      <c r="EP93" s="15"/>
      <c r="EQ93" s="15"/>
      <c r="EX93" s="15"/>
      <c r="EY93" s="15"/>
      <c r="FF93" s="15"/>
      <c r="FG93" s="15"/>
      <c r="FM93" s="15"/>
    </row>
    <row r="94" ht="15.75" hidden="1" customHeight="1" spans="5:169">
      <c r="E94" s="15"/>
      <c r="F94" s="15"/>
      <c r="G94" s="15"/>
      <c r="H94" s="15"/>
      <c r="I94" s="15"/>
      <c r="J94" s="15"/>
      <c r="K94" s="15"/>
      <c r="M94" s="15"/>
      <c r="N94" s="15"/>
      <c r="O94" s="15"/>
      <c r="P94" s="15"/>
      <c r="Q94" s="15"/>
      <c r="R94" s="15"/>
      <c r="S94" s="15"/>
      <c r="U94" s="15"/>
      <c r="V94" s="15"/>
      <c r="W94" s="15"/>
      <c r="X94" s="15"/>
      <c r="Y94" s="15"/>
      <c r="Z94" s="15"/>
      <c r="AA94" s="15"/>
      <c r="AC94" s="15"/>
      <c r="AD94" s="15"/>
      <c r="AE94" s="15"/>
      <c r="AF94" s="15"/>
      <c r="AG94" s="15"/>
      <c r="AH94" s="15"/>
      <c r="AI94" s="15"/>
      <c r="AK94" s="15"/>
      <c r="AL94" s="15"/>
      <c r="AM94" s="15"/>
      <c r="AN94" s="15"/>
      <c r="AO94" s="15"/>
      <c r="AP94" s="15"/>
      <c r="AQ94" s="15"/>
      <c r="AS94" s="15"/>
      <c r="AT94" s="15"/>
      <c r="AU94" s="15"/>
      <c r="AV94" s="15"/>
      <c r="AW94" s="15"/>
      <c r="AX94" s="15"/>
      <c r="AY94" s="15"/>
      <c r="BA94" s="15"/>
      <c r="BB94" s="15"/>
      <c r="BC94" s="15"/>
      <c r="BD94" s="15"/>
      <c r="BE94" s="15"/>
      <c r="BF94" s="15"/>
      <c r="BG94" s="15"/>
      <c r="BI94" s="15"/>
      <c r="BJ94" s="15"/>
      <c r="BK94" s="15"/>
      <c r="BL94" s="15"/>
      <c r="BM94" s="15"/>
      <c r="BN94" s="15"/>
      <c r="BO94" s="15"/>
      <c r="BQ94" s="15"/>
      <c r="BR94" s="15"/>
      <c r="BS94" s="15"/>
      <c r="BT94" s="15"/>
      <c r="BU94" s="15"/>
      <c r="BV94" s="15"/>
      <c r="BW94" s="15"/>
      <c r="BY94" s="15"/>
      <c r="BZ94" s="15"/>
      <c r="CA94" s="15"/>
      <c r="CB94" s="15"/>
      <c r="CC94" s="15"/>
      <c r="CD94" s="15"/>
      <c r="CE94" s="15"/>
      <c r="CG94" s="15"/>
      <c r="CH94" s="15"/>
      <c r="CI94" s="15"/>
      <c r="CJ94" s="15"/>
      <c r="CK94" s="15"/>
      <c r="CL94" s="15"/>
      <c r="CM94" s="15"/>
      <c r="CO94" s="15"/>
      <c r="CP94" s="15"/>
      <c r="CQ94" s="15"/>
      <c r="CR94" s="15"/>
      <c r="CS94" s="15"/>
      <c r="CT94" s="15"/>
      <c r="CU94" s="15"/>
      <c r="CW94" s="15"/>
      <c r="CX94" s="15"/>
      <c r="CY94" s="15"/>
      <c r="CZ94" s="15"/>
      <c r="DA94" s="15"/>
      <c r="DB94" s="15"/>
      <c r="DC94" s="15"/>
      <c r="DE94" s="15"/>
      <c r="DF94" s="15"/>
      <c r="DG94" s="15"/>
      <c r="DH94" s="15"/>
      <c r="DI94" s="15"/>
      <c r="DJ94" s="15"/>
      <c r="DK94" s="15"/>
      <c r="DM94" s="15"/>
      <c r="DN94" s="15"/>
      <c r="DO94" s="15"/>
      <c r="DP94" s="15"/>
      <c r="DQ94" s="15"/>
      <c r="DR94" s="15"/>
      <c r="DS94" s="15"/>
      <c r="DU94" s="15"/>
      <c r="DV94" s="15"/>
      <c r="DW94" s="15"/>
      <c r="DX94" s="15"/>
      <c r="DY94" s="15"/>
      <c r="DZ94" s="15"/>
      <c r="EA94" s="15"/>
      <c r="EC94" s="15"/>
      <c r="ED94" s="15"/>
      <c r="EE94" s="15"/>
      <c r="EF94" s="15"/>
      <c r="EG94" s="15"/>
      <c r="EH94" s="15"/>
      <c r="EI94" s="15"/>
      <c r="EP94" s="15"/>
      <c r="EQ94" s="15"/>
      <c r="EX94" s="15"/>
      <c r="EY94" s="15"/>
      <c r="FF94" s="15"/>
      <c r="FG94" s="15"/>
      <c r="FM94" s="15"/>
    </row>
    <row r="95" ht="15.75" hidden="1" customHeight="1" spans="5:169">
      <c r="E95" s="15"/>
      <c r="F95" s="15"/>
      <c r="G95" s="15"/>
      <c r="H95" s="15"/>
      <c r="I95" s="15"/>
      <c r="J95" s="15"/>
      <c r="K95" s="15"/>
      <c r="M95" s="15"/>
      <c r="N95" s="15"/>
      <c r="O95" s="15"/>
      <c r="P95" s="15"/>
      <c r="Q95" s="15"/>
      <c r="R95" s="15"/>
      <c r="S95" s="15"/>
      <c r="U95" s="15"/>
      <c r="V95" s="15"/>
      <c r="W95" s="15"/>
      <c r="X95" s="15"/>
      <c r="Y95" s="15"/>
      <c r="Z95" s="15"/>
      <c r="AA95" s="15"/>
      <c r="AC95" s="15"/>
      <c r="AD95" s="15"/>
      <c r="AE95" s="15"/>
      <c r="AF95" s="15"/>
      <c r="AG95" s="15"/>
      <c r="AH95" s="15"/>
      <c r="AI95" s="15"/>
      <c r="AK95" s="15"/>
      <c r="AL95" s="15"/>
      <c r="AM95" s="15"/>
      <c r="AN95" s="15"/>
      <c r="AO95" s="15"/>
      <c r="AP95" s="15"/>
      <c r="AQ95" s="15"/>
      <c r="AS95" s="15"/>
      <c r="AT95" s="15"/>
      <c r="AU95" s="15"/>
      <c r="AV95" s="15"/>
      <c r="AW95" s="15"/>
      <c r="AX95" s="15"/>
      <c r="AY95" s="15"/>
      <c r="BA95" s="15"/>
      <c r="BB95" s="15"/>
      <c r="BC95" s="15"/>
      <c r="BD95" s="15"/>
      <c r="BE95" s="15"/>
      <c r="BF95" s="15"/>
      <c r="BG95" s="15"/>
      <c r="BI95" s="15"/>
      <c r="BJ95" s="15"/>
      <c r="BK95" s="15"/>
      <c r="BL95" s="15"/>
      <c r="BM95" s="15"/>
      <c r="BN95" s="15"/>
      <c r="BO95" s="15"/>
      <c r="BQ95" s="15"/>
      <c r="BR95" s="15"/>
      <c r="BS95" s="15"/>
      <c r="BT95" s="15"/>
      <c r="BU95" s="15"/>
      <c r="BV95" s="15"/>
      <c r="BW95" s="15"/>
      <c r="BY95" s="15"/>
      <c r="BZ95" s="15"/>
      <c r="CA95" s="15"/>
      <c r="CB95" s="15"/>
      <c r="CC95" s="15"/>
      <c r="CD95" s="15"/>
      <c r="CE95" s="15"/>
      <c r="CG95" s="15"/>
      <c r="CH95" s="15"/>
      <c r="CI95" s="15"/>
      <c r="CJ95" s="15"/>
      <c r="CK95" s="15"/>
      <c r="CL95" s="15"/>
      <c r="CM95" s="15"/>
      <c r="CO95" s="15"/>
      <c r="CP95" s="15"/>
      <c r="CQ95" s="15"/>
      <c r="CR95" s="15"/>
      <c r="CS95" s="15"/>
      <c r="CT95" s="15"/>
      <c r="CU95" s="15"/>
      <c r="CW95" s="15"/>
      <c r="CX95" s="15"/>
      <c r="CY95" s="15"/>
      <c r="CZ95" s="15"/>
      <c r="DA95" s="15"/>
      <c r="DB95" s="15"/>
      <c r="DC95" s="15"/>
      <c r="DE95" s="15"/>
      <c r="DF95" s="15"/>
      <c r="DG95" s="15"/>
      <c r="DH95" s="15"/>
      <c r="DI95" s="15"/>
      <c r="DJ95" s="15"/>
      <c r="DK95" s="15"/>
      <c r="DM95" s="15"/>
      <c r="DN95" s="15"/>
      <c r="DO95" s="15"/>
      <c r="DP95" s="15"/>
      <c r="DQ95" s="15"/>
      <c r="DR95" s="15"/>
      <c r="DS95" s="15"/>
      <c r="DU95" s="15"/>
      <c r="DV95" s="15"/>
      <c r="DW95" s="15"/>
      <c r="DX95" s="15"/>
      <c r="DY95" s="15"/>
      <c r="DZ95" s="15"/>
      <c r="EA95" s="15"/>
      <c r="EC95" s="15"/>
      <c r="ED95" s="15"/>
      <c r="EE95" s="15"/>
      <c r="EF95" s="15"/>
      <c r="EG95" s="15"/>
      <c r="EH95" s="15"/>
      <c r="EI95" s="15"/>
      <c r="EP95" s="15"/>
      <c r="EQ95" s="15"/>
      <c r="EX95" s="15"/>
      <c r="EY95" s="15"/>
      <c r="FF95" s="15"/>
      <c r="FG95" s="15"/>
      <c r="FM95" s="15"/>
    </row>
    <row r="96" ht="15.75" hidden="1" customHeight="1" spans="5:169">
      <c r="E96" s="15"/>
      <c r="F96" s="15"/>
      <c r="G96" s="15"/>
      <c r="H96" s="15"/>
      <c r="I96" s="15"/>
      <c r="J96" s="15"/>
      <c r="K96" s="15"/>
      <c r="M96" s="15"/>
      <c r="N96" s="15"/>
      <c r="O96" s="15"/>
      <c r="P96" s="15"/>
      <c r="Q96" s="15"/>
      <c r="R96" s="15"/>
      <c r="S96" s="15"/>
      <c r="U96" s="15"/>
      <c r="V96" s="15"/>
      <c r="W96" s="15"/>
      <c r="X96" s="15"/>
      <c r="Y96" s="15"/>
      <c r="Z96" s="15"/>
      <c r="AA96" s="15"/>
      <c r="AC96" s="15"/>
      <c r="AD96" s="15"/>
      <c r="AE96" s="15"/>
      <c r="AF96" s="15"/>
      <c r="AG96" s="15"/>
      <c r="AH96" s="15"/>
      <c r="AI96" s="15"/>
      <c r="AK96" s="15"/>
      <c r="AL96" s="15"/>
      <c r="AM96" s="15"/>
      <c r="AN96" s="15"/>
      <c r="AO96" s="15"/>
      <c r="AP96" s="15"/>
      <c r="AQ96" s="15"/>
      <c r="AS96" s="15"/>
      <c r="AT96" s="15"/>
      <c r="AU96" s="15"/>
      <c r="AV96" s="15"/>
      <c r="AW96" s="15"/>
      <c r="AX96" s="15"/>
      <c r="AY96" s="15"/>
      <c r="BA96" s="15"/>
      <c r="BB96" s="15"/>
      <c r="BC96" s="15"/>
      <c r="BD96" s="15"/>
      <c r="BE96" s="15"/>
      <c r="BF96" s="15"/>
      <c r="BG96" s="15"/>
      <c r="BI96" s="15"/>
      <c r="BJ96" s="15"/>
      <c r="BK96" s="15"/>
      <c r="BL96" s="15"/>
      <c r="BM96" s="15"/>
      <c r="BN96" s="15"/>
      <c r="BO96" s="15"/>
      <c r="BQ96" s="15"/>
      <c r="BR96" s="15"/>
      <c r="BS96" s="15"/>
      <c r="BT96" s="15"/>
      <c r="BU96" s="15"/>
      <c r="BV96" s="15"/>
      <c r="BW96" s="15"/>
      <c r="BY96" s="15"/>
      <c r="BZ96" s="15"/>
      <c r="CA96" s="15"/>
      <c r="CB96" s="15"/>
      <c r="CC96" s="15"/>
      <c r="CD96" s="15"/>
      <c r="CE96" s="15"/>
      <c r="CG96" s="15"/>
      <c r="CH96" s="15"/>
      <c r="CI96" s="15"/>
      <c r="CJ96" s="15"/>
      <c r="CK96" s="15"/>
      <c r="CL96" s="15"/>
      <c r="CM96" s="15"/>
      <c r="CO96" s="15"/>
      <c r="CP96" s="15"/>
      <c r="CQ96" s="15"/>
      <c r="CR96" s="15"/>
      <c r="CS96" s="15"/>
      <c r="CT96" s="15"/>
      <c r="CU96" s="15"/>
      <c r="CW96" s="15"/>
      <c r="CX96" s="15"/>
      <c r="CY96" s="15"/>
      <c r="CZ96" s="15"/>
      <c r="DA96" s="15"/>
      <c r="DB96" s="15"/>
      <c r="DC96" s="15"/>
      <c r="DE96" s="15"/>
      <c r="DF96" s="15"/>
      <c r="DG96" s="15"/>
      <c r="DH96" s="15"/>
      <c r="DI96" s="15"/>
      <c r="DJ96" s="15"/>
      <c r="DK96" s="15"/>
      <c r="DM96" s="15"/>
      <c r="DN96" s="15"/>
      <c r="DO96" s="15"/>
      <c r="DP96" s="15"/>
      <c r="DQ96" s="15"/>
      <c r="DR96" s="15"/>
      <c r="DS96" s="15"/>
      <c r="DU96" s="15"/>
      <c r="DV96" s="15"/>
      <c r="DW96" s="15"/>
      <c r="DX96" s="15"/>
      <c r="DY96" s="15"/>
      <c r="DZ96" s="15"/>
      <c r="EA96" s="15"/>
      <c r="EC96" s="15"/>
      <c r="ED96" s="15"/>
      <c r="EE96" s="15"/>
      <c r="EF96" s="15"/>
      <c r="EG96" s="15"/>
      <c r="EH96" s="15"/>
      <c r="EI96" s="15"/>
      <c r="EP96" s="15"/>
      <c r="EQ96" s="15"/>
      <c r="EX96" s="15"/>
      <c r="EY96" s="15"/>
      <c r="FF96" s="15"/>
      <c r="FG96" s="15"/>
      <c r="FM96" s="15"/>
    </row>
    <row r="97" ht="15.75" hidden="1" customHeight="1" spans="5:169">
      <c r="E97" s="15"/>
      <c r="F97" s="15"/>
      <c r="G97" s="15"/>
      <c r="H97" s="15"/>
      <c r="I97" s="15"/>
      <c r="J97" s="15"/>
      <c r="K97" s="15"/>
      <c r="M97" s="15"/>
      <c r="N97" s="15"/>
      <c r="O97" s="15"/>
      <c r="P97" s="15"/>
      <c r="Q97" s="15"/>
      <c r="R97" s="15"/>
      <c r="S97" s="15"/>
      <c r="U97" s="15"/>
      <c r="V97" s="15"/>
      <c r="W97" s="15"/>
      <c r="X97" s="15"/>
      <c r="Y97" s="15"/>
      <c r="Z97" s="15"/>
      <c r="AA97" s="15"/>
      <c r="AC97" s="15"/>
      <c r="AD97" s="15"/>
      <c r="AE97" s="15"/>
      <c r="AF97" s="15"/>
      <c r="AG97" s="15"/>
      <c r="AH97" s="15"/>
      <c r="AI97" s="15"/>
      <c r="AK97" s="15"/>
      <c r="AL97" s="15"/>
      <c r="AM97" s="15"/>
      <c r="AN97" s="15"/>
      <c r="AO97" s="15"/>
      <c r="AP97" s="15"/>
      <c r="AQ97" s="15"/>
      <c r="AS97" s="15"/>
      <c r="AT97" s="15"/>
      <c r="AU97" s="15"/>
      <c r="AV97" s="15"/>
      <c r="AW97" s="15"/>
      <c r="AX97" s="15"/>
      <c r="AY97" s="15"/>
      <c r="BA97" s="15"/>
      <c r="BB97" s="15"/>
      <c r="BC97" s="15"/>
      <c r="BD97" s="15"/>
      <c r="BE97" s="15"/>
      <c r="BF97" s="15"/>
      <c r="BG97" s="15"/>
      <c r="BI97" s="15"/>
      <c r="BJ97" s="15"/>
      <c r="BK97" s="15"/>
      <c r="BL97" s="15"/>
      <c r="BM97" s="15"/>
      <c r="BN97" s="15"/>
      <c r="BO97" s="15"/>
      <c r="BQ97" s="15"/>
      <c r="BR97" s="15"/>
      <c r="BS97" s="15"/>
      <c r="BT97" s="15"/>
      <c r="BU97" s="15"/>
      <c r="BV97" s="15"/>
      <c r="BW97" s="15"/>
      <c r="BY97" s="15"/>
      <c r="BZ97" s="15"/>
      <c r="CA97" s="15"/>
      <c r="CB97" s="15"/>
      <c r="CC97" s="15"/>
      <c r="CD97" s="15"/>
      <c r="CE97" s="15"/>
      <c r="CG97" s="15"/>
      <c r="CH97" s="15"/>
      <c r="CI97" s="15"/>
      <c r="CJ97" s="15"/>
      <c r="CK97" s="15"/>
      <c r="CL97" s="15"/>
      <c r="CM97" s="15"/>
      <c r="CO97" s="15"/>
      <c r="CP97" s="15"/>
      <c r="CQ97" s="15"/>
      <c r="CR97" s="15"/>
      <c r="CS97" s="15"/>
      <c r="CT97" s="15"/>
      <c r="CU97" s="15"/>
      <c r="CW97" s="15"/>
      <c r="CX97" s="15"/>
      <c r="CY97" s="15"/>
      <c r="CZ97" s="15"/>
      <c r="DA97" s="15"/>
      <c r="DB97" s="15"/>
      <c r="DC97" s="15"/>
      <c r="DE97" s="15"/>
      <c r="DF97" s="15"/>
      <c r="DG97" s="15"/>
      <c r="DH97" s="15"/>
      <c r="DI97" s="15"/>
      <c r="DJ97" s="15"/>
      <c r="DK97" s="15"/>
      <c r="DM97" s="15"/>
      <c r="DN97" s="15"/>
      <c r="DO97" s="15"/>
      <c r="DP97" s="15"/>
      <c r="DQ97" s="15"/>
      <c r="DR97" s="15"/>
      <c r="DS97" s="15"/>
      <c r="DU97" s="15"/>
      <c r="DV97" s="15"/>
      <c r="DW97" s="15"/>
      <c r="DX97" s="15"/>
      <c r="DY97" s="15"/>
      <c r="DZ97" s="15"/>
      <c r="EA97" s="15"/>
      <c r="EC97" s="15"/>
      <c r="ED97" s="15"/>
      <c r="EE97" s="15"/>
      <c r="EF97" s="15"/>
      <c r="EG97" s="15"/>
      <c r="EH97" s="15"/>
      <c r="EI97" s="15"/>
      <c r="EP97" s="15"/>
      <c r="EQ97" s="15"/>
      <c r="EX97" s="15"/>
      <c r="EY97" s="15"/>
      <c r="FF97" s="15"/>
      <c r="FG97" s="15"/>
      <c r="FM97" s="15"/>
    </row>
    <row r="98" ht="15.75" hidden="1" customHeight="1" spans="5:169">
      <c r="E98" s="15"/>
      <c r="F98" s="15"/>
      <c r="G98" s="15"/>
      <c r="H98" s="15"/>
      <c r="I98" s="15"/>
      <c r="J98" s="15"/>
      <c r="K98" s="15"/>
      <c r="M98" s="15"/>
      <c r="N98" s="15"/>
      <c r="O98" s="15"/>
      <c r="P98" s="15"/>
      <c r="Q98" s="15"/>
      <c r="R98" s="15"/>
      <c r="S98" s="15"/>
      <c r="U98" s="15"/>
      <c r="V98" s="15"/>
      <c r="W98" s="15"/>
      <c r="X98" s="15"/>
      <c r="Y98" s="15"/>
      <c r="Z98" s="15"/>
      <c r="AA98" s="15"/>
      <c r="AC98" s="15"/>
      <c r="AD98" s="15"/>
      <c r="AE98" s="15"/>
      <c r="AF98" s="15"/>
      <c r="AG98" s="15"/>
      <c r="AH98" s="15"/>
      <c r="AI98" s="15"/>
      <c r="AK98" s="15"/>
      <c r="AL98" s="15"/>
      <c r="AM98" s="15"/>
      <c r="AN98" s="15"/>
      <c r="AO98" s="15"/>
      <c r="AP98" s="15"/>
      <c r="AQ98" s="15"/>
      <c r="AS98" s="15"/>
      <c r="AT98" s="15"/>
      <c r="AU98" s="15"/>
      <c r="AV98" s="15"/>
      <c r="AW98" s="15"/>
      <c r="AX98" s="15"/>
      <c r="AY98" s="15"/>
      <c r="BA98" s="15"/>
      <c r="BB98" s="15"/>
      <c r="BC98" s="15"/>
      <c r="BD98" s="15"/>
      <c r="BE98" s="15"/>
      <c r="BF98" s="15"/>
      <c r="BG98" s="15"/>
      <c r="BI98" s="15"/>
      <c r="BJ98" s="15"/>
      <c r="BK98" s="15"/>
      <c r="BL98" s="15"/>
      <c r="BM98" s="15"/>
      <c r="BN98" s="15"/>
      <c r="BO98" s="15"/>
      <c r="BQ98" s="15"/>
      <c r="BR98" s="15"/>
      <c r="BS98" s="15"/>
      <c r="BT98" s="15"/>
      <c r="BU98" s="15"/>
      <c r="BV98" s="15"/>
      <c r="BW98" s="15"/>
      <c r="BY98" s="15"/>
      <c r="BZ98" s="15"/>
      <c r="CA98" s="15"/>
      <c r="CB98" s="15"/>
      <c r="CC98" s="15"/>
      <c r="CD98" s="15"/>
      <c r="CE98" s="15"/>
      <c r="CG98" s="15"/>
      <c r="CH98" s="15"/>
      <c r="CI98" s="15"/>
      <c r="CJ98" s="15"/>
      <c r="CK98" s="15"/>
      <c r="CL98" s="15"/>
      <c r="CM98" s="15"/>
      <c r="CO98" s="15"/>
      <c r="CP98" s="15"/>
      <c r="CQ98" s="15"/>
      <c r="CR98" s="15"/>
      <c r="CS98" s="15"/>
      <c r="CT98" s="15"/>
      <c r="CU98" s="15"/>
      <c r="CW98" s="15"/>
      <c r="CX98" s="15"/>
      <c r="CY98" s="15"/>
      <c r="CZ98" s="15"/>
      <c r="DA98" s="15"/>
      <c r="DB98" s="15"/>
      <c r="DC98" s="15"/>
      <c r="DE98" s="15"/>
      <c r="DF98" s="15"/>
      <c r="DG98" s="15"/>
      <c r="DH98" s="15"/>
      <c r="DI98" s="15"/>
      <c r="DJ98" s="15"/>
      <c r="DK98" s="15"/>
      <c r="DM98" s="15"/>
      <c r="DN98" s="15"/>
      <c r="DO98" s="15"/>
      <c r="DP98" s="15"/>
      <c r="DQ98" s="15"/>
      <c r="DR98" s="15"/>
      <c r="DS98" s="15"/>
      <c r="DU98" s="15"/>
      <c r="DV98" s="15"/>
      <c r="DW98" s="15"/>
      <c r="DX98" s="15"/>
      <c r="DY98" s="15"/>
      <c r="DZ98" s="15"/>
      <c r="EA98" s="15"/>
      <c r="EC98" s="15"/>
      <c r="ED98" s="15"/>
      <c r="EE98" s="15"/>
      <c r="EF98" s="15"/>
      <c r="EG98" s="15"/>
      <c r="EH98" s="15"/>
      <c r="EI98" s="15"/>
      <c r="EP98" s="15"/>
      <c r="EQ98" s="15"/>
      <c r="EX98" s="15"/>
      <c r="EY98" s="15"/>
      <c r="FF98" s="15"/>
      <c r="FG98" s="15"/>
      <c r="FM98" s="15"/>
    </row>
    <row r="99" ht="15.75" hidden="1" customHeight="1" spans="5:169">
      <c r="E99" s="15"/>
      <c r="F99" s="15"/>
      <c r="G99" s="15"/>
      <c r="H99" s="15"/>
      <c r="I99" s="15"/>
      <c r="J99" s="15"/>
      <c r="K99" s="15"/>
      <c r="M99" s="15"/>
      <c r="N99" s="15"/>
      <c r="O99" s="15"/>
      <c r="P99" s="15"/>
      <c r="Q99" s="15"/>
      <c r="R99" s="15"/>
      <c r="S99" s="15"/>
      <c r="U99" s="15"/>
      <c r="V99" s="15"/>
      <c r="W99" s="15"/>
      <c r="X99" s="15"/>
      <c r="Y99" s="15"/>
      <c r="Z99" s="15"/>
      <c r="AA99" s="15"/>
      <c r="AC99" s="15"/>
      <c r="AD99" s="15"/>
      <c r="AE99" s="15"/>
      <c r="AF99" s="15"/>
      <c r="AG99" s="15"/>
      <c r="AH99" s="15"/>
      <c r="AI99" s="15"/>
      <c r="AK99" s="15"/>
      <c r="AL99" s="15"/>
      <c r="AM99" s="15"/>
      <c r="AN99" s="15"/>
      <c r="AO99" s="15"/>
      <c r="AP99" s="15"/>
      <c r="AQ99" s="15"/>
      <c r="AS99" s="15"/>
      <c r="AT99" s="15"/>
      <c r="AU99" s="15"/>
      <c r="AV99" s="15"/>
      <c r="AW99" s="15"/>
      <c r="AX99" s="15"/>
      <c r="AY99" s="15"/>
      <c r="BA99" s="15"/>
      <c r="BB99" s="15"/>
      <c r="BC99" s="15"/>
      <c r="BD99" s="15"/>
      <c r="BE99" s="15"/>
      <c r="BF99" s="15"/>
      <c r="BG99" s="15"/>
      <c r="BI99" s="15"/>
      <c r="BJ99" s="15"/>
      <c r="BK99" s="15"/>
      <c r="BL99" s="15"/>
      <c r="BM99" s="15"/>
      <c r="BN99" s="15"/>
      <c r="BO99" s="15"/>
      <c r="BQ99" s="15"/>
      <c r="BR99" s="15"/>
      <c r="BS99" s="15"/>
      <c r="BT99" s="15"/>
      <c r="BU99" s="15"/>
      <c r="BV99" s="15"/>
      <c r="BW99" s="15"/>
      <c r="BY99" s="15"/>
      <c r="BZ99" s="15"/>
      <c r="CA99" s="15"/>
      <c r="CB99" s="15"/>
      <c r="CC99" s="15"/>
      <c r="CD99" s="15"/>
      <c r="CE99" s="15"/>
      <c r="CG99" s="15"/>
      <c r="CH99" s="15"/>
      <c r="CI99" s="15"/>
      <c r="CJ99" s="15"/>
      <c r="CK99" s="15"/>
      <c r="CL99" s="15"/>
      <c r="CM99" s="15"/>
      <c r="CO99" s="15"/>
      <c r="CP99" s="15"/>
      <c r="CQ99" s="15"/>
      <c r="CR99" s="15"/>
      <c r="CS99" s="15"/>
      <c r="CT99" s="15"/>
      <c r="CU99" s="15"/>
      <c r="CW99" s="15"/>
      <c r="CX99" s="15"/>
      <c r="CY99" s="15"/>
      <c r="CZ99" s="15"/>
      <c r="DA99" s="15"/>
      <c r="DB99" s="15"/>
      <c r="DC99" s="15"/>
      <c r="DE99" s="15"/>
      <c r="DF99" s="15"/>
      <c r="DG99" s="15"/>
      <c r="DH99" s="15"/>
      <c r="DI99" s="15"/>
      <c r="DJ99" s="15"/>
      <c r="DK99" s="15"/>
      <c r="DM99" s="15"/>
      <c r="DN99" s="15"/>
      <c r="DO99" s="15"/>
      <c r="DP99" s="15"/>
      <c r="DQ99" s="15"/>
      <c r="DR99" s="15"/>
      <c r="DS99" s="15"/>
      <c r="DU99" s="15"/>
      <c r="DV99" s="15"/>
      <c r="DW99" s="15"/>
      <c r="DX99" s="15"/>
      <c r="DY99" s="15"/>
      <c r="DZ99" s="15"/>
      <c r="EA99" s="15"/>
      <c r="EC99" s="15"/>
      <c r="ED99" s="15"/>
      <c r="EE99" s="15"/>
      <c r="EF99" s="15"/>
      <c r="EG99" s="15"/>
      <c r="EH99" s="15"/>
      <c r="EI99" s="15"/>
      <c r="EP99" s="15"/>
      <c r="EQ99" s="15"/>
      <c r="EX99" s="15"/>
      <c r="EY99" s="15"/>
      <c r="FF99" s="15"/>
      <c r="FG99" s="15"/>
      <c r="FM99" s="15"/>
    </row>
    <row r="100" ht="15.75" hidden="1" customHeight="1" spans="5:169">
      <c r="E100" s="15"/>
      <c r="F100" s="15"/>
      <c r="G100" s="15"/>
      <c r="H100" s="15"/>
      <c r="I100" s="15"/>
      <c r="J100" s="15"/>
      <c r="K100" s="15"/>
      <c r="M100" s="15"/>
      <c r="N100" s="15"/>
      <c r="O100" s="15"/>
      <c r="P100" s="15"/>
      <c r="Q100" s="15"/>
      <c r="R100" s="15"/>
      <c r="S100" s="15"/>
      <c r="U100" s="15"/>
      <c r="V100" s="15"/>
      <c r="W100" s="15"/>
      <c r="X100" s="15"/>
      <c r="Y100" s="15"/>
      <c r="Z100" s="15"/>
      <c r="AA100" s="15"/>
      <c r="AC100" s="15"/>
      <c r="AD100" s="15"/>
      <c r="AE100" s="15"/>
      <c r="AF100" s="15"/>
      <c r="AG100" s="15"/>
      <c r="AH100" s="15"/>
      <c r="AI100" s="15"/>
      <c r="AK100" s="15"/>
      <c r="AL100" s="15"/>
      <c r="AM100" s="15"/>
      <c r="AN100" s="15"/>
      <c r="AO100" s="15"/>
      <c r="AP100" s="15"/>
      <c r="AQ100" s="15"/>
      <c r="AS100" s="15"/>
      <c r="AT100" s="15"/>
      <c r="AU100" s="15"/>
      <c r="AV100" s="15"/>
      <c r="AW100" s="15"/>
      <c r="AX100" s="15"/>
      <c r="AY100" s="15"/>
      <c r="BA100" s="15"/>
      <c r="BB100" s="15"/>
      <c r="BC100" s="15"/>
      <c r="BD100" s="15"/>
      <c r="BE100" s="15"/>
      <c r="BF100" s="15"/>
      <c r="BG100" s="15"/>
      <c r="BI100" s="15"/>
      <c r="BJ100" s="15"/>
      <c r="BK100" s="15"/>
      <c r="BL100" s="15"/>
      <c r="BM100" s="15"/>
      <c r="BN100" s="15"/>
      <c r="BO100" s="15"/>
      <c r="BQ100" s="15"/>
      <c r="BR100" s="15"/>
      <c r="BS100" s="15"/>
      <c r="BT100" s="15"/>
      <c r="BU100" s="15"/>
      <c r="BV100" s="15"/>
      <c r="BW100" s="15"/>
      <c r="BY100" s="15"/>
      <c r="BZ100" s="15"/>
      <c r="CA100" s="15"/>
      <c r="CB100" s="15"/>
      <c r="CC100" s="15"/>
      <c r="CD100" s="15"/>
      <c r="CE100" s="15"/>
      <c r="CG100" s="15"/>
      <c r="CH100" s="15"/>
      <c r="CI100" s="15"/>
      <c r="CJ100" s="15"/>
      <c r="CK100" s="15"/>
      <c r="CL100" s="15"/>
      <c r="CM100" s="15"/>
      <c r="CO100" s="15"/>
      <c r="CP100" s="15"/>
      <c r="CQ100" s="15"/>
      <c r="CR100" s="15"/>
      <c r="CS100" s="15"/>
      <c r="CT100" s="15"/>
      <c r="CU100" s="15"/>
      <c r="CW100" s="15"/>
      <c r="CX100" s="15"/>
      <c r="CY100" s="15"/>
      <c r="CZ100" s="15"/>
      <c r="DA100" s="15"/>
      <c r="DB100" s="15"/>
      <c r="DC100" s="15"/>
      <c r="DE100" s="15"/>
      <c r="DF100" s="15"/>
      <c r="DG100" s="15"/>
      <c r="DH100" s="15"/>
      <c r="DI100" s="15"/>
      <c r="DJ100" s="15"/>
      <c r="DK100" s="15"/>
      <c r="DM100" s="15"/>
      <c r="DN100" s="15"/>
      <c r="DO100" s="15"/>
      <c r="DP100" s="15"/>
      <c r="DQ100" s="15"/>
      <c r="DR100" s="15"/>
      <c r="DS100" s="15"/>
      <c r="DU100" s="15"/>
      <c r="DV100" s="15"/>
      <c r="DW100" s="15"/>
      <c r="DX100" s="15"/>
      <c r="DY100" s="15"/>
      <c r="DZ100" s="15"/>
      <c r="EA100" s="15"/>
      <c r="EC100" s="15"/>
      <c r="ED100" s="15"/>
      <c r="EE100" s="15"/>
      <c r="EF100" s="15"/>
      <c r="EG100" s="15"/>
      <c r="EH100" s="15"/>
      <c r="EI100" s="15"/>
      <c r="EP100" s="15"/>
      <c r="EQ100" s="15"/>
      <c r="EX100" s="15"/>
      <c r="EY100" s="15"/>
      <c r="FF100" s="15"/>
      <c r="FG100" s="15"/>
      <c r="FM100" s="15"/>
    </row>
    <row r="101" ht="15.75" hidden="1" customHeight="1" spans="5:169">
      <c r="E101" s="15"/>
      <c r="F101" s="15"/>
      <c r="G101" s="15"/>
      <c r="H101" s="15"/>
      <c r="I101" s="15"/>
      <c r="J101" s="15"/>
      <c r="K101" s="15"/>
      <c r="M101" s="15"/>
      <c r="N101" s="15"/>
      <c r="O101" s="15"/>
      <c r="P101" s="15"/>
      <c r="Q101" s="15"/>
      <c r="R101" s="15"/>
      <c r="S101" s="15"/>
      <c r="U101" s="15"/>
      <c r="V101" s="15"/>
      <c r="W101" s="15"/>
      <c r="X101" s="15"/>
      <c r="Y101" s="15"/>
      <c r="Z101" s="15"/>
      <c r="AA101" s="15"/>
      <c r="AC101" s="15"/>
      <c r="AD101" s="15"/>
      <c r="AE101" s="15"/>
      <c r="AF101" s="15"/>
      <c r="AG101" s="15"/>
      <c r="AH101" s="15"/>
      <c r="AI101" s="15"/>
      <c r="AK101" s="15"/>
      <c r="AL101" s="15"/>
      <c r="AM101" s="15"/>
      <c r="AN101" s="15"/>
      <c r="AO101" s="15"/>
      <c r="AP101" s="15"/>
      <c r="AQ101" s="15"/>
      <c r="AS101" s="15"/>
      <c r="AT101" s="15"/>
      <c r="AU101" s="15"/>
      <c r="AV101" s="15"/>
      <c r="AW101" s="15"/>
      <c r="AX101" s="15"/>
      <c r="AY101" s="15"/>
      <c r="BA101" s="15"/>
      <c r="BB101" s="15"/>
      <c r="BC101" s="15"/>
      <c r="BD101" s="15"/>
      <c r="BE101" s="15"/>
      <c r="BF101" s="15"/>
      <c r="BG101" s="15"/>
      <c r="BI101" s="15"/>
      <c r="BJ101" s="15"/>
      <c r="BK101" s="15"/>
      <c r="BL101" s="15"/>
      <c r="BM101" s="15"/>
      <c r="BN101" s="15"/>
      <c r="BO101" s="15"/>
      <c r="BQ101" s="15"/>
      <c r="BR101" s="15"/>
      <c r="BS101" s="15"/>
      <c r="BT101" s="15"/>
      <c r="BU101" s="15"/>
      <c r="BV101" s="15"/>
      <c r="BW101" s="15"/>
      <c r="BY101" s="15"/>
      <c r="BZ101" s="15"/>
      <c r="CA101" s="15"/>
      <c r="CB101" s="15"/>
      <c r="CC101" s="15"/>
      <c r="CD101" s="15"/>
      <c r="CE101" s="15"/>
      <c r="CG101" s="15"/>
      <c r="CH101" s="15"/>
      <c r="CI101" s="15"/>
      <c r="CJ101" s="15"/>
      <c r="CK101" s="15"/>
      <c r="CL101" s="15"/>
      <c r="CM101" s="15"/>
      <c r="CO101" s="15"/>
      <c r="CP101" s="15"/>
      <c r="CQ101" s="15"/>
      <c r="CR101" s="15"/>
      <c r="CS101" s="15"/>
      <c r="CT101" s="15"/>
      <c r="CU101" s="15"/>
      <c r="CW101" s="15"/>
      <c r="CX101" s="15"/>
      <c r="CY101" s="15"/>
      <c r="CZ101" s="15"/>
      <c r="DA101" s="15"/>
      <c r="DB101" s="15"/>
      <c r="DC101" s="15"/>
      <c r="DE101" s="15"/>
      <c r="DF101" s="15"/>
      <c r="DG101" s="15"/>
      <c r="DH101" s="15"/>
      <c r="DI101" s="15"/>
      <c r="DJ101" s="15"/>
      <c r="DK101" s="15"/>
      <c r="DM101" s="15"/>
      <c r="DN101" s="15"/>
      <c r="DO101" s="15"/>
      <c r="DP101" s="15"/>
      <c r="DQ101" s="15"/>
      <c r="DR101" s="15"/>
      <c r="DS101" s="15"/>
      <c r="DU101" s="15"/>
      <c r="DV101" s="15"/>
      <c r="DW101" s="15"/>
      <c r="DX101" s="15"/>
      <c r="DY101" s="15"/>
      <c r="DZ101" s="15"/>
      <c r="EA101" s="15"/>
      <c r="EC101" s="15"/>
      <c r="ED101" s="15"/>
      <c r="EE101" s="15"/>
      <c r="EF101" s="15"/>
      <c r="EG101" s="15"/>
      <c r="EH101" s="15"/>
      <c r="EI101" s="15"/>
      <c r="EP101" s="15"/>
      <c r="EQ101" s="15"/>
      <c r="EX101" s="15"/>
      <c r="EY101" s="15"/>
      <c r="FF101" s="15"/>
      <c r="FG101" s="15"/>
      <c r="FM101" s="15"/>
    </row>
    <row r="102" ht="15.75" hidden="1" customHeight="1" spans="5:169">
      <c r="E102" s="15"/>
      <c r="F102" s="15"/>
      <c r="G102" s="15"/>
      <c r="H102" s="15"/>
      <c r="I102" s="15"/>
      <c r="J102" s="15"/>
      <c r="K102" s="15"/>
      <c r="M102" s="15"/>
      <c r="N102" s="15"/>
      <c r="O102" s="15"/>
      <c r="P102" s="15"/>
      <c r="Q102" s="15"/>
      <c r="R102" s="15"/>
      <c r="S102" s="15"/>
      <c r="U102" s="15"/>
      <c r="V102" s="15"/>
      <c r="W102" s="15"/>
      <c r="X102" s="15"/>
      <c r="Y102" s="15"/>
      <c r="Z102" s="15"/>
      <c r="AA102" s="15"/>
      <c r="AC102" s="15"/>
      <c r="AD102" s="15"/>
      <c r="AE102" s="15"/>
      <c r="AF102" s="15"/>
      <c r="AG102" s="15"/>
      <c r="AH102" s="15"/>
      <c r="AI102" s="15"/>
      <c r="AK102" s="15"/>
      <c r="AL102" s="15"/>
      <c r="AM102" s="15"/>
      <c r="AN102" s="15"/>
      <c r="AO102" s="15"/>
      <c r="AP102" s="15"/>
      <c r="AQ102" s="15"/>
      <c r="AS102" s="15"/>
      <c r="AT102" s="15"/>
      <c r="AU102" s="15"/>
      <c r="AV102" s="15"/>
      <c r="AW102" s="15"/>
      <c r="AX102" s="15"/>
      <c r="AY102" s="15"/>
      <c r="BA102" s="15"/>
      <c r="BB102" s="15"/>
      <c r="BC102" s="15"/>
      <c r="BD102" s="15"/>
      <c r="BE102" s="15"/>
      <c r="BF102" s="15"/>
      <c r="BG102" s="15"/>
      <c r="BI102" s="15"/>
      <c r="BJ102" s="15"/>
      <c r="BK102" s="15"/>
      <c r="BL102" s="15"/>
      <c r="BM102" s="15"/>
      <c r="BN102" s="15"/>
      <c r="BO102" s="15"/>
      <c r="BQ102" s="15"/>
      <c r="BR102" s="15"/>
      <c r="BS102" s="15"/>
      <c r="BT102" s="15"/>
      <c r="BU102" s="15"/>
      <c r="BV102" s="15"/>
      <c r="BW102" s="15"/>
      <c r="BY102" s="15"/>
      <c r="BZ102" s="15"/>
      <c r="CA102" s="15"/>
      <c r="CB102" s="15"/>
      <c r="CC102" s="15"/>
      <c r="CD102" s="15"/>
      <c r="CE102" s="15"/>
      <c r="CG102" s="15"/>
      <c r="CH102" s="15"/>
      <c r="CI102" s="15"/>
      <c r="CJ102" s="15"/>
      <c r="CK102" s="15"/>
      <c r="CL102" s="15"/>
      <c r="CM102" s="15"/>
      <c r="CO102" s="15"/>
      <c r="CP102" s="15"/>
      <c r="CQ102" s="15"/>
      <c r="CR102" s="15"/>
      <c r="CS102" s="15"/>
      <c r="CT102" s="15"/>
      <c r="CU102" s="15"/>
      <c r="CW102" s="15"/>
      <c r="CX102" s="15"/>
      <c r="CY102" s="15"/>
      <c r="CZ102" s="15"/>
      <c r="DA102" s="15"/>
      <c r="DB102" s="15"/>
      <c r="DC102" s="15"/>
      <c r="DE102" s="15"/>
      <c r="DF102" s="15"/>
      <c r="DG102" s="15"/>
      <c r="DH102" s="15"/>
      <c r="DI102" s="15"/>
      <c r="DJ102" s="15"/>
      <c r="DK102" s="15"/>
      <c r="DM102" s="15"/>
      <c r="DN102" s="15"/>
      <c r="DO102" s="15"/>
      <c r="DP102" s="15"/>
      <c r="DQ102" s="15"/>
      <c r="DR102" s="15"/>
      <c r="DS102" s="15"/>
      <c r="DU102" s="15"/>
      <c r="DV102" s="15"/>
      <c r="DW102" s="15"/>
      <c r="DX102" s="15"/>
      <c r="DY102" s="15"/>
      <c r="DZ102" s="15"/>
      <c r="EA102" s="15"/>
      <c r="EC102" s="15"/>
      <c r="ED102" s="15"/>
      <c r="EE102" s="15"/>
      <c r="EF102" s="15"/>
      <c r="EG102" s="15"/>
      <c r="EH102" s="15"/>
      <c r="EI102" s="15"/>
      <c r="EP102" s="15"/>
      <c r="EQ102" s="15"/>
      <c r="EX102" s="15"/>
      <c r="EY102" s="15"/>
      <c r="FF102" s="15"/>
      <c r="FG102" s="15"/>
      <c r="FM102" s="15"/>
    </row>
    <row r="103" ht="15.75" hidden="1" customHeight="1" spans="5:169">
      <c r="E103" s="15"/>
      <c r="F103" s="15"/>
      <c r="G103" s="15"/>
      <c r="H103" s="15"/>
      <c r="I103" s="15"/>
      <c r="J103" s="15"/>
      <c r="K103" s="15"/>
      <c r="M103" s="15"/>
      <c r="N103" s="15"/>
      <c r="O103" s="15"/>
      <c r="P103" s="15"/>
      <c r="Q103" s="15"/>
      <c r="R103" s="15"/>
      <c r="S103" s="15"/>
      <c r="U103" s="15"/>
      <c r="V103" s="15"/>
      <c r="W103" s="15"/>
      <c r="X103" s="15"/>
      <c r="Y103" s="15"/>
      <c r="Z103" s="15"/>
      <c r="AA103" s="15"/>
      <c r="AC103" s="15"/>
      <c r="AD103" s="15"/>
      <c r="AE103" s="15"/>
      <c r="AF103" s="15"/>
      <c r="AG103" s="15"/>
      <c r="AH103" s="15"/>
      <c r="AI103" s="15"/>
      <c r="AK103" s="15"/>
      <c r="AL103" s="15"/>
      <c r="AM103" s="15"/>
      <c r="AN103" s="15"/>
      <c r="AO103" s="15"/>
      <c r="AP103" s="15"/>
      <c r="AQ103" s="15"/>
      <c r="AS103" s="15"/>
      <c r="AT103" s="15"/>
      <c r="AU103" s="15"/>
      <c r="AV103" s="15"/>
      <c r="AW103" s="15"/>
      <c r="AX103" s="15"/>
      <c r="AY103" s="15"/>
      <c r="BA103" s="15"/>
      <c r="BB103" s="15"/>
      <c r="BC103" s="15"/>
      <c r="BD103" s="15"/>
      <c r="BE103" s="15"/>
      <c r="BF103" s="15"/>
      <c r="BG103" s="15"/>
      <c r="BI103" s="15"/>
      <c r="BJ103" s="15"/>
      <c r="BK103" s="15"/>
      <c r="BL103" s="15"/>
      <c r="BM103" s="15"/>
      <c r="BN103" s="15"/>
      <c r="BO103" s="15"/>
      <c r="BQ103" s="15"/>
      <c r="BR103" s="15"/>
      <c r="BS103" s="15"/>
      <c r="BT103" s="15"/>
      <c r="BU103" s="15"/>
      <c r="BV103" s="15"/>
      <c r="BW103" s="15"/>
      <c r="BY103" s="15"/>
      <c r="BZ103" s="15"/>
      <c r="CA103" s="15"/>
      <c r="CB103" s="15"/>
      <c r="CC103" s="15"/>
      <c r="CD103" s="15"/>
      <c r="CE103" s="15"/>
      <c r="CG103" s="15"/>
      <c r="CH103" s="15"/>
      <c r="CI103" s="15"/>
      <c r="CJ103" s="15"/>
      <c r="CK103" s="15"/>
      <c r="CL103" s="15"/>
      <c r="CM103" s="15"/>
      <c r="CO103" s="15"/>
      <c r="CP103" s="15"/>
      <c r="CQ103" s="15"/>
      <c r="CR103" s="15"/>
      <c r="CS103" s="15"/>
      <c r="CT103" s="15"/>
      <c r="CU103" s="15"/>
      <c r="CW103" s="15"/>
      <c r="CX103" s="15"/>
      <c r="CY103" s="15"/>
      <c r="CZ103" s="15"/>
      <c r="DA103" s="15"/>
      <c r="DB103" s="15"/>
      <c r="DC103" s="15"/>
      <c r="DE103" s="15"/>
      <c r="DF103" s="15"/>
      <c r="DG103" s="15"/>
      <c r="DH103" s="15"/>
      <c r="DI103" s="15"/>
      <c r="DJ103" s="15"/>
      <c r="DK103" s="15"/>
      <c r="DM103" s="15"/>
      <c r="DN103" s="15"/>
      <c r="DO103" s="15"/>
      <c r="DP103" s="15"/>
      <c r="DQ103" s="15"/>
      <c r="DR103" s="15"/>
      <c r="DS103" s="15"/>
      <c r="DU103" s="15"/>
      <c r="DV103" s="15"/>
      <c r="DW103" s="15"/>
      <c r="DX103" s="15"/>
      <c r="DY103" s="15"/>
      <c r="DZ103" s="15"/>
      <c r="EA103" s="15"/>
      <c r="EC103" s="15"/>
      <c r="ED103" s="15"/>
      <c r="EE103" s="15"/>
      <c r="EF103" s="15"/>
      <c r="EG103" s="15"/>
      <c r="EH103" s="15"/>
      <c r="EI103" s="15"/>
      <c r="EP103" s="15"/>
      <c r="EQ103" s="15"/>
      <c r="EX103" s="15"/>
      <c r="EY103" s="15"/>
      <c r="FF103" s="15"/>
      <c r="FG103" s="15"/>
      <c r="FM103" s="15"/>
    </row>
    <row r="104" ht="15.75" hidden="1" customHeight="1" spans="5:169">
      <c r="E104" s="15"/>
      <c r="F104" s="15"/>
      <c r="G104" s="15"/>
      <c r="H104" s="15"/>
      <c r="I104" s="15"/>
      <c r="J104" s="15"/>
      <c r="K104" s="15"/>
      <c r="M104" s="15"/>
      <c r="N104" s="15"/>
      <c r="O104" s="15"/>
      <c r="P104" s="15"/>
      <c r="Q104" s="15"/>
      <c r="R104" s="15"/>
      <c r="S104" s="15"/>
      <c r="U104" s="15"/>
      <c r="V104" s="15"/>
      <c r="W104" s="15"/>
      <c r="X104" s="15"/>
      <c r="Y104" s="15"/>
      <c r="Z104" s="15"/>
      <c r="AA104" s="15"/>
      <c r="AC104" s="15"/>
      <c r="AD104" s="15"/>
      <c r="AE104" s="15"/>
      <c r="AF104" s="15"/>
      <c r="AG104" s="15"/>
      <c r="AH104" s="15"/>
      <c r="AI104" s="15"/>
      <c r="AK104" s="15"/>
      <c r="AL104" s="15"/>
      <c r="AM104" s="15"/>
      <c r="AN104" s="15"/>
      <c r="AO104" s="15"/>
      <c r="AP104" s="15"/>
      <c r="AQ104" s="15"/>
      <c r="AS104" s="15"/>
      <c r="AT104" s="15"/>
      <c r="AU104" s="15"/>
      <c r="AV104" s="15"/>
      <c r="AW104" s="15"/>
      <c r="AX104" s="15"/>
      <c r="AY104" s="15"/>
      <c r="BA104" s="15"/>
      <c r="BB104" s="15"/>
      <c r="BC104" s="15"/>
      <c r="BD104" s="15"/>
      <c r="BE104" s="15"/>
      <c r="BF104" s="15"/>
      <c r="BG104" s="15"/>
      <c r="BI104" s="15"/>
      <c r="BJ104" s="15"/>
      <c r="BK104" s="15"/>
      <c r="BL104" s="15"/>
      <c r="BM104" s="15"/>
      <c r="BN104" s="15"/>
      <c r="BO104" s="15"/>
      <c r="BQ104" s="15"/>
      <c r="BR104" s="15"/>
      <c r="BS104" s="15"/>
      <c r="BT104" s="15"/>
      <c r="BU104" s="15"/>
      <c r="BV104" s="15"/>
      <c r="BW104" s="15"/>
      <c r="BY104" s="15"/>
      <c r="BZ104" s="15"/>
      <c r="CA104" s="15"/>
      <c r="CB104" s="15"/>
      <c r="CC104" s="15"/>
      <c r="CD104" s="15"/>
      <c r="CE104" s="15"/>
      <c r="CG104" s="15"/>
      <c r="CH104" s="15"/>
      <c r="CI104" s="15"/>
      <c r="CJ104" s="15"/>
      <c r="CK104" s="15"/>
      <c r="CL104" s="15"/>
      <c r="CM104" s="15"/>
      <c r="CO104" s="15"/>
      <c r="CP104" s="15"/>
      <c r="CQ104" s="15"/>
      <c r="CR104" s="15"/>
      <c r="CS104" s="15"/>
      <c r="CT104" s="15"/>
      <c r="CU104" s="15"/>
      <c r="CW104" s="15"/>
      <c r="CX104" s="15"/>
      <c r="CY104" s="15"/>
      <c r="CZ104" s="15"/>
      <c r="DA104" s="15"/>
      <c r="DB104" s="15"/>
      <c r="DC104" s="15"/>
      <c r="DE104" s="15"/>
      <c r="DF104" s="15"/>
      <c r="DG104" s="15"/>
      <c r="DH104" s="15"/>
      <c r="DI104" s="15"/>
      <c r="DJ104" s="15"/>
      <c r="DK104" s="15"/>
      <c r="DM104" s="15"/>
      <c r="DN104" s="15"/>
      <c r="DO104" s="15"/>
      <c r="DP104" s="15"/>
      <c r="DQ104" s="15"/>
      <c r="DR104" s="15"/>
      <c r="DS104" s="15"/>
      <c r="DU104" s="15"/>
      <c r="DV104" s="15"/>
      <c r="DW104" s="15"/>
      <c r="DX104" s="15"/>
      <c r="DY104" s="15"/>
      <c r="DZ104" s="15"/>
      <c r="EA104" s="15"/>
      <c r="EC104" s="15"/>
      <c r="ED104" s="15"/>
      <c r="EE104" s="15"/>
      <c r="EF104" s="15"/>
      <c r="EG104" s="15"/>
      <c r="EH104" s="15"/>
      <c r="EI104" s="15"/>
      <c r="EP104" s="15"/>
      <c r="EQ104" s="15"/>
      <c r="EX104" s="15"/>
      <c r="EY104" s="15"/>
      <c r="FF104" s="15"/>
      <c r="FG104" s="15"/>
      <c r="FM104" s="15"/>
    </row>
    <row r="105" ht="15.75" hidden="1" customHeight="1" spans="5:169">
      <c r="E105" s="15"/>
      <c r="F105" s="15"/>
      <c r="G105" s="15"/>
      <c r="H105" s="15"/>
      <c r="I105" s="15"/>
      <c r="J105" s="15"/>
      <c r="K105" s="15"/>
      <c r="M105" s="15"/>
      <c r="N105" s="15"/>
      <c r="O105" s="15"/>
      <c r="P105" s="15"/>
      <c r="Q105" s="15"/>
      <c r="R105" s="15"/>
      <c r="S105" s="15"/>
      <c r="U105" s="15"/>
      <c r="V105" s="15"/>
      <c r="W105" s="15"/>
      <c r="X105" s="15"/>
      <c r="Y105" s="15"/>
      <c r="Z105" s="15"/>
      <c r="AA105" s="15"/>
      <c r="AC105" s="15"/>
      <c r="AD105" s="15"/>
      <c r="AE105" s="15"/>
      <c r="AF105" s="15"/>
      <c r="AG105" s="15"/>
      <c r="AH105" s="15"/>
      <c r="AI105" s="15"/>
      <c r="AK105" s="15"/>
      <c r="AL105" s="15"/>
      <c r="AM105" s="15"/>
      <c r="AN105" s="15"/>
      <c r="AO105" s="15"/>
      <c r="AP105" s="15"/>
      <c r="AQ105" s="15"/>
      <c r="AS105" s="15"/>
      <c r="AT105" s="15"/>
      <c r="AU105" s="15"/>
      <c r="AV105" s="15"/>
      <c r="AW105" s="15"/>
      <c r="AX105" s="15"/>
      <c r="AY105" s="15"/>
      <c r="BA105" s="15"/>
      <c r="BB105" s="15"/>
      <c r="BC105" s="15"/>
      <c r="BD105" s="15"/>
      <c r="BE105" s="15"/>
      <c r="BF105" s="15"/>
      <c r="BG105" s="15"/>
      <c r="BI105" s="15"/>
      <c r="BJ105" s="15"/>
      <c r="BK105" s="15"/>
      <c r="BL105" s="15"/>
      <c r="BM105" s="15"/>
      <c r="BN105" s="15"/>
      <c r="BO105" s="15"/>
      <c r="BQ105" s="15"/>
      <c r="BR105" s="15"/>
      <c r="BS105" s="15"/>
      <c r="BT105" s="15"/>
      <c r="BU105" s="15"/>
      <c r="BV105" s="15"/>
      <c r="BW105" s="15"/>
      <c r="BY105" s="15"/>
      <c r="BZ105" s="15"/>
      <c r="CA105" s="15"/>
      <c r="CB105" s="15"/>
      <c r="CC105" s="15"/>
      <c r="CD105" s="15"/>
      <c r="CE105" s="15"/>
      <c r="CG105" s="15"/>
      <c r="CH105" s="15"/>
      <c r="CI105" s="15"/>
      <c r="CJ105" s="15"/>
      <c r="CK105" s="15"/>
      <c r="CL105" s="15"/>
      <c r="CM105" s="15"/>
      <c r="CO105" s="15"/>
      <c r="CP105" s="15"/>
      <c r="CQ105" s="15"/>
      <c r="CR105" s="15"/>
      <c r="CS105" s="15"/>
      <c r="CT105" s="15"/>
      <c r="CU105" s="15"/>
      <c r="CW105" s="15"/>
      <c r="CX105" s="15"/>
      <c r="CY105" s="15"/>
      <c r="CZ105" s="15"/>
      <c r="DA105" s="15"/>
      <c r="DB105" s="15"/>
      <c r="DC105" s="15"/>
      <c r="DE105" s="15"/>
      <c r="DF105" s="15"/>
      <c r="DG105" s="15"/>
      <c r="DH105" s="15"/>
      <c r="DI105" s="15"/>
      <c r="DJ105" s="15"/>
      <c r="DK105" s="15"/>
      <c r="DM105" s="15"/>
      <c r="DN105" s="15"/>
      <c r="DO105" s="15"/>
      <c r="DP105" s="15"/>
      <c r="DQ105" s="15"/>
      <c r="DR105" s="15"/>
      <c r="DS105" s="15"/>
      <c r="DU105" s="15"/>
      <c r="DV105" s="15"/>
      <c r="DW105" s="15"/>
      <c r="DX105" s="15"/>
      <c r="DY105" s="15"/>
      <c r="DZ105" s="15"/>
      <c r="EA105" s="15"/>
      <c r="EC105" s="15"/>
      <c r="ED105" s="15"/>
      <c r="EE105" s="15"/>
      <c r="EF105" s="15"/>
      <c r="EG105" s="15"/>
      <c r="EH105" s="15"/>
      <c r="EI105" s="15"/>
      <c r="EP105" s="15"/>
      <c r="EQ105" s="15"/>
      <c r="EX105" s="15"/>
      <c r="EY105" s="15"/>
      <c r="FF105" s="15"/>
      <c r="FG105" s="15"/>
      <c r="FM105" s="15"/>
    </row>
    <row r="106" ht="15.75" hidden="1" customHeight="1" spans="5:169">
      <c r="E106" s="15"/>
      <c r="F106" s="15"/>
      <c r="G106" s="15"/>
      <c r="H106" s="15"/>
      <c r="I106" s="15"/>
      <c r="J106" s="15"/>
      <c r="K106" s="15"/>
      <c r="M106" s="15"/>
      <c r="N106" s="15"/>
      <c r="O106" s="15"/>
      <c r="P106" s="15"/>
      <c r="Q106" s="15"/>
      <c r="R106" s="15"/>
      <c r="S106" s="15"/>
      <c r="U106" s="15"/>
      <c r="V106" s="15"/>
      <c r="W106" s="15"/>
      <c r="X106" s="15"/>
      <c r="Y106" s="15"/>
      <c r="Z106" s="15"/>
      <c r="AA106" s="15"/>
      <c r="AC106" s="15"/>
      <c r="AD106" s="15"/>
      <c r="AE106" s="15"/>
      <c r="AF106" s="15"/>
      <c r="AG106" s="15"/>
      <c r="AH106" s="15"/>
      <c r="AI106" s="15"/>
      <c r="AK106" s="15"/>
      <c r="AL106" s="15"/>
      <c r="AM106" s="15"/>
      <c r="AN106" s="15"/>
      <c r="AO106" s="15"/>
      <c r="AP106" s="15"/>
      <c r="AQ106" s="15"/>
      <c r="AS106" s="15"/>
      <c r="AT106" s="15"/>
      <c r="AU106" s="15"/>
      <c r="AV106" s="15"/>
      <c r="AW106" s="15"/>
      <c r="AX106" s="15"/>
      <c r="AY106" s="15"/>
      <c r="BA106" s="15"/>
      <c r="BB106" s="15"/>
      <c r="BC106" s="15"/>
      <c r="BD106" s="15"/>
      <c r="BE106" s="15"/>
      <c r="BF106" s="15"/>
      <c r="BG106" s="15"/>
      <c r="BI106" s="15"/>
      <c r="BJ106" s="15"/>
      <c r="BK106" s="15"/>
      <c r="BL106" s="15"/>
      <c r="BM106" s="15"/>
      <c r="BN106" s="15"/>
      <c r="BO106" s="15"/>
      <c r="BQ106" s="15"/>
      <c r="BR106" s="15"/>
      <c r="BS106" s="15"/>
      <c r="BT106" s="15"/>
      <c r="BU106" s="15"/>
      <c r="BV106" s="15"/>
      <c r="BW106" s="15"/>
      <c r="BY106" s="15"/>
      <c r="BZ106" s="15"/>
      <c r="CA106" s="15"/>
      <c r="CB106" s="15"/>
      <c r="CC106" s="15"/>
      <c r="CD106" s="15"/>
      <c r="CE106" s="15"/>
      <c r="CG106" s="15"/>
      <c r="CH106" s="15"/>
      <c r="CI106" s="15"/>
      <c r="CJ106" s="15"/>
      <c r="CK106" s="15"/>
      <c r="CL106" s="15"/>
      <c r="CM106" s="15"/>
      <c r="CO106" s="15"/>
      <c r="CP106" s="15"/>
      <c r="CQ106" s="15"/>
      <c r="CR106" s="15"/>
      <c r="CS106" s="15"/>
      <c r="CT106" s="15"/>
      <c r="CU106" s="15"/>
      <c r="CW106" s="15"/>
      <c r="CX106" s="15"/>
      <c r="CY106" s="15"/>
      <c r="CZ106" s="15"/>
      <c r="DA106" s="15"/>
      <c r="DB106" s="15"/>
      <c r="DC106" s="15"/>
      <c r="DE106" s="15"/>
      <c r="DF106" s="15"/>
      <c r="DG106" s="15"/>
      <c r="DH106" s="15"/>
      <c r="DI106" s="15"/>
      <c r="DJ106" s="15"/>
      <c r="DK106" s="15"/>
      <c r="DM106" s="15"/>
      <c r="DN106" s="15"/>
      <c r="DO106" s="15"/>
      <c r="DP106" s="15"/>
      <c r="DQ106" s="15"/>
      <c r="DR106" s="15"/>
      <c r="DS106" s="15"/>
      <c r="DU106" s="15"/>
      <c r="DV106" s="15"/>
      <c r="DW106" s="15"/>
      <c r="DX106" s="15"/>
      <c r="DY106" s="15"/>
      <c r="DZ106" s="15"/>
      <c r="EA106" s="15"/>
      <c r="EC106" s="15"/>
      <c r="ED106" s="15"/>
      <c r="EE106" s="15"/>
      <c r="EF106" s="15"/>
      <c r="EG106" s="15"/>
      <c r="EH106" s="15"/>
      <c r="EI106" s="15"/>
      <c r="EP106" s="15"/>
      <c r="EQ106" s="15"/>
      <c r="EX106" s="15"/>
      <c r="EY106" s="15"/>
      <c r="FF106" s="15"/>
      <c r="FG106" s="15"/>
      <c r="FM106" s="15"/>
    </row>
    <row r="107" ht="15.75" hidden="1" customHeight="1" spans="5:169">
      <c r="E107" s="15"/>
      <c r="F107" s="15"/>
      <c r="G107" s="15"/>
      <c r="H107" s="15"/>
      <c r="I107" s="15"/>
      <c r="J107" s="15"/>
      <c r="K107" s="15"/>
      <c r="M107" s="15"/>
      <c r="N107" s="15"/>
      <c r="O107" s="15"/>
      <c r="P107" s="15"/>
      <c r="Q107" s="15"/>
      <c r="R107" s="15"/>
      <c r="S107" s="15"/>
      <c r="U107" s="15"/>
      <c r="V107" s="15"/>
      <c r="W107" s="15"/>
      <c r="X107" s="15"/>
      <c r="Y107" s="15"/>
      <c r="Z107" s="15"/>
      <c r="AA107" s="15"/>
      <c r="AC107" s="15"/>
      <c r="AD107" s="15"/>
      <c r="AE107" s="15"/>
      <c r="AF107" s="15"/>
      <c r="AG107" s="15"/>
      <c r="AH107" s="15"/>
      <c r="AI107" s="15"/>
      <c r="AK107" s="15"/>
      <c r="AL107" s="15"/>
      <c r="AM107" s="15"/>
      <c r="AN107" s="15"/>
      <c r="AO107" s="15"/>
      <c r="AP107" s="15"/>
      <c r="AQ107" s="15"/>
      <c r="AS107" s="15"/>
      <c r="AT107" s="15"/>
      <c r="AU107" s="15"/>
      <c r="AV107" s="15"/>
      <c r="AW107" s="15"/>
      <c r="AX107" s="15"/>
      <c r="AY107" s="15"/>
      <c r="BA107" s="15"/>
      <c r="BB107" s="15"/>
      <c r="BC107" s="15"/>
      <c r="BD107" s="15"/>
      <c r="BE107" s="15"/>
      <c r="BF107" s="15"/>
      <c r="BG107" s="15"/>
      <c r="BI107" s="15"/>
      <c r="BJ107" s="15"/>
      <c r="BK107" s="15"/>
      <c r="BL107" s="15"/>
      <c r="BM107" s="15"/>
      <c r="BN107" s="15"/>
      <c r="BO107" s="15"/>
      <c r="BQ107" s="15"/>
      <c r="BR107" s="15"/>
      <c r="BS107" s="15"/>
      <c r="BT107" s="15"/>
      <c r="BU107" s="15"/>
      <c r="BV107" s="15"/>
      <c r="BW107" s="15"/>
      <c r="BY107" s="15"/>
      <c r="BZ107" s="15"/>
      <c r="CA107" s="15"/>
      <c r="CB107" s="15"/>
      <c r="CC107" s="15"/>
      <c r="CD107" s="15"/>
      <c r="CE107" s="15"/>
      <c r="CG107" s="15"/>
      <c r="CH107" s="15"/>
      <c r="CI107" s="15"/>
      <c r="CJ107" s="15"/>
      <c r="CK107" s="15"/>
      <c r="CL107" s="15"/>
      <c r="CM107" s="15"/>
      <c r="CO107" s="15"/>
      <c r="CP107" s="15"/>
      <c r="CQ107" s="15"/>
      <c r="CR107" s="15"/>
      <c r="CS107" s="15"/>
      <c r="CT107" s="15"/>
      <c r="CU107" s="15"/>
      <c r="CW107" s="15"/>
      <c r="CX107" s="15"/>
      <c r="CY107" s="15"/>
      <c r="CZ107" s="15"/>
      <c r="DA107" s="15"/>
      <c r="DB107" s="15"/>
      <c r="DC107" s="15"/>
      <c r="DE107" s="15"/>
      <c r="DF107" s="15"/>
      <c r="DG107" s="15"/>
      <c r="DH107" s="15"/>
      <c r="DI107" s="15"/>
      <c r="DJ107" s="15"/>
      <c r="DK107" s="15"/>
      <c r="DM107" s="15"/>
      <c r="DN107" s="15"/>
      <c r="DO107" s="15"/>
      <c r="DP107" s="15"/>
      <c r="DQ107" s="15"/>
      <c r="DR107" s="15"/>
      <c r="DS107" s="15"/>
      <c r="DU107" s="15"/>
      <c r="DV107" s="15"/>
      <c r="DW107" s="15"/>
      <c r="DX107" s="15"/>
      <c r="DY107" s="15"/>
      <c r="DZ107" s="15"/>
      <c r="EA107" s="15"/>
      <c r="EC107" s="15"/>
      <c r="ED107" s="15"/>
      <c r="EE107" s="15"/>
      <c r="EF107" s="15"/>
      <c r="EG107" s="15"/>
      <c r="EH107" s="15"/>
      <c r="EI107" s="15"/>
      <c r="EP107" s="15"/>
      <c r="EQ107" s="15"/>
      <c r="EX107" s="15"/>
      <c r="EY107" s="15"/>
      <c r="FF107" s="15"/>
      <c r="FG107" s="15"/>
      <c r="FM107" s="15"/>
    </row>
    <row r="108" ht="15.75" hidden="1" customHeight="1" spans="5:169">
      <c r="E108" s="15"/>
      <c r="F108" s="15"/>
      <c r="G108" s="15"/>
      <c r="H108" s="15"/>
      <c r="I108" s="15"/>
      <c r="J108" s="15"/>
      <c r="K108" s="15"/>
      <c r="M108" s="15"/>
      <c r="N108" s="15"/>
      <c r="O108" s="15"/>
      <c r="P108" s="15"/>
      <c r="Q108" s="15"/>
      <c r="R108" s="15"/>
      <c r="S108" s="15"/>
      <c r="U108" s="15"/>
      <c r="V108" s="15"/>
      <c r="W108" s="15"/>
      <c r="X108" s="15"/>
      <c r="Y108" s="15"/>
      <c r="Z108" s="15"/>
      <c r="AA108" s="15"/>
      <c r="AC108" s="15"/>
      <c r="AD108" s="15"/>
      <c r="AE108" s="15"/>
      <c r="AF108" s="15"/>
      <c r="AG108" s="15"/>
      <c r="AH108" s="15"/>
      <c r="AI108" s="15"/>
      <c r="AK108" s="15"/>
      <c r="AL108" s="15"/>
      <c r="AM108" s="15"/>
      <c r="AN108" s="15"/>
      <c r="AO108" s="15"/>
      <c r="AP108" s="15"/>
      <c r="AQ108" s="15"/>
      <c r="AS108" s="15"/>
      <c r="AT108" s="15"/>
      <c r="AU108" s="15"/>
      <c r="AV108" s="15"/>
      <c r="AW108" s="15"/>
      <c r="AX108" s="15"/>
      <c r="AY108" s="15"/>
      <c r="BA108" s="15"/>
      <c r="BB108" s="15"/>
      <c r="BC108" s="15"/>
      <c r="BD108" s="15"/>
      <c r="BE108" s="15"/>
      <c r="BF108" s="15"/>
      <c r="BG108" s="15"/>
      <c r="BI108" s="15"/>
      <c r="BJ108" s="15"/>
      <c r="BK108" s="15"/>
      <c r="BL108" s="15"/>
      <c r="BM108" s="15"/>
      <c r="BN108" s="15"/>
      <c r="BO108" s="15"/>
      <c r="BQ108" s="15"/>
      <c r="BR108" s="15"/>
      <c r="BS108" s="15"/>
      <c r="BT108" s="15"/>
      <c r="BU108" s="15"/>
      <c r="BV108" s="15"/>
      <c r="BW108" s="15"/>
      <c r="BY108" s="15"/>
      <c r="BZ108" s="15"/>
      <c r="CA108" s="15"/>
      <c r="CB108" s="15"/>
      <c r="CC108" s="15"/>
      <c r="CD108" s="15"/>
      <c r="CE108" s="15"/>
      <c r="CG108" s="15"/>
      <c r="CH108" s="15"/>
      <c r="CI108" s="15"/>
      <c r="CJ108" s="15"/>
      <c r="CK108" s="15"/>
      <c r="CL108" s="15"/>
      <c r="CM108" s="15"/>
      <c r="CO108" s="15"/>
      <c r="CP108" s="15"/>
      <c r="CQ108" s="15"/>
      <c r="CR108" s="15"/>
      <c r="CS108" s="15"/>
      <c r="CT108" s="15"/>
      <c r="CU108" s="15"/>
      <c r="CW108" s="15"/>
      <c r="CX108" s="15"/>
      <c r="CY108" s="15"/>
      <c r="CZ108" s="15"/>
      <c r="DA108" s="15"/>
      <c r="DB108" s="15"/>
      <c r="DC108" s="15"/>
      <c r="DE108" s="15"/>
      <c r="DF108" s="15"/>
      <c r="DG108" s="15"/>
      <c r="DH108" s="15"/>
      <c r="DI108" s="15"/>
      <c r="DJ108" s="15"/>
      <c r="DK108" s="15"/>
      <c r="DM108" s="15"/>
      <c r="DN108" s="15"/>
      <c r="DO108" s="15"/>
      <c r="DP108" s="15"/>
      <c r="DQ108" s="15"/>
      <c r="DR108" s="15"/>
      <c r="DS108" s="15"/>
      <c r="DU108" s="15"/>
      <c r="DV108" s="15"/>
      <c r="DW108" s="15"/>
      <c r="DX108" s="15"/>
      <c r="DY108" s="15"/>
      <c r="DZ108" s="15"/>
      <c r="EA108" s="15"/>
      <c r="EC108" s="15"/>
      <c r="ED108" s="15"/>
      <c r="EE108" s="15"/>
      <c r="EF108" s="15"/>
      <c r="EG108" s="15"/>
      <c r="EH108" s="15"/>
      <c r="EI108" s="15"/>
      <c r="EP108" s="15"/>
      <c r="EQ108" s="15"/>
      <c r="EX108" s="15"/>
      <c r="EY108" s="15"/>
      <c r="FF108" s="15"/>
      <c r="FG108" s="15"/>
      <c r="FM108" s="15"/>
    </row>
    <row r="109" ht="15.75" hidden="1" customHeight="1"/>
    <row r="110" ht="15.75" hidden="1" customHeight="1"/>
    <row r="111" ht="15.75" hidden="1" customHeight="1"/>
    <row r="112" ht="15.75" hidden="1" customHeight="1"/>
    <row r="113" ht="15.75" hidden="1" customHeight="1"/>
    <row r="114" ht="15.75" hidden="1" customHeight="1"/>
    <row r="115" ht="15.75" hidden="1" customHeight="1"/>
    <row r="116" ht="15.75" hidden="1" customHeight="1"/>
    <row r="117" ht="15.75" hidden="1" customHeight="1"/>
    <row r="118" ht="15.75" hidden="1" customHeight="1"/>
    <row r="119" ht="15.75" hidden="1" customHeight="1"/>
    <row r="120" ht="15.75" hidden="1" customHeight="1"/>
    <row r="121" ht="15.75" hidden="1" customHeight="1"/>
    <row r="122" ht="15.75" hidden="1" customHeight="1"/>
    <row r="123" ht="15.75" hidden="1" customHeight="1"/>
    <row r="124" ht="15.75" hidden="1" customHeight="1"/>
    <row r="125" ht="15.75" hidden="1" customHeight="1"/>
    <row r="126" ht="15.75" hidden="1" customHeight="1"/>
    <row r="127" ht="15.75" hidden="1" customHeight="1"/>
    <row r="128" ht="15.75" hidden="1" customHeight="1"/>
    <row r="129" ht="15.75" hidden="1" customHeight="1"/>
    <row r="130" ht="15.75" hidden="1" customHeight="1"/>
    <row r="131" ht="15.75" hidden="1" customHeight="1"/>
    <row r="132" ht="15.75" hidden="1" customHeight="1"/>
    <row r="133" ht="15.75" hidden="1" customHeight="1"/>
    <row r="134" ht="15.75" hidden="1" customHeight="1"/>
    <row r="135" ht="15.75" hidden="1" customHeight="1"/>
    <row r="136" ht="15.75" hidden="1" customHeight="1"/>
    <row r="137" ht="15.75" hidden="1" customHeight="1"/>
    <row r="138" ht="15.75" hidden="1" customHeight="1"/>
    <row r="139" ht="15.75" hidden="1" customHeight="1"/>
    <row r="140" ht="15.75" hidden="1" customHeight="1"/>
    <row r="141" ht="15.75" hidden="1" customHeight="1"/>
    <row r="142" ht="15.75" hidden="1" customHeight="1"/>
    <row r="143" ht="15.75" hidden="1" customHeight="1"/>
    <row r="144" ht="15.75" hidden="1" customHeight="1"/>
    <row r="145" ht="15.75" hidden="1" customHeight="1"/>
    <row r="146" ht="15.75" hidden="1" customHeight="1"/>
    <row r="147" ht="15.75" hidden="1" customHeight="1"/>
    <row r="148" ht="15.75" hidden="1" customHeight="1"/>
    <row r="149" ht="15.75" hidden="1" customHeight="1"/>
    <row r="150" ht="15.75" hidden="1" customHeight="1"/>
    <row r="151" ht="15.75" hidden="1" customHeight="1"/>
    <row r="152" ht="15.75" hidden="1" customHeight="1"/>
    <row r="153" ht="15.75" hidden="1" customHeight="1"/>
    <row r="154" ht="15.75" hidden="1" customHeight="1"/>
    <row r="155" ht="15.75" hidden="1" customHeight="1"/>
    <row r="156" ht="15.75" hidden="1" customHeight="1"/>
    <row r="157" ht="15.75" hidden="1" customHeight="1"/>
    <row r="158" ht="15.75" hidden="1" customHeight="1"/>
    <row r="159" ht="15.75" hidden="1" customHeight="1"/>
    <row r="160" ht="15.75" hidden="1" customHeight="1"/>
    <row r="161" ht="15.75" hidden="1" customHeight="1"/>
    <row r="162" ht="15.75" hidden="1" customHeight="1"/>
    <row r="163" ht="15.75" hidden="1" customHeight="1"/>
    <row r="164" ht="15.75" hidden="1" customHeight="1"/>
    <row r="165" ht="15.75" hidden="1" customHeight="1"/>
    <row r="166" ht="15.75" hidden="1" customHeight="1"/>
    <row r="167" ht="15.75" hidden="1" customHeight="1"/>
    <row r="168" ht="15.75" hidden="1" customHeight="1"/>
    <row r="169" ht="15.75" hidden="1" customHeight="1"/>
    <row r="170" ht="15.75" hidden="1" customHeight="1"/>
    <row r="171" ht="15.75" hidden="1" customHeight="1"/>
    <row r="172" ht="15.75" hidden="1" customHeight="1"/>
    <row r="173" ht="15.75" hidden="1" customHeight="1"/>
    <row r="174" ht="15.75" hidden="1" customHeight="1"/>
    <row r="175" ht="15.75" hidden="1" customHeight="1"/>
    <row r="176" ht="15.75" hidden="1" customHeight="1"/>
    <row r="177" ht="15.75" hidden="1" customHeight="1"/>
    <row r="178" ht="15.75" hidden="1" customHeight="1"/>
    <row r="179" ht="15.75" hidden="1" customHeight="1"/>
    <row r="180" ht="15.75" hidden="1" customHeight="1"/>
    <row r="181" ht="15.75" hidden="1" customHeight="1"/>
    <row r="182" ht="15.75" hidden="1" customHeight="1"/>
    <row r="183" ht="15.75" hidden="1" customHeight="1"/>
    <row r="184" ht="15.75" hidden="1" customHeight="1"/>
    <row r="185" ht="15.75" hidden="1" customHeight="1"/>
    <row r="186" ht="15.75" hidden="1" customHeight="1"/>
    <row r="187" ht="15.75" hidden="1" customHeight="1"/>
    <row r="188" ht="15.75" hidden="1" customHeight="1"/>
    <row r="189" ht="15.75" hidden="1" customHeight="1"/>
    <row r="190" ht="15.75" hidden="1" customHeight="1"/>
    <row r="191" ht="15.75" hidden="1" customHeight="1"/>
    <row r="192" ht="15.75" hidden="1" customHeight="1"/>
    <row r="193" ht="15.75" hidden="1" customHeight="1"/>
    <row r="194" ht="15.75" hidden="1" customHeight="1"/>
    <row r="195" ht="15.75" hidden="1" customHeight="1"/>
    <row r="196" ht="15.75" hidden="1" customHeight="1"/>
    <row r="197" ht="15.75" hidden="1" customHeight="1"/>
    <row r="198" ht="15.75" hidden="1" customHeight="1"/>
    <row r="199" ht="15.75" hidden="1" customHeight="1"/>
    <row r="200" ht="15.75" hidden="1" customHeight="1"/>
    <row r="201" ht="15.75" hidden="1" customHeight="1"/>
    <row r="202" ht="15.75" hidden="1" customHeight="1"/>
    <row r="203" ht="15.75" hidden="1" customHeight="1"/>
    <row r="204" ht="15.75" hidden="1" customHeight="1"/>
    <row r="205" ht="15.75" hidden="1" customHeight="1"/>
    <row r="206" ht="15.75" hidden="1" customHeight="1"/>
    <row r="207" ht="15.75" hidden="1" customHeight="1"/>
    <row r="208" ht="15.75" hidden="1" customHeight="1"/>
    <row r="209" ht="15.75" hidden="1" customHeight="1"/>
    <row r="210" ht="15.75" hidden="1" customHeight="1"/>
    <row r="211" ht="15.75" hidden="1" customHeight="1"/>
    <row r="212" ht="15.75" hidden="1" customHeight="1"/>
    <row r="213" ht="15.75" hidden="1" customHeight="1"/>
    <row r="214" ht="15.75" hidden="1" customHeight="1"/>
    <row r="215" ht="15.75" hidden="1" customHeight="1"/>
    <row r="216" ht="15.75" hidden="1" customHeight="1"/>
    <row r="217" ht="15.75" hidden="1" customHeight="1"/>
    <row r="218" ht="15.75" hidden="1" customHeight="1"/>
    <row r="219" ht="15.75" hidden="1" customHeight="1"/>
    <row r="220" ht="15.75" hidden="1" customHeight="1"/>
    <row r="221" ht="15.75" hidden="1" customHeight="1"/>
    <row r="222" ht="15.75" hidden="1" customHeight="1"/>
    <row r="223" ht="15.75" hidden="1" customHeight="1"/>
    <row r="224" ht="15.75" hidden="1" customHeight="1"/>
    <row r="225" ht="15.75" hidden="1" customHeight="1"/>
    <row r="226" ht="15.75" hidden="1" customHeight="1"/>
    <row r="227" ht="15.75" hidden="1" customHeight="1"/>
    <row r="228" ht="15.75" hidden="1" customHeight="1"/>
    <row r="229" ht="15.75" hidden="1" customHeight="1"/>
    <row r="230" ht="15.75" hidden="1" customHeight="1"/>
    <row r="231" ht="15.75" hidden="1" customHeight="1"/>
    <row r="232" ht="15.75" hidden="1" customHeight="1"/>
    <row r="233" ht="15.75" hidden="1" customHeight="1"/>
    <row r="234" ht="15.75" hidden="1" customHeight="1"/>
    <row r="235" ht="15.75" hidden="1" customHeight="1"/>
    <row r="236" ht="15.75" hidden="1" customHeight="1"/>
    <row r="237" ht="15.75" hidden="1" customHeight="1"/>
    <row r="238" ht="15.75" hidden="1" customHeight="1"/>
    <row r="239" ht="15.75" hidden="1" customHeight="1"/>
    <row r="240" ht="15.75" hidden="1" customHeight="1"/>
    <row r="241" ht="15.75" hidden="1" customHeight="1"/>
    <row r="242" ht="15.75" hidden="1" customHeight="1"/>
    <row r="243" ht="15.75" hidden="1" customHeight="1"/>
    <row r="244" ht="15.75" hidden="1" customHeight="1"/>
    <row r="245" ht="15.75" hidden="1" customHeight="1"/>
    <row r="246" ht="15.75" hidden="1" customHeight="1"/>
    <row r="247" ht="15.75" hidden="1" customHeight="1"/>
    <row r="248" ht="15.75" hidden="1" customHeight="1"/>
    <row r="249" ht="15.75" hidden="1" customHeight="1"/>
    <row r="250" ht="15.75" hidden="1" customHeight="1"/>
    <row r="251" ht="15.75" hidden="1" customHeight="1"/>
    <row r="252" ht="15.75" hidden="1" customHeight="1"/>
    <row r="253" ht="15.75" hidden="1" customHeight="1"/>
    <row r="254" ht="15.75" hidden="1" customHeight="1"/>
    <row r="255" ht="15.75" hidden="1" customHeight="1"/>
    <row r="256" ht="15.75" hidden="1" customHeight="1"/>
    <row r="257" ht="15.75" hidden="1" customHeight="1"/>
    <row r="258" ht="15.75" hidden="1" customHeight="1"/>
    <row r="259" ht="15.75" hidden="1" customHeight="1"/>
    <row r="260" ht="15.75" hidden="1" customHeight="1"/>
    <row r="261" ht="15.75" hidden="1" customHeight="1"/>
    <row r="262" ht="15.75" hidden="1" customHeight="1"/>
    <row r="263" ht="15.75" hidden="1" customHeight="1"/>
    <row r="264" ht="15.75" hidden="1" customHeight="1"/>
    <row r="265" ht="15.75" hidden="1" customHeight="1"/>
    <row r="266" ht="15.75" hidden="1" customHeight="1"/>
    <row r="267" ht="15.75" hidden="1" customHeight="1"/>
    <row r="268" ht="15.75" hidden="1" customHeight="1"/>
    <row r="269" ht="15.75" hidden="1" customHeight="1"/>
    <row r="270" ht="15.75" hidden="1" customHeight="1"/>
    <row r="271" ht="15.75" hidden="1" customHeight="1"/>
    <row r="272" ht="15.75" hidden="1" customHeight="1"/>
    <row r="273" ht="15.75" hidden="1" customHeight="1"/>
    <row r="274" ht="15.75" hidden="1" customHeight="1"/>
    <row r="275" ht="15.75" hidden="1" customHeight="1"/>
    <row r="276" ht="15.75" hidden="1" customHeight="1"/>
    <row r="277" ht="15.75" hidden="1" customHeight="1"/>
    <row r="278" ht="15.75" hidden="1" customHeight="1"/>
    <row r="279" ht="15.75" hidden="1" customHeight="1"/>
    <row r="280" ht="15.75" hidden="1" customHeight="1"/>
    <row r="281" ht="15.75" hidden="1" customHeight="1"/>
    <row r="282" ht="15.75" hidden="1" customHeight="1"/>
    <row r="283" ht="15.75" hidden="1" customHeight="1"/>
    <row r="284" ht="15.75" hidden="1" customHeight="1"/>
    <row r="285" ht="15.75" hidden="1" customHeight="1"/>
    <row r="286" ht="15.75" hidden="1" customHeight="1"/>
    <row r="287" ht="15.75" hidden="1" customHeight="1"/>
    <row r="288" ht="15.75" hidden="1" customHeight="1"/>
    <row r="289" ht="15.75" hidden="1" customHeight="1"/>
    <row r="290" ht="15.75" hidden="1" customHeight="1"/>
    <row r="291" ht="15.75" hidden="1" customHeight="1"/>
    <row r="292" ht="15.75" hidden="1" customHeight="1"/>
    <row r="293" ht="15.75" hidden="1" customHeight="1"/>
    <row r="294" ht="15.75" hidden="1" customHeight="1"/>
    <row r="295" ht="15.75" hidden="1" customHeight="1"/>
    <row r="296" ht="15.75" hidden="1" customHeight="1"/>
    <row r="297" ht="15.75" hidden="1" customHeight="1"/>
    <row r="298" ht="15.75" hidden="1" customHeight="1"/>
    <row r="299" ht="15.75" hidden="1" customHeight="1"/>
    <row r="300" ht="15.75" hidden="1" customHeight="1"/>
    <row r="301" ht="15.75" hidden="1" customHeight="1"/>
    <row r="302" ht="15.75" hidden="1" customHeight="1"/>
    <row r="303" ht="15.75" hidden="1" customHeight="1"/>
    <row r="304" ht="15.75" hidden="1" customHeight="1"/>
    <row r="305" ht="15.75" hidden="1" customHeight="1"/>
    <row r="306" ht="15.75" hidden="1" customHeight="1"/>
    <row r="307" ht="15.75" hidden="1" customHeight="1"/>
    <row r="308" ht="15.75" hidden="1" customHeight="1"/>
    <row r="309" ht="15.75" hidden="1" customHeight="1"/>
    <row r="310" ht="15.75" hidden="1" customHeight="1"/>
    <row r="311" ht="15.75" hidden="1" customHeight="1"/>
    <row r="312" ht="15.75" hidden="1" customHeight="1"/>
    <row r="313" ht="15.75" hidden="1" customHeight="1"/>
    <row r="314" ht="15.75" hidden="1" customHeight="1"/>
    <row r="315" ht="15.75" hidden="1" customHeight="1"/>
    <row r="316" ht="15.75" hidden="1" customHeight="1"/>
    <row r="317" ht="15.75" hidden="1" customHeight="1"/>
    <row r="318" ht="15.75" hidden="1" customHeight="1"/>
    <row r="319" ht="15.75" hidden="1" customHeight="1"/>
    <row r="320" ht="15.75" hidden="1" customHeight="1"/>
    <row r="321" ht="15.75" hidden="1" customHeight="1"/>
    <row r="322" ht="15.75" hidden="1" customHeight="1"/>
    <row r="323" ht="15.75" hidden="1" customHeight="1"/>
    <row r="324" ht="15.75" hidden="1" customHeight="1"/>
    <row r="325" ht="15.75" hidden="1" customHeight="1"/>
    <row r="326" ht="15.75" hidden="1" customHeight="1"/>
    <row r="327" ht="15.75" hidden="1" customHeight="1"/>
    <row r="328" ht="15.75" hidden="1" customHeight="1"/>
    <row r="329" ht="15.75" hidden="1" customHeight="1"/>
    <row r="330" ht="15.75" hidden="1" customHeight="1"/>
    <row r="331" ht="15.75" hidden="1" customHeight="1"/>
    <row r="332" ht="15.75" hidden="1" customHeight="1"/>
    <row r="333" ht="15.75" hidden="1" customHeight="1"/>
    <row r="334" ht="15.75" hidden="1" customHeight="1"/>
    <row r="335" ht="15.75" hidden="1" customHeight="1"/>
    <row r="336" ht="15.75" hidden="1" customHeight="1"/>
    <row r="337" ht="15.75" hidden="1" customHeight="1"/>
    <row r="338" ht="15.75" hidden="1" customHeight="1"/>
    <row r="339" ht="15.75" hidden="1" customHeight="1"/>
    <row r="340" ht="15.75" hidden="1" customHeight="1"/>
    <row r="341" ht="15.75" hidden="1" customHeight="1"/>
    <row r="342" ht="15.75" hidden="1" customHeight="1"/>
    <row r="343" ht="15.75" hidden="1" customHeight="1"/>
    <row r="344" ht="15.75" hidden="1" customHeight="1"/>
    <row r="345" ht="15.75" hidden="1" customHeight="1"/>
    <row r="346" ht="15.75" hidden="1" customHeight="1"/>
    <row r="347" ht="15.75" hidden="1" customHeight="1"/>
    <row r="348" ht="15.75" hidden="1" customHeight="1"/>
    <row r="349" ht="15.75" hidden="1" customHeight="1"/>
    <row r="350" ht="15.75" hidden="1" customHeight="1"/>
    <row r="351" ht="15.75" hidden="1" customHeight="1"/>
    <row r="352" ht="15.75" hidden="1" customHeight="1"/>
    <row r="353" ht="15.75" hidden="1" customHeight="1"/>
    <row r="354" ht="15.75" hidden="1" customHeight="1"/>
    <row r="355" ht="15.75" hidden="1" customHeight="1"/>
    <row r="356" ht="15.75" hidden="1" customHeight="1"/>
    <row r="357" ht="15.75" hidden="1" customHeight="1"/>
    <row r="358" ht="15.75" hidden="1" customHeight="1"/>
    <row r="359" ht="15.75" hidden="1" customHeight="1"/>
    <row r="360" ht="15.75" hidden="1" customHeight="1"/>
    <row r="361" ht="15.75" hidden="1" customHeight="1"/>
    <row r="362" ht="15.75" hidden="1" customHeight="1"/>
    <row r="363" ht="15.75" hidden="1" customHeight="1"/>
    <row r="364" ht="15.75" hidden="1" customHeight="1"/>
    <row r="365" ht="15.75" hidden="1" customHeight="1"/>
    <row r="366" ht="15.75" hidden="1" customHeight="1"/>
    <row r="367" ht="15.75" hidden="1" customHeight="1"/>
    <row r="368" ht="15.75" hidden="1" customHeight="1"/>
    <row r="369" ht="15.75" hidden="1" customHeight="1"/>
    <row r="370" ht="15.75" hidden="1" customHeight="1"/>
    <row r="371" ht="15.75" hidden="1" customHeight="1"/>
    <row r="372" ht="15.75" hidden="1" customHeight="1"/>
    <row r="373" ht="15.75" hidden="1" customHeight="1"/>
    <row r="374" ht="15.75" hidden="1" customHeight="1"/>
    <row r="375" ht="15.75" hidden="1" customHeight="1"/>
    <row r="376" ht="15.75" hidden="1" customHeight="1"/>
    <row r="377" ht="15.75" hidden="1" customHeight="1"/>
    <row r="378" ht="15.75" hidden="1" customHeight="1"/>
    <row r="379" ht="15.75" hidden="1" customHeight="1"/>
    <row r="380" ht="15.75" hidden="1" customHeight="1"/>
    <row r="381" ht="15.75" hidden="1" customHeight="1"/>
    <row r="382" ht="15.75" hidden="1" customHeight="1"/>
    <row r="383" ht="15.75" hidden="1" customHeight="1"/>
    <row r="384" ht="15.75" hidden="1" customHeight="1"/>
    <row r="385" ht="15.75" hidden="1" customHeight="1"/>
    <row r="386" ht="15.75" hidden="1" customHeight="1"/>
    <row r="387" ht="15.75" hidden="1" customHeight="1"/>
    <row r="388" ht="15.75" hidden="1" customHeight="1"/>
    <row r="389" ht="15.75" hidden="1" customHeight="1"/>
    <row r="390" ht="15.75" hidden="1" customHeight="1"/>
    <row r="391" ht="15.75" hidden="1" customHeight="1"/>
    <row r="392" ht="15.75" hidden="1" customHeight="1"/>
    <row r="393" ht="15.75" hidden="1" customHeight="1"/>
    <row r="394" ht="15.75" hidden="1" customHeight="1"/>
    <row r="395" ht="15.75" hidden="1" customHeight="1"/>
    <row r="396" ht="15.75" hidden="1" customHeight="1"/>
    <row r="397" ht="15.75" hidden="1" customHeight="1"/>
    <row r="398" ht="15.75" hidden="1" customHeight="1"/>
    <row r="399" ht="15.75" hidden="1" customHeight="1"/>
    <row r="400" ht="15.75" hidden="1" customHeight="1"/>
    <row r="401" ht="15.75" hidden="1" customHeight="1"/>
    <row r="402" ht="15.75" hidden="1" customHeight="1"/>
    <row r="403" ht="15.75" hidden="1" customHeight="1"/>
    <row r="404" ht="15.75" hidden="1" customHeight="1"/>
    <row r="405" ht="15.75" hidden="1" customHeight="1"/>
    <row r="406" ht="15.75" hidden="1" customHeight="1"/>
    <row r="407" ht="15.75" hidden="1" customHeight="1"/>
    <row r="408" ht="15.75" hidden="1" customHeight="1"/>
    <row r="409" ht="15.75" hidden="1" customHeight="1"/>
    <row r="410" ht="15.75" hidden="1" customHeight="1"/>
    <row r="411" ht="15.75" hidden="1" customHeight="1"/>
    <row r="412" ht="15.75" hidden="1" customHeight="1"/>
    <row r="413" ht="15.75" hidden="1" customHeight="1"/>
    <row r="414" ht="15.75" hidden="1" customHeight="1"/>
    <row r="415" ht="15.75" hidden="1" customHeight="1"/>
    <row r="416" ht="15.75" hidden="1" customHeight="1"/>
    <row r="417" ht="15.75" hidden="1" customHeight="1"/>
    <row r="418" ht="15.75" hidden="1" customHeight="1"/>
    <row r="419" ht="15.75" hidden="1" customHeight="1"/>
    <row r="420" ht="15.75" hidden="1" customHeight="1"/>
    <row r="421" ht="15.75" hidden="1" customHeight="1"/>
    <row r="422" ht="15.75" hidden="1" customHeight="1"/>
    <row r="423" ht="15.75" hidden="1" customHeight="1"/>
    <row r="424" ht="15.75" hidden="1" customHeight="1"/>
    <row r="425" ht="15.75" hidden="1" customHeight="1"/>
    <row r="426" ht="15.75" hidden="1" customHeight="1"/>
    <row r="427" ht="15.75" hidden="1" customHeight="1"/>
    <row r="428" ht="15.75" hidden="1" customHeight="1"/>
    <row r="429" ht="15.75" hidden="1" customHeight="1"/>
    <row r="430" ht="15.75" hidden="1" customHeight="1"/>
    <row r="431" ht="15.75" hidden="1" customHeight="1"/>
    <row r="432" ht="15.75" hidden="1" customHeight="1"/>
    <row r="433" ht="15.75" hidden="1" customHeight="1"/>
    <row r="434" ht="15.75" hidden="1" customHeight="1"/>
    <row r="435" ht="15.75" hidden="1" customHeight="1"/>
    <row r="436" ht="15.75" hidden="1" customHeight="1"/>
    <row r="437" ht="15.75" hidden="1" customHeight="1"/>
    <row r="438" ht="15.75" hidden="1" customHeight="1"/>
    <row r="439" ht="15.75" hidden="1" customHeight="1"/>
    <row r="440" ht="15.75" hidden="1" customHeight="1"/>
    <row r="441" ht="15.75" hidden="1" customHeight="1"/>
    <row r="442" ht="15.75" hidden="1" customHeight="1"/>
    <row r="443" ht="15.75" hidden="1" customHeight="1"/>
    <row r="444" ht="15.75" hidden="1" customHeight="1"/>
    <row r="445" ht="15.75" hidden="1" customHeight="1"/>
    <row r="446" ht="15.75" hidden="1" customHeight="1"/>
    <row r="447" ht="15.75" hidden="1" customHeight="1"/>
    <row r="448" ht="15.75" hidden="1" customHeight="1"/>
    <row r="449" ht="15.75" hidden="1" customHeight="1"/>
    <row r="450" ht="15.75" hidden="1" customHeight="1"/>
    <row r="451" ht="15.75" hidden="1" customHeight="1"/>
    <row r="452" ht="15.75" hidden="1" customHeight="1"/>
    <row r="453" ht="15.75" hidden="1" customHeight="1"/>
    <row r="454" ht="15.75" hidden="1" customHeight="1"/>
    <row r="455" ht="15.75" hidden="1" customHeight="1"/>
    <row r="456" ht="15.75" hidden="1" customHeight="1"/>
    <row r="457" ht="15.75" hidden="1" customHeight="1"/>
    <row r="458" ht="15.75" hidden="1" customHeight="1"/>
    <row r="459" ht="15.75" hidden="1" customHeight="1"/>
    <row r="460" ht="15.75" hidden="1" customHeight="1"/>
    <row r="461" ht="15.75" hidden="1" customHeight="1"/>
    <row r="462" ht="15.75" hidden="1" customHeight="1"/>
    <row r="463" ht="15.75" hidden="1" customHeight="1"/>
    <row r="464" ht="15.75" hidden="1" customHeight="1"/>
    <row r="465" ht="15.75" hidden="1" customHeight="1"/>
    <row r="466" ht="15.75" hidden="1" customHeight="1"/>
    <row r="467" ht="15.75" hidden="1" customHeight="1"/>
    <row r="468" ht="15.75" hidden="1" customHeight="1"/>
    <row r="469" ht="15.75" hidden="1" customHeight="1"/>
    <row r="470" ht="15.75" hidden="1" customHeight="1"/>
    <row r="471" ht="15.75" hidden="1" customHeight="1"/>
    <row r="472" ht="15.75" hidden="1" customHeight="1"/>
    <row r="473" ht="15.75" hidden="1" customHeight="1"/>
    <row r="474" ht="15.75" hidden="1" customHeight="1"/>
    <row r="475" ht="15.75" hidden="1" customHeight="1"/>
    <row r="476" ht="15.75" hidden="1" customHeight="1"/>
    <row r="477" ht="15.75" hidden="1" customHeight="1"/>
    <row r="478" ht="15.75" hidden="1" customHeight="1"/>
    <row r="479" ht="15.75" hidden="1" customHeight="1"/>
    <row r="480" ht="15.75" hidden="1" customHeight="1"/>
    <row r="481" ht="15.75" hidden="1" customHeight="1"/>
    <row r="482" ht="15.75" hidden="1" customHeight="1"/>
    <row r="483" ht="15.75" hidden="1" customHeight="1"/>
    <row r="484" ht="15.75" hidden="1" customHeight="1"/>
    <row r="485" ht="15.75" hidden="1" customHeight="1"/>
    <row r="486" ht="15.75" hidden="1" customHeight="1"/>
    <row r="487" ht="15.75" hidden="1" customHeight="1"/>
    <row r="488" ht="15.75" hidden="1" customHeight="1"/>
    <row r="489" ht="15.75" hidden="1" customHeight="1"/>
    <row r="490" ht="15.75" hidden="1" customHeight="1"/>
    <row r="491" ht="15.75" hidden="1" customHeight="1"/>
    <row r="492" ht="15.75" hidden="1" customHeight="1"/>
    <row r="493" ht="15.75" hidden="1" customHeight="1"/>
    <row r="494" ht="15.75" hidden="1" customHeight="1"/>
    <row r="495" ht="15.75" hidden="1" customHeight="1"/>
    <row r="496" ht="15.75" hidden="1" customHeight="1"/>
    <row r="497" ht="15.75" hidden="1" customHeight="1"/>
    <row r="498" ht="15.75" hidden="1" customHeight="1"/>
    <row r="499" ht="15.75" hidden="1" customHeight="1"/>
    <row r="500" ht="15.75" hidden="1" customHeight="1"/>
    <row r="501" ht="15.75" hidden="1" customHeight="1"/>
    <row r="502" ht="15.75" hidden="1" customHeight="1"/>
    <row r="503" ht="15.75" hidden="1" customHeight="1"/>
    <row r="504" ht="15.75" hidden="1" customHeight="1"/>
    <row r="505" ht="15.75" hidden="1" customHeight="1"/>
    <row r="506" ht="15.75" hidden="1" customHeight="1"/>
    <row r="507" ht="15.75" hidden="1" customHeight="1"/>
    <row r="508" ht="15.75" hidden="1" customHeight="1"/>
    <row r="509" ht="15.75" hidden="1" customHeight="1"/>
    <row r="510" ht="15.75" hidden="1" customHeight="1"/>
    <row r="511" ht="15.75" hidden="1" customHeight="1"/>
    <row r="512" ht="15.75" hidden="1" customHeight="1"/>
    <row r="513" ht="15.75" hidden="1" customHeight="1"/>
    <row r="514" ht="15.75" hidden="1" customHeight="1"/>
    <row r="515" ht="15.75" hidden="1" customHeight="1"/>
    <row r="516" ht="15.75" hidden="1" customHeight="1"/>
    <row r="517" ht="15.75" hidden="1" customHeight="1"/>
    <row r="518" ht="15.75" hidden="1" customHeight="1"/>
    <row r="519" ht="15.75" hidden="1" customHeight="1"/>
    <row r="520" ht="15.75" hidden="1" customHeight="1"/>
    <row r="521" ht="15.75" hidden="1" customHeight="1"/>
    <row r="522" ht="15.75" hidden="1" customHeight="1"/>
    <row r="523" ht="15.75" hidden="1" customHeight="1"/>
    <row r="524" ht="15.75" hidden="1" customHeight="1"/>
    <row r="525" ht="15.75" hidden="1" customHeight="1"/>
    <row r="526" ht="15.75" hidden="1" customHeight="1"/>
    <row r="527" ht="15.75" hidden="1" customHeight="1"/>
    <row r="528" ht="15.75" hidden="1" customHeight="1"/>
    <row r="529" ht="15.75" hidden="1" customHeight="1"/>
    <row r="530" ht="15.75" hidden="1" customHeight="1"/>
    <row r="531" ht="15.75" hidden="1" customHeight="1"/>
    <row r="532" ht="15.75" hidden="1" customHeight="1"/>
    <row r="533" ht="15.75" hidden="1" customHeight="1"/>
    <row r="534" ht="15.75" hidden="1" customHeight="1"/>
    <row r="535" ht="15.75" hidden="1" customHeight="1"/>
    <row r="536" ht="15.75" hidden="1" customHeight="1"/>
    <row r="537" ht="15.75" hidden="1" customHeight="1"/>
    <row r="538" ht="15.75" hidden="1" customHeight="1"/>
    <row r="539" ht="15.75" hidden="1" customHeight="1"/>
    <row r="540" ht="15.75" hidden="1" customHeight="1"/>
    <row r="541" ht="15.75" hidden="1" customHeight="1"/>
    <row r="542" ht="15.75" hidden="1" customHeight="1"/>
    <row r="543" ht="15.75" hidden="1" customHeight="1"/>
    <row r="544" ht="15.75" hidden="1" customHeight="1"/>
    <row r="545" ht="15.75" hidden="1" customHeight="1"/>
    <row r="546" ht="15.75" hidden="1" customHeight="1"/>
    <row r="547" ht="15.75" hidden="1" customHeight="1"/>
    <row r="548" ht="15.75" hidden="1" customHeight="1"/>
    <row r="549" ht="15.75" hidden="1" customHeight="1"/>
    <row r="550" ht="15.75" hidden="1" customHeight="1"/>
    <row r="551" ht="15.75" hidden="1" customHeight="1"/>
    <row r="552" ht="15.75" hidden="1" customHeight="1"/>
    <row r="553" ht="15.75" hidden="1" customHeight="1"/>
    <row r="554" ht="15.75" hidden="1" customHeight="1"/>
    <row r="555" ht="15.75" hidden="1" customHeight="1"/>
    <row r="556" ht="15.75" hidden="1" customHeight="1"/>
    <row r="557" ht="15.75" hidden="1" customHeight="1"/>
    <row r="558" ht="15.75" hidden="1" customHeight="1"/>
    <row r="559" ht="15.75" hidden="1" customHeight="1"/>
    <row r="560" ht="15.75" hidden="1" customHeight="1"/>
    <row r="561" ht="15.75" hidden="1" customHeight="1"/>
    <row r="562" ht="15.75" hidden="1" customHeight="1"/>
    <row r="563" ht="15.75" hidden="1" customHeight="1"/>
    <row r="564" ht="15.75" hidden="1" customHeight="1"/>
    <row r="565" ht="15.75" hidden="1" customHeight="1"/>
    <row r="566" ht="15.75" hidden="1" customHeight="1"/>
    <row r="567" ht="15.75" hidden="1" customHeight="1"/>
    <row r="568" ht="15.75" hidden="1" customHeight="1"/>
    <row r="569" ht="15.75" hidden="1" customHeight="1"/>
    <row r="570" ht="15.75" hidden="1" customHeight="1"/>
    <row r="571" ht="15.75" hidden="1" customHeight="1"/>
    <row r="572" ht="15.75" hidden="1" customHeight="1"/>
    <row r="573" ht="15.75" hidden="1" customHeight="1"/>
    <row r="574" ht="15.75" hidden="1" customHeight="1"/>
    <row r="575" ht="15.75" hidden="1" customHeight="1"/>
    <row r="576" ht="15.75" hidden="1" customHeight="1"/>
    <row r="577" ht="15.75" hidden="1" customHeight="1"/>
    <row r="578" ht="15.75" hidden="1" customHeight="1"/>
    <row r="579" ht="15.75" hidden="1" customHeight="1"/>
    <row r="580" ht="15.75" hidden="1" customHeight="1"/>
    <row r="581" ht="15.75" hidden="1" customHeight="1"/>
    <row r="582" ht="15.75" hidden="1" customHeight="1"/>
    <row r="583" ht="15.75" hidden="1" customHeight="1"/>
    <row r="584" ht="15.75" hidden="1" customHeight="1"/>
    <row r="585" ht="15.75" hidden="1" customHeight="1"/>
    <row r="586" ht="15.75" hidden="1" customHeight="1"/>
    <row r="587" ht="15.75" hidden="1" customHeight="1"/>
    <row r="588" ht="15.75" hidden="1" customHeight="1"/>
    <row r="589" ht="15.75" hidden="1" customHeight="1"/>
    <row r="590" ht="15.75" hidden="1" customHeight="1"/>
    <row r="591" ht="15.75" hidden="1" customHeight="1"/>
    <row r="592" ht="15.75" hidden="1" customHeight="1"/>
    <row r="593" ht="15.75" hidden="1" customHeight="1"/>
    <row r="594" ht="15.75" hidden="1" customHeight="1"/>
    <row r="595" ht="15.75" hidden="1" customHeight="1"/>
    <row r="596" ht="15.75" hidden="1" customHeight="1"/>
    <row r="597" ht="15.75" hidden="1" customHeight="1"/>
    <row r="598" ht="15.75" hidden="1" customHeight="1"/>
    <row r="599" ht="15.75" hidden="1" customHeight="1"/>
    <row r="600" ht="15.75" hidden="1" customHeight="1"/>
    <row r="601" ht="15.75" hidden="1" customHeight="1"/>
    <row r="602" ht="15.75" hidden="1" customHeight="1"/>
    <row r="603" ht="15.75" hidden="1" customHeight="1"/>
    <row r="604" ht="15.75" hidden="1" customHeight="1"/>
    <row r="605" ht="15.75" hidden="1" customHeight="1"/>
    <row r="606" ht="15.75" hidden="1" customHeight="1"/>
    <row r="607" ht="15.75" hidden="1" customHeight="1"/>
    <row r="608" ht="15.75" hidden="1" customHeight="1"/>
    <row r="609" ht="15.75" hidden="1" customHeight="1"/>
    <row r="610" ht="15.75" hidden="1" customHeight="1"/>
    <row r="611" ht="15.75" hidden="1" customHeight="1"/>
    <row r="612" ht="15.75" hidden="1" customHeight="1"/>
    <row r="613" ht="15.75" hidden="1" customHeight="1"/>
    <row r="614" ht="15.75" hidden="1" customHeight="1"/>
    <row r="615" ht="15.75" hidden="1" customHeight="1"/>
    <row r="616" ht="15.75" hidden="1" customHeight="1"/>
    <row r="617" ht="15.75" hidden="1" customHeight="1"/>
  </sheetData>
  <sheetProtection password="F8E5" sheet="1" formatCells="0" formatRows="0" objects="1"/>
  <mergeCells count="118">
    <mergeCell ref="KG1:KH1"/>
    <mergeCell ref="E5:L5"/>
    <mergeCell ref="M5:T5"/>
    <mergeCell ref="U5:AB5"/>
    <mergeCell ref="AC5:AJ5"/>
    <mergeCell ref="AK5:AR5"/>
    <mergeCell ref="AS5:AZ5"/>
    <mergeCell ref="BA5:BH5"/>
    <mergeCell ref="BI5:BP5"/>
    <mergeCell ref="BQ5:BX5"/>
    <mergeCell ref="BY5:CF5"/>
    <mergeCell ref="CG5:CN5"/>
    <mergeCell ref="CO5:CV5"/>
    <mergeCell ref="CW5:DD5"/>
    <mergeCell ref="DE5:DL5"/>
    <mergeCell ref="DM5:DT5"/>
    <mergeCell ref="DU5:EB5"/>
    <mergeCell ref="EC5:EJ5"/>
    <mergeCell ref="EK5:ER5"/>
    <mergeCell ref="ES5:EZ5"/>
    <mergeCell ref="FA5:FH5"/>
    <mergeCell ref="FI5:FN5"/>
    <mergeCell ref="FQ5:FV5"/>
    <mergeCell ref="FW5:GB5"/>
    <mergeCell ref="GC5:GH5"/>
    <mergeCell ref="GI5:GN5"/>
    <mergeCell ref="GO5:GT5"/>
    <mergeCell ref="GU5:GZ5"/>
    <mergeCell ref="HA5:HF5"/>
    <mergeCell ref="HG5:HL5"/>
    <mergeCell ref="HM5:HR5"/>
    <mergeCell ref="HS5:HX5"/>
    <mergeCell ref="HY5:ID5"/>
    <mergeCell ref="IE5:IJ5"/>
    <mergeCell ref="IK5:IP5"/>
    <mergeCell ref="IQ5:IV5"/>
    <mergeCell ref="IW5:JB5"/>
    <mergeCell ref="JC5:JH5"/>
    <mergeCell ref="JI5:JN5"/>
    <mergeCell ref="JO5:JT5"/>
    <mergeCell ref="JU5:JZ5"/>
    <mergeCell ref="KA5:KF5"/>
    <mergeCell ref="KG5:KH5"/>
    <mergeCell ref="E6:L6"/>
    <mergeCell ref="M6:T6"/>
    <mergeCell ref="U6:AB6"/>
    <mergeCell ref="AC6:AJ6"/>
    <mergeCell ref="AK6:AR6"/>
    <mergeCell ref="AS6:AZ6"/>
    <mergeCell ref="BA6:BH6"/>
    <mergeCell ref="BI6:BP6"/>
    <mergeCell ref="BQ6:BX6"/>
    <mergeCell ref="BY6:CF6"/>
    <mergeCell ref="CG6:CN6"/>
    <mergeCell ref="CO6:CV6"/>
    <mergeCell ref="CW6:DD6"/>
    <mergeCell ref="DE6:DL6"/>
    <mergeCell ref="DM6:DT6"/>
    <mergeCell ref="DU6:EB6"/>
    <mergeCell ref="EC6:EJ6"/>
    <mergeCell ref="EK6:ER6"/>
    <mergeCell ref="ES6:EZ6"/>
    <mergeCell ref="FA6:FH6"/>
    <mergeCell ref="FQ6:FV6"/>
    <mergeCell ref="FW6:GB6"/>
    <mergeCell ref="GC6:GH6"/>
    <mergeCell ref="GI6:GN6"/>
    <mergeCell ref="GO6:GT6"/>
    <mergeCell ref="GU6:GZ6"/>
    <mergeCell ref="HA6:HF6"/>
    <mergeCell ref="HG6:HL6"/>
    <mergeCell ref="HM6:HR6"/>
    <mergeCell ref="HS6:HX6"/>
    <mergeCell ref="HY6:ID6"/>
    <mergeCell ref="IE6:IJ6"/>
    <mergeCell ref="IK6:IP6"/>
    <mergeCell ref="IQ6:IV6"/>
    <mergeCell ref="IW6:JB6"/>
    <mergeCell ref="JC6:JH6"/>
    <mergeCell ref="JI6:JN6"/>
    <mergeCell ref="JO6:JT6"/>
    <mergeCell ref="JU6:JZ6"/>
    <mergeCell ref="KA6:KF6"/>
    <mergeCell ref="E7:L7"/>
    <mergeCell ref="M7:T7"/>
    <mergeCell ref="U7:AB7"/>
    <mergeCell ref="AC7:AJ7"/>
    <mergeCell ref="AK7:AR7"/>
    <mergeCell ref="AS7:AZ7"/>
    <mergeCell ref="BA7:BH7"/>
    <mergeCell ref="BI7:BP7"/>
    <mergeCell ref="BQ7:BX7"/>
    <mergeCell ref="BY7:CF7"/>
    <mergeCell ref="CG7:CN7"/>
    <mergeCell ref="CO7:CV7"/>
    <mergeCell ref="CW7:DD7"/>
    <mergeCell ref="DE7:DL7"/>
    <mergeCell ref="DM7:DT7"/>
    <mergeCell ref="DU7:EB7"/>
    <mergeCell ref="EC7:EJ7"/>
    <mergeCell ref="EK7:ER7"/>
    <mergeCell ref="ES7:EZ7"/>
    <mergeCell ref="FA7:FH7"/>
    <mergeCell ref="OM7:ON7"/>
    <mergeCell ref="QD7:QE7"/>
    <mergeCell ref="B5:B8"/>
    <mergeCell ref="C5:C8"/>
    <mergeCell ref="D5:D8"/>
    <mergeCell ref="FI6:FI8"/>
    <mergeCell ref="FJ6:FJ8"/>
    <mergeCell ref="FK6:FK8"/>
    <mergeCell ref="FL6:FL8"/>
    <mergeCell ref="FM6:FM8"/>
    <mergeCell ref="FN6:FN8"/>
    <mergeCell ref="KG6:KG8"/>
    <mergeCell ref="KH6:KH8"/>
    <mergeCell ref="LC6:LC8"/>
    <mergeCell ref="B2:D4"/>
  </mergeCells>
  <conditionalFormatting sqref="DU9">
    <cfRule type="containsBlanks" dxfId="4" priority="420">
      <formula>LEN(TRIM(DU9))=0</formula>
    </cfRule>
  </conditionalFormatting>
  <conditionalFormatting sqref="EC9">
    <cfRule type="containsBlanks" dxfId="4" priority="419">
      <formula>LEN(TRIM(EC9))=0</formula>
    </cfRule>
  </conditionalFormatting>
  <conditionalFormatting sqref="E27">
    <cfRule type="containsBlanks" dxfId="4" priority="119">
      <formula>LEN(TRIM(E27))=0</formula>
    </cfRule>
    <cfRule type="cellIs" dxfId="1" priority="118" operator="lessThan">
      <formula>#REF!</formula>
    </cfRule>
    <cfRule type="cellIs" dxfId="2" priority="117" operator="equal">
      <formula>0</formula>
    </cfRule>
    <cfRule type="cellIs" dxfId="5" priority="116" operator="equal">
      <formula>0</formula>
    </cfRule>
    <cfRule type="cellIs" dxfId="5" priority="114" operator="equal">
      <formula>0</formula>
    </cfRule>
    <cfRule type="cellIs" dxfId="1" priority="115" operator="lessThan">
      <formula>$FN$4</formula>
    </cfRule>
    <cfRule type="cellIs" dxfId="1" priority="113" operator="equal">
      <formula>0</formula>
    </cfRule>
  </conditionalFormatting>
  <conditionalFormatting sqref="F27">
    <cfRule type="containsBlanks" dxfId="4" priority="112">
      <formula>LEN(TRIM(F27))=0</formula>
    </cfRule>
    <cfRule type="cellIs" dxfId="1" priority="111" operator="lessThan">
      <formula>#REF!</formula>
    </cfRule>
    <cfRule type="cellIs" dxfId="2" priority="110" operator="equal">
      <formula>0</formula>
    </cfRule>
    <cfRule type="cellIs" dxfId="5" priority="109" operator="equal">
      <formula>0</formula>
    </cfRule>
    <cfRule type="cellIs" dxfId="5" priority="107" operator="equal">
      <formula>0</formula>
    </cfRule>
    <cfRule type="cellIs" dxfId="1" priority="108" operator="lessThan">
      <formula>$FN$4</formula>
    </cfRule>
    <cfRule type="cellIs" dxfId="1" priority="106" operator="equal">
      <formula>0</formula>
    </cfRule>
  </conditionalFormatting>
  <conditionalFormatting sqref="M27">
    <cfRule type="containsBlanks" dxfId="4" priority="96">
      <formula>LEN(TRIM(M27))=0</formula>
    </cfRule>
    <cfRule type="cellIs" dxfId="1" priority="95" operator="lessThan">
      <formula>#REF!</formula>
    </cfRule>
    <cfRule type="cellIs" dxfId="2" priority="94" operator="equal">
      <formula>0</formula>
    </cfRule>
    <cfRule type="cellIs" dxfId="5" priority="93" operator="equal">
      <formula>0</formula>
    </cfRule>
    <cfRule type="cellIs" dxfId="5" priority="91" operator="equal">
      <formula>0</formula>
    </cfRule>
    <cfRule type="cellIs" dxfId="1" priority="92" operator="lessThan">
      <formula>$FN$4</formula>
    </cfRule>
    <cfRule type="cellIs" dxfId="1" priority="90" operator="equal">
      <formula>0</formula>
    </cfRule>
  </conditionalFormatting>
  <conditionalFormatting sqref="N27">
    <cfRule type="containsBlanks" dxfId="4" priority="89">
      <formula>LEN(TRIM(N27))=0</formula>
    </cfRule>
    <cfRule type="cellIs" dxfId="1" priority="88" operator="lessThan">
      <formula>#REF!</formula>
    </cfRule>
    <cfRule type="cellIs" dxfId="2" priority="87" operator="equal">
      <formula>0</formula>
    </cfRule>
    <cfRule type="cellIs" dxfId="5" priority="86" operator="equal">
      <formula>0</formula>
    </cfRule>
    <cfRule type="cellIs" dxfId="5" priority="84" operator="equal">
      <formula>0</formula>
    </cfRule>
    <cfRule type="cellIs" dxfId="1" priority="85" operator="lessThan">
      <formula>$FN$4</formula>
    </cfRule>
    <cfRule type="cellIs" dxfId="1" priority="83" operator="equal">
      <formula>0</formula>
    </cfRule>
  </conditionalFormatting>
  <conditionalFormatting sqref="O27:Q27">
    <cfRule type="containsBlanks" dxfId="4" priority="105">
      <formula>LEN(TRIM(O27))=0</formula>
    </cfRule>
    <cfRule type="cellIs" dxfId="1" priority="104" operator="equal">
      <formula>0</formula>
    </cfRule>
  </conditionalFormatting>
  <conditionalFormatting sqref="R27">
    <cfRule type="containsBlanks" dxfId="4" priority="103">
      <formula>LEN(TRIM(R27))=0</formula>
    </cfRule>
    <cfRule type="cellIs" dxfId="1" priority="102" operator="lessThan">
      <formula>#REF!</formula>
    </cfRule>
    <cfRule type="cellIs" dxfId="2" priority="101" operator="equal">
      <formula>0</formula>
    </cfRule>
    <cfRule type="cellIs" dxfId="5" priority="100" operator="equal">
      <formula>0</formula>
    </cfRule>
    <cfRule type="cellIs" dxfId="5" priority="98" operator="equal">
      <formula>0</formula>
    </cfRule>
    <cfRule type="cellIs" dxfId="1" priority="99" operator="lessThan">
      <formula>$FN$4</formula>
    </cfRule>
    <cfRule type="cellIs" dxfId="1" priority="97" operator="equal">
      <formula>0</formula>
    </cfRule>
  </conditionalFormatting>
  <conditionalFormatting sqref="FJ27">
    <cfRule type="containsBlanks" dxfId="4" priority="82">
      <formula>LEN(TRIM(FJ27))=0</formula>
    </cfRule>
    <cfRule type="cellIs" dxfId="1" priority="81" operator="lessThan">
      <formula>#REF!</formula>
    </cfRule>
    <cfRule type="cellIs" dxfId="2" priority="80" operator="equal">
      <formula>0</formula>
    </cfRule>
    <cfRule type="cellIs" dxfId="5" priority="79" operator="equal">
      <formula>0</formula>
    </cfRule>
    <cfRule type="cellIs" dxfId="5" priority="77" operator="equal">
      <formula>0</formula>
    </cfRule>
    <cfRule type="cellIs" dxfId="1" priority="78" operator="lessThan">
      <formula>$FN$4</formula>
    </cfRule>
    <cfRule type="cellIs" dxfId="1" priority="76" operator="equal">
      <formula>0</formula>
    </cfRule>
  </conditionalFormatting>
  <conditionalFormatting sqref="FK27">
    <cfRule type="containsBlanks" dxfId="4" priority="75">
      <formula>LEN(TRIM(FK27))=0</formula>
    </cfRule>
    <cfRule type="cellIs" dxfId="1" priority="74" operator="lessThan">
      <formula>#REF!</formula>
    </cfRule>
    <cfRule type="cellIs" dxfId="2" priority="73" operator="equal">
      <formula>0</formula>
    </cfRule>
    <cfRule type="cellIs" dxfId="5" priority="72" operator="equal">
      <formula>0</formula>
    </cfRule>
    <cfRule type="cellIs" dxfId="5" priority="70" operator="equal">
      <formula>0</formula>
    </cfRule>
    <cfRule type="cellIs" dxfId="1" priority="71" operator="lessThan">
      <formula>$FN$4</formula>
    </cfRule>
    <cfRule type="cellIs" dxfId="1" priority="69" operator="equal">
      <formula>0</formula>
    </cfRule>
  </conditionalFormatting>
  <conditionalFormatting sqref="U32:Y32">
    <cfRule type="containsBlanks" dxfId="4" priority="68">
      <formula>LEN(TRIM(U32))=0</formula>
    </cfRule>
    <cfRule type="cellIs" dxfId="1" priority="67" operator="equal">
      <formula>0</formula>
    </cfRule>
  </conditionalFormatting>
  <conditionalFormatting sqref="Z32">
    <cfRule type="containsBlanks" dxfId="4" priority="66">
      <formula>LEN(TRIM(Z32))=0</formula>
    </cfRule>
    <cfRule type="cellIs" dxfId="1" priority="65" operator="lessThan">
      <formula>#REF!</formula>
    </cfRule>
    <cfRule type="cellIs" dxfId="2" priority="64" operator="equal">
      <formula>0</formula>
    </cfRule>
    <cfRule type="cellIs" dxfId="5" priority="63" operator="equal">
      <formula>0</formula>
    </cfRule>
    <cfRule type="cellIs" dxfId="5" priority="61" operator="equal">
      <formula>0</formula>
    </cfRule>
    <cfRule type="cellIs" dxfId="1" priority="62" operator="lessThan">
      <formula>$FN$4</formula>
    </cfRule>
    <cfRule type="cellIs" dxfId="1" priority="60" operator="equal">
      <formula>0</formula>
    </cfRule>
  </conditionalFormatting>
  <conditionalFormatting sqref="AC32:AD32">
    <cfRule type="containsBlanks" dxfId="4" priority="57">
      <formula>LEN(TRIM(AC32))=0</formula>
    </cfRule>
    <cfRule type="cellIs" dxfId="1" priority="56" operator="equal">
      <formula>0</formula>
    </cfRule>
  </conditionalFormatting>
  <conditionalFormatting sqref="AH32">
    <cfRule type="containsBlanks" dxfId="4" priority="55">
      <formula>LEN(TRIM(AH32))=0</formula>
    </cfRule>
    <cfRule type="cellIs" dxfId="1" priority="54" operator="lessThan">
      <formula>#REF!</formula>
    </cfRule>
    <cfRule type="cellIs" dxfId="2" priority="53" operator="equal">
      <formula>0</formula>
    </cfRule>
    <cfRule type="cellIs" dxfId="5" priority="52" operator="equal">
      <formula>0</formula>
    </cfRule>
    <cfRule type="cellIs" dxfId="5" priority="50" operator="equal">
      <formula>0</formula>
    </cfRule>
    <cfRule type="cellIs" dxfId="1" priority="51" operator="lessThan">
      <formula>$FN$4</formula>
    </cfRule>
    <cfRule type="cellIs" dxfId="1" priority="49" operator="equal">
      <formula>0</formula>
    </cfRule>
  </conditionalFormatting>
  <conditionalFormatting sqref="E36">
    <cfRule type="containsBlanks" dxfId="4" priority="39">
      <formula>LEN(TRIM(E36))=0</formula>
    </cfRule>
    <cfRule type="cellIs" dxfId="1" priority="38" operator="lessThan">
      <formula>#REF!</formula>
    </cfRule>
    <cfRule type="cellIs" dxfId="2" priority="37" operator="equal">
      <formula>0</formula>
    </cfRule>
    <cfRule type="cellIs" dxfId="5" priority="36" operator="equal">
      <formula>0</formula>
    </cfRule>
    <cfRule type="cellIs" dxfId="5" priority="34" operator="equal">
      <formula>0</formula>
    </cfRule>
    <cfRule type="cellIs" dxfId="1" priority="35" operator="lessThan">
      <formula>$FN$4</formula>
    </cfRule>
    <cfRule type="cellIs" dxfId="1" priority="33" operator="equal">
      <formula>0</formula>
    </cfRule>
  </conditionalFormatting>
  <conditionalFormatting sqref="F36">
    <cfRule type="containsBlanks" dxfId="4" priority="32">
      <formula>LEN(TRIM(F36))=0</formula>
    </cfRule>
    <cfRule type="cellIs" dxfId="1" priority="31" operator="lessThan">
      <formula>#REF!</formula>
    </cfRule>
    <cfRule type="cellIs" dxfId="2" priority="30" operator="equal">
      <formula>0</formula>
    </cfRule>
    <cfRule type="cellIs" dxfId="5" priority="29" operator="equal">
      <formula>0</formula>
    </cfRule>
    <cfRule type="cellIs" dxfId="5" priority="27" operator="equal">
      <formula>0</formula>
    </cfRule>
    <cfRule type="cellIs" dxfId="1" priority="28" operator="lessThan">
      <formula>$FN$4</formula>
    </cfRule>
    <cfRule type="cellIs" dxfId="1" priority="26" operator="equal">
      <formula>0</formula>
    </cfRule>
  </conditionalFormatting>
  <conditionalFormatting sqref="G36:I36">
    <cfRule type="containsBlanks" dxfId="4" priority="48">
      <formula>LEN(TRIM(G36))=0</formula>
    </cfRule>
    <cfRule type="cellIs" dxfId="1" priority="47" operator="equal">
      <formula>0</formula>
    </cfRule>
  </conditionalFormatting>
  <conditionalFormatting sqref="J36">
    <cfRule type="containsBlanks" dxfId="4" priority="46">
      <formula>LEN(TRIM(J36))=0</formula>
    </cfRule>
    <cfRule type="cellIs" dxfId="1" priority="45" operator="lessThan">
      <formula>#REF!</formula>
    </cfRule>
    <cfRule type="cellIs" dxfId="2" priority="44" operator="equal">
      <formula>0</formula>
    </cfRule>
    <cfRule type="cellIs" dxfId="5" priority="43" operator="equal">
      <formula>0</formula>
    </cfRule>
    <cfRule type="cellIs" dxfId="5" priority="41" operator="equal">
      <formula>0</formula>
    </cfRule>
    <cfRule type="cellIs" dxfId="1" priority="42" operator="lessThan">
      <formula>$FN$4</formula>
    </cfRule>
    <cfRule type="cellIs" dxfId="1" priority="40" operator="equal">
      <formula>0</formula>
    </cfRule>
  </conditionalFormatting>
  <conditionalFormatting sqref="M36">
    <cfRule type="containsBlanks" dxfId="4" priority="16">
      <formula>LEN(TRIM(M36))=0</formula>
    </cfRule>
    <cfRule type="cellIs" dxfId="1" priority="15" operator="lessThan">
      <formula>#REF!</formula>
    </cfRule>
    <cfRule type="cellIs" dxfId="2" priority="14" operator="equal">
      <formula>0</formula>
    </cfRule>
    <cfRule type="cellIs" dxfId="5" priority="13" operator="equal">
      <formula>0</formula>
    </cfRule>
    <cfRule type="cellIs" dxfId="5" priority="11" operator="equal">
      <formula>0</formula>
    </cfRule>
    <cfRule type="cellIs" dxfId="1" priority="12" operator="lessThan">
      <formula>$FN$4</formula>
    </cfRule>
    <cfRule type="cellIs" dxfId="1" priority="10" operator="equal">
      <formula>0</formula>
    </cfRule>
  </conditionalFormatting>
  <conditionalFormatting sqref="N36">
    <cfRule type="containsBlanks" dxfId="4" priority="9">
      <formula>LEN(TRIM(N36))=0</formula>
    </cfRule>
    <cfRule type="cellIs" dxfId="1" priority="8" operator="lessThan">
      <formula>#REF!</formula>
    </cfRule>
    <cfRule type="cellIs" dxfId="2" priority="7" operator="equal">
      <formula>0</formula>
    </cfRule>
    <cfRule type="cellIs" dxfId="5" priority="6" operator="equal">
      <formula>0</formula>
    </cfRule>
    <cfRule type="cellIs" dxfId="5" priority="4" operator="equal">
      <formula>0</formula>
    </cfRule>
    <cfRule type="cellIs" dxfId="1" priority="5" operator="lessThan">
      <formula>$FN$4</formula>
    </cfRule>
    <cfRule type="cellIs" dxfId="1" priority="3" operator="equal">
      <formula>0</formula>
    </cfRule>
  </conditionalFormatting>
  <conditionalFormatting sqref="O36:Q36">
    <cfRule type="containsBlanks" dxfId="4" priority="25">
      <formula>LEN(TRIM(O36))=0</formula>
    </cfRule>
    <cfRule type="cellIs" dxfId="1" priority="24" operator="equal">
      <formula>0</formula>
    </cfRule>
  </conditionalFormatting>
  <conditionalFormatting sqref="R36">
    <cfRule type="containsBlanks" dxfId="4" priority="23">
      <formula>LEN(TRIM(R36))=0</formula>
    </cfRule>
    <cfRule type="cellIs" dxfId="1" priority="22" operator="lessThan">
      <formula>#REF!</formula>
    </cfRule>
    <cfRule type="cellIs" dxfId="2" priority="21" operator="equal">
      <formula>0</formula>
    </cfRule>
    <cfRule type="cellIs" dxfId="5" priority="20" operator="equal">
      <formula>0</formula>
    </cfRule>
    <cfRule type="cellIs" dxfId="5" priority="18" operator="equal">
      <formula>0</formula>
    </cfRule>
    <cfRule type="cellIs" dxfId="1" priority="19" operator="lessThan">
      <formula>$FN$4</formula>
    </cfRule>
    <cfRule type="cellIs" dxfId="1" priority="17" operator="equal">
      <formula>0</formula>
    </cfRule>
  </conditionalFormatting>
  <conditionalFormatting sqref="J40:J58">
    <cfRule type="containsBlanks" dxfId="4" priority="413">
      <formula>LEN(TRIM(J40))=0</formula>
    </cfRule>
    <cfRule type="cellIs" dxfId="1" priority="412" operator="equal">
      <formula>0</formula>
    </cfRule>
  </conditionalFormatting>
  <conditionalFormatting sqref="K9:K58">
    <cfRule type="containsBlanks" dxfId="4" priority="411">
      <formula>LEN(TRIM(K9))=0</formula>
    </cfRule>
    <cfRule type="cellIs" dxfId="1" priority="410" operator="equal">
      <formula>0</formula>
    </cfRule>
  </conditionalFormatting>
  <conditionalFormatting sqref="L9:L58">
    <cfRule type="containsBlanks" dxfId="4" priority="409">
      <formula>LEN(TRIM(L9))=0</formula>
    </cfRule>
    <cfRule type="cellIs" dxfId="5" priority="408" operator="equal">
      <formula>0</formula>
    </cfRule>
  </conditionalFormatting>
  <conditionalFormatting sqref="R40:R58">
    <cfRule type="containsBlanks" dxfId="4" priority="407">
      <formula>LEN(TRIM(R40))=0</formula>
    </cfRule>
    <cfRule type="cellIs" dxfId="1" priority="406" operator="equal">
      <formula>0</formula>
    </cfRule>
  </conditionalFormatting>
  <conditionalFormatting sqref="S9:S58">
    <cfRule type="containsBlanks" dxfId="4" priority="405">
      <formula>LEN(TRIM(S9))=0</formula>
    </cfRule>
    <cfRule type="cellIs" dxfId="1" priority="404" operator="equal">
      <formula>0</formula>
    </cfRule>
  </conditionalFormatting>
  <conditionalFormatting sqref="T9:T58">
    <cfRule type="containsBlanks" dxfId="4" priority="290">
      <formula>LEN(TRIM(T9))=0</formula>
    </cfRule>
    <cfRule type="cellIs" dxfId="5" priority="289" operator="equal">
      <formula>0</formula>
    </cfRule>
  </conditionalFormatting>
  <conditionalFormatting sqref="Z40:Z58">
    <cfRule type="containsBlanks" dxfId="4" priority="401">
      <formula>LEN(TRIM(Z40))=0</formula>
    </cfRule>
    <cfRule type="cellIs" dxfId="1" priority="400" operator="equal">
      <formula>0</formula>
    </cfRule>
  </conditionalFormatting>
  <conditionalFormatting sqref="AA9:AA58">
    <cfRule type="containsBlanks" dxfId="4" priority="399">
      <formula>LEN(TRIM(AA9))=0</formula>
    </cfRule>
    <cfRule type="cellIs" dxfId="1" priority="398" operator="equal">
      <formula>0</formula>
    </cfRule>
  </conditionalFormatting>
  <conditionalFormatting sqref="AB9:AB58">
    <cfRule type="containsBlanks" dxfId="4" priority="288">
      <formula>LEN(TRIM(AB9))=0</formula>
    </cfRule>
    <cfRule type="cellIs" dxfId="5" priority="287" operator="equal">
      <formula>0</formula>
    </cfRule>
  </conditionalFormatting>
  <conditionalFormatting sqref="AF9:AF47">
    <cfRule type="containsBlanks" dxfId="4" priority="2">
      <formula>LEN(TRIM(AF9))=0</formula>
    </cfRule>
    <cfRule type="cellIs" dxfId="1" priority="1" operator="equal">
      <formula>0</formula>
    </cfRule>
  </conditionalFormatting>
  <conditionalFormatting sqref="AH40:AH58">
    <cfRule type="containsBlanks" dxfId="4" priority="395">
      <formula>LEN(TRIM(AH40))=0</formula>
    </cfRule>
    <cfRule type="cellIs" dxfId="1" priority="394" operator="equal">
      <formula>0</formula>
    </cfRule>
  </conditionalFormatting>
  <conditionalFormatting sqref="AI9:AI58">
    <cfRule type="containsBlanks" dxfId="4" priority="393">
      <formula>LEN(TRIM(AI9))=0</formula>
    </cfRule>
    <cfRule type="cellIs" dxfId="1" priority="392" operator="equal">
      <formula>0</formula>
    </cfRule>
  </conditionalFormatting>
  <conditionalFormatting sqref="AJ9:AJ58">
    <cfRule type="containsBlanks" dxfId="4" priority="286">
      <formula>LEN(TRIM(AJ9))=0</formula>
    </cfRule>
    <cfRule type="cellIs" dxfId="5" priority="285" operator="equal">
      <formula>0</formula>
    </cfRule>
  </conditionalFormatting>
  <conditionalFormatting sqref="AP9:AP58">
    <cfRule type="containsBlanks" dxfId="4" priority="389">
      <formula>LEN(TRIM(AP9))=0</formula>
    </cfRule>
    <cfRule type="cellIs" dxfId="1" priority="388" operator="equal">
      <formula>0</formula>
    </cfRule>
  </conditionalFormatting>
  <conditionalFormatting sqref="AQ9:AQ58">
    <cfRule type="containsBlanks" dxfId="4" priority="387">
      <formula>LEN(TRIM(AQ9))=0</formula>
    </cfRule>
    <cfRule type="cellIs" dxfId="1" priority="386" operator="equal">
      <formula>0</formula>
    </cfRule>
  </conditionalFormatting>
  <conditionalFormatting sqref="AR9:AR58">
    <cfRule type="containsBlanks" dxfId="4" priority="284">
      <formula>LEN(TRIM(AR9))=0</formula>
    </cfRule>
    <cfRule type="cellIs" dxfId="5" priority="283" operator="equal">
      <formula>0</formula>
    </cfRule>
  </conditionalFormatting>
  <conditionalFormatting sqref="AX9:AX58">
    <cfRule type="containsBlanks" dxfId="4" priority="383">
      <formula>LEN(TRIM(AX9))=0</formula>
    </cfRule>
    <cfRule type="cellIs" dxfId="1" priority="382" operator="equal">
      <formula>0</formula>
    </cfRule>
  </conditionalFormatting>
  <conditionalFormatting sqref="AY9:AY58">
    <cfRule type="containsBlanks" dxfId="4" priority="381">
      <formula>LEN(TRIM(AY9))=0</formula>
    </cfRule>
    <cfRule type="cellIs" dxfId="1" priority="380" operator="equal">
      <formula>0</formula>
    </cfRule>
  </conditionalFormatting>
  <conditionalFormatting sqref="AZ9:AZ58">
    <cfRule type="containsBlanks" dxfId="4" priority="282">
      <formula>LEN(TRIM(AZ9))=0</formula>
    </cfRule>
    <cfRule type="cellIs" dxfId="5" priority="281" operator="equal">
      <formula>0</formula>
    </cfRule>
  </conditionalFormatting>
  <conditionalFormatting sqref="BF9:BF58">
    <cfRule type="containsBlanks" dxfId="4" priority="377">
      <formula>LEN(TRIM(BF9))=0</formula>
    </cfRule>
    <cfRule type="cellIs" dxfId="1" priority="376" operator="equal">
      <formula>0</formula>
    </cfRule>
  </conditionalFormatting>
  <conditionalFormatting sqref="BG9:BG58">
    <cfRule type="containsBlanks" dxfId="4" priority="375">
      <formula>LEN(TRIM(BG9))=0</formula>
    </cfRule>
    <cfRule type="cellIs" dxfId="1" priority="374" operator="equal">
      <formula>0</formula>
    </cfRule>
  </conditionalFormatting>
  <conditionalFormatting sqref="BH9:BH58">
    <cfRule type="containsBlanks" dxfId="4" priority="280">
      <formula>LEN(TRIM(BH9))=0</formula>
    </cfRule>
    <cfRule type="cellIs" dxfId="5" priority="279" operator="equal">
      <formula>0</formula>
    </cfRule>
  </conditionalFormatting>
  <conditionalFormatting sqref="BN9:BN58">
    <cfRule type="containsBlanks" dxfId="4" priority="371">
      <formula>LEN(TRIM(BN9))=0</formula>
    </cfRule>
    <cfRule type="cellIs" dxfId="1" priority="370" operator="equal">
      <formula>0</formula>
    </cfRule>
  </conditionalFormatting>
  <conditionalFormatting sqref="BO9:BO58">
    <cfRule type="containsBlanks" dxfId="4" priority="369">
      <formula>LEN(TRIM(BO9))=0</formula>
    </cfRule>
    <cfRule type="cellIs" dxfId="1" priority="368" operator="equal">
      <formula>0</formula>
    </cfRule>
  </conditionalFormatting>
  <conditionalFormatting sqref="BP9:BP58">
    <cfRule type="containsBlanks" dxfId="4" priority="278">
      <formula>LEN(TRIM(BP9))=0</formula>
    </cfRule>
    <cfRule type="cellIs" dxfId="5" priority="277" operator="equal">
      <formula>0</formula>
    </cfRule>
  </conditionalFormatting>
  <conditionalFormatting sqref="BV9:BV58">
    <cfRule type="containsBlanks" dxfId="4" priority="365">
      <formula>LEN(TRIM(BV9))=0</formula>
    </cfRule>
    <cfRule type="cellIs" dxfId="1" priority="364" operator="equal">
      <formula>0</formula>
    </cfRule>
  </conditionalFormatting>
  <conditionalFormatting sqref="BW9:BW58">
    <cfRule type="containsBlanks" dxfId="4" priority="363">
      <formula>LEN(TRIM(BW9))=0</formula>
    </cfRule>
    <cfRule type="cellIs" dxfId="1" priority="362" operator="equal">
      <formula>0</formula>
    </cfRule>
  </conditionalFormatting>
  <conditionalFormatting sqref="BX9:BX58">
    <cfRule type="containsBlanks" dxfId="4" priority="276">
      <formula>LEN(TRIM(BX9))=0</formula>
    </cfRule>
    <cfRule type="cellIs" dxfId="5" priority="275" operator="equal">
      <formula>0</formula>
    </cfRule>
  </conditionalFormatting>
  <conditionalFormatting sqref="CD9:CD58">
    <cfRule type="containsBlanks" dxfId="4" priority="359">
      <formula>LEN(TRIM(CD9))=0</formula>
    </cfRule>
    <cfRule type="cellIs" dxfId="1" priority="358" operator="equal">
      <formula>0</formula>
    </cfRule>
  </conditionalFormatting>
  <conditionalFormatting sqref="CE9:CE58">
    <cfRule type="containsBlanks" dxfId="4" priority="357">
      <formula>LEN(TRIM(CE9))=0</formula>
    </cfRule>
    <cfRule type="cellIs" dxfId="1" priority="356" operator="equal">
      <formula>0</formula>
    </cfRule>
  </conditionalFormatting>
  <conditionalFormatting sqref="CF9:CF58">
    <cfRule type="containsBlanks" dxfId="4" priority="274">
      <formula>LEN(TRIM(CF9))=0</formula>
    </cfRule>
    <cfRule type="cellIs" dxfId="5" priority="273" operator="equal">
      <formula>0</formula>
    </cfRule>
  </conditionalFormatting>
  <conditionalFormatting sqref="CL9:CL58">
    <cfRule type="containsBlanks" dxfId="4" priority="353">
      <formula>LEN(TRIM(CL9))=0</formula>
    </cfRule>
    <cfRule type="cellIs" dxfId="1" priority="352" operator="equal">
      <formula>0</formula>
    </cfRule>
  </conditionalFormatting>
  <conditionalFormatting sqref="CM9:CM58">
    <cfRule type="containsBlanks" dxfId="4" priority="351">
      <formula>LEN(TRIM(CM9))=0</formula>
    </cfRule>
    <cfRule type="cellIs" dxfId="1" priority="350" operator="equal">
      <formula>0</formula>
    </cfRule>
  </conditionalFormatting>
  <conditionalFormatting sqref="CN9:CN58">
    <cfRule type="containsBlanks" dxfId="4" priority="272">
      <formula>LEN(TRIM(CN9))=0</formula>
    </cfRule>
    <cfRule type="cellIs" dxfId="5" priority="271" operator="equal">
      <formula>0</formula>
    </cfRule>
  </conditionalFormatting>
  <conditionalFormatting sqref="CT9:CT58">
    <cfRule type="containsBlanks" dxfId="4" priority="347">
      <formula>LEN(TRIM(CT9))=0</formula>
    </cfRule>
    <cfRule type="cellIs" dxfId="1" priority="346" operator="equal">
      <formula>0</formula>
    </cfRule>
  </conditionalFormatting>
  <conditionalFormatting sqref="CU9:CU58">
    <cfRule type="containsBlanks" dxfId="4" priority="345">
      <formula>LEN(TRIM(CU9))=0</formula>
    </cfRule>
    <cfRule type="cellIs" dxfId="1" priority="344" operator="equal">
      <formula>0</formula>
    </cfRule>
  </conditionalFormatting>
  <conditionalFormatting sqref="CV9:CV58">
    <cfRule type="containsBlanks" dxfId="4" priority="270">
      <formula>LEN(TRIM(CV9))=0</formula>
    </cfRule>
    <cfRule type="cellIs" dxfId="5" priority="269" operator="equal">
      <formula>0</formula>
    </cfRule>
  </conditionalFormatting>
  <conditionalFormatting sqref="DB9:DB58">
    <cfRule type="containsBlanks" dxfId="4" priority="341">
      <formula>LEN(TRIM(DB9))=0</formula>
    </cfRule>
    <cfRule type="cellIs" dxfId="1" priority="340" operator="equal">
      <formula>0</formula>
    </cfRule>
  </conditionalFormatting>
  <conditionalFormatting sqref="DC9:DC58">
    <cfRule type="containsBlanks" dxfId="4" priority="339">
      <formula>LEN(TRIM(DC9))=0</formula>
    </cfRule>
    <cfRule type="cellIs" dxfId="1" priority="338" operator="equal">
      <formula>0</formula>
    </cfRule>
  </conditionalFormatting>
  <conditionalFormatting sqref="DD9:DD58">
    <cfRule type="containsBlanks" dxfId="4" priority="268">
      <formula>LEN(TRIM(DD9))=0</formula>
    </cfRule>
    <cfRule type="cellIs" dxfId="5" priority="267" operator="equal">
      <formula>0</formula>
    </cfRule>
  </conditionalFormatting>
  <conditionalFormatting sqref="DJ9:DJ58">
    <cfRule type="containsBlanks" dxfId="4" priority="335">
      <formula>LEN(TRIM(DJ9))=0</formula>
    </cfRule>
    <cfRule type="cellIs" dxfId="1" priority="334" operator="equal">
      <formula>0</formula>
    </cfRule>
  </conditionalFormatting>
  <conditionalFormatting sqref="DK9:DK58">
    <cfRule type="containsBlanks" dxfId="4" priority="333">
      <formula>LEN(TRIM(DK9))=0</formula>
    </cfRule>
    <cfRule type="cellIs" dxfId="1" priority="332" operator="equal">
      <formula>0</formula>
    </cfRule>
  </conditionalFormatting>
  <conditionalFormatting sqref="DL9:DL58">
    <cfRule type="containsBlanks" dxfId="4" priority="266">
      <formula>LEN(TRIM(DL9))=0</formula>
    </cfRule>
    <cfRule type="cellIs" dxfId="5" priority="265" operator="equal">
      <formula>0</formula>
    </cfRule>
  </conditionalFormatting>
  <conditionalFormatting sqref="DR9:DR58">
    <cfRule type="containsBlanks" dxfId="4" priority="329">
      <formula>LEN(TRIM(DR9))=0</formula>
    </cfRule>
    <cfRule type="cellIs" dxfId="1" priority="328" operator="equal">
      <formula>0</formula>
    </cfRule>
  </conditionalFormatting>
  <conditionalFormatting sqref="DS9:DS58">
    <cfRule type="containsBlanks" dxfId="4" priority="327">
      <formula>LEN(TRIM(DS9))=0</formula>
    </cfRule>
    <cfRule type="cellIs" dxfId="1" priority="326" operator="equal">
      <formula>0</formula>
    </cfRule>
  </conditionalFormatting>
  <conditionalFormatting sqref="DT9:DT58">
    <cfRule type="containsBlanks" dxfId="4" priority="264">
      <formula>LEN(TRIM(DT9))=0</formula>
    </cfRule>
    <cfRule type="cellIs" dxfId="5" priority="263" operator="equal">
      <formula>0</formula>
    </cfRule>
  </conditionalFormatting>
  <conditionalFormatting sqref="DU10:DU11">
    <cfRule type="containsBlanks" dxfId="4" priority="522">
      <formula>LEN(TRIM(DU10))=0</formula>
    </cfRule>
  </conditionalFormatting>
  <conditionalFormatting sqref="DZ9:DZ58">
    <cfRule type="containsBlanks" dxfId="4" priority="323">
      <formula>LEN(TRIM(DZ9))=0</formula>
    </cfRule>
    <cfRule type="cellIs" dxfId="1" priority="322" operator="equal">
      <formula>0</formula>
    </cfRule>
  </conditionalFormatting>
  <conditionalFormatting sqref="EA9:EA58">
    <cfRule type="containsBlanks" dxfId="4" priority="321">
      <formula>LEN(TRIM(EA9))=0</formula>
    </cfRule>
    <cfRule type="cellIs" dxfId="1" priority="320" operator="equal">
      <formula>0</formula>
    </cfRule>
  </conditionalFormatting>
  <conditionalFormatting sqref="EB9:EB58">
    <cfRule type="containsBlanks" dxfId="4" priority="262">
      <formula>LEN(TRIM(EB9))=0</formula>
    </cfRule>
    <cfRule type="cellIs" dxfId="5" priority="261" operator="equal">
      <formula>0</formula>
    </cfRule>
  </conditionalFormatting>
  <conditionalFormatting sqref="EC10:EC11">
    <cfRule type="containsBlanks" dxfId="4" priority="521">
      <formula>LEN(TRIM(EC10))=0</formula>
    </cfRule>
  </conditionalFormatting>
  <conditionalFormatting sqref="EH9:EH58">
    <cfRule type="containsBlanks" dxfId="4" priority="317">
      <formula>LEN(TRIM(EH9))=0</formula>
    </cfRule>
    <cfRule type="cellIs" dxfId="1" priority="316" operator="equal">
      <formula>0</formula>
    </cfRule>
  </conditionalFormatting>
  <conditionalFormatting sqref="EI9:EI58">
    <cfRule type="containsBlanks" dxfId="4" priority="315">
      <formula>LEN(TRIM(EI9))=0</formula>
    </cfRule>
    <cfRule type="cellIs" dxfId="1" priority="314" operator="equal">
      <formula>0</formula>
    </cfRule>
  </conditionalFormatting>
  <conditionalFormatting sqref="EJ9:EJ58">
    <cfRule type="containsBlanks" dxfId="4" priority="260">
      <formula>LEN(TRIM(EJ9))=0</formula>
    </cfRule>
    <cfRule type="cellIs" dxfId="5" priority="259" operator="equal">
      <formula>0</formula>
    </cfRule>
  </conditionalFormatting>
  <conditionalFormatting sqref="EK9:EK11">
    <cfRule type="containsBlanks" dxfId="4" priority="520">
      <formula>LEN(TRIM(EK9))=0</formula>
    </cfRule>
  </conditionalFormatting>
  <conditionalFormatting sqref="EP9:EP58">
    <cfRule type="containsBlanks" dxfId="4" priority="311">
      <formula>LEN(TRIM(EP9))=0</formula>
    </cfRule>
    <cfRule type="cellIs" dxfId="1" priority="310" operator="equal">
      <formula>0</formula>
    </cfRule>
  </conditionalFormatting>
  <conditionalFormatting sqref="EQ9:EQ58">
    <cfRule type="containsBlanks" dxfId="4" priority="309">
      <formula>LEN(TRIM(EQ9))=0</formula>
    </cfRule>
    <cfRule type="cellIs" dxfId="1" priority="308" operator="equal">
      <formula>0</formula>
    </cfRule>
  </conditionalFormatting>
  <conditionalFormatting sqref="ER9:ER58">
    <cfRule type="containsBlanks" dxfId="4" priority="258">
      <formula>LEN(TRIM(ER9))=0</formula>
    </cfRule>
    <cfRule type="cellIs" dxfId="5" priority="257" operator="equal">
      <formula>0</formula>
    </cfRule>
  </conditionalFormatting>
  <conditionalFormatting sqref="ES9:ES11">
    <cfRule type="containsBlanks" dxfId="4" priority="519">
      <formula>LEN(TRIM(ES9))=0</formula>
    </cfRule>
  </conditionalFormatting>
  <conditionalFormatting sqref="EX9:EX58">
    <cfRule type="containsBlanks" dxfId="4" priority="305">
      <formula>LEN(TRIM(EX9))=0</formula>
    </cfRule>
    <cfRule type="cellIs" dxfId="1" priority="304" operator="equal">
      <formula>0</formula>
    </cfRule>
  </conditionalFormatting>
  <conditionalFormatting sqref="EY9:EY58">
    <cfRule type="containsBlanks" dxfId="4" priority="303">
      <formula>LEN(TRIM(EY9))=0</formula>
    </cfRule>
    <cfRule type="cellIs" dxfId="1" priority="302" operator="equal">
      <formula>0</formula>
    </cfRule>
  </conditionalFormatting>
  <conditionalFormatting sqref="EZ9:EZ58">
    <cfRule type="containsBlanks" dxfId="4" priority="256">
      <formula>LEN(TRIM(EZ9))=0</formula>
    </cfRule>
    <cfRule type="cellIs" dxfId="5" priority="255" operator="equal">
      <formula>0</formula>
    </cfRule>
  </conditionalFormatting>
  <conditionalFormatting sqref="FA9:FA11">
    <cfRule type="containsBlanks" dxfId="4" priority="518">
      <formula>LEN(TRIM(FA9))=0</formula>
    </cfRule>
  </conditionalFormatting>
  <conditionalFormatting sqref="FF9:FF58">
    <cfRule type="containsBlanks" dxfId="4" priority="299">
      <formula>LEN(TRIM(FF9))=0</formula>
    </cfRule>
    <cfRule type="cellIs" dxfId="1" priority="298" operator="equal">
      <formula>0</formula>
    </cfRule>
  </conditionalFormatting>
  <conditionalFormatting sqref="FG9:FG58">
    <cfRule type="containsBlanks" dxfId="4" priority="297">
      <formula>LEN(TRIM(FG9))=0</formula>
    </cfRule>
    <cfRule type="cellIs" dxfId="1" priority="296" operator="equal">
      <formula>0</formula>
    </cfRule>
  </conditionalFormatting>
  <conditionalFormatting sqref="FH9:FH58">
    <cfRule type="containsBlanks" dxfId="4" priority="254">
      <formula>LEN(TRIM(FH9))=0</formula>
    </cfRule>
    <cfRule type="cellIs" dxfId="5" priority="253" operator="equal">
      <formula>0</formula>
    </cfRule>
  </conditionalFormatting>
  <conditionalFormatting sqref="FM9:FM58">
    <cfRule type="cellIs" dxfId="5" priority="431" operator="equal">
      <formula>0</formula>
    </cfRule>
    <cfRule type="cellIs" dxfId="5" priority="429" operator="equal">
      <formula>0</formula>
    </cfRule>
    <cfRule type="cellIs" dxfId="1" priority="430" operator="lessThan">
      <formula>$FN$4</formula>
    </cfRule>
    <cfRule type="cellIs" dxfId="1" priority="421" operator="lessThan">
      <formula>$FN$4</formula>
    </cfRule>
  </conditionalFormatting>
  <conditionalFormatting sqref="MT9:MT58">
    <cfRule type="containsBlanks" dxfId="4" priority="516">
      <formula>LEN(TRIM(MT9))=0</formula>
    </cfRule>
    <cfRule type="cellIs" dxfId="1" priority="515" operator="lessThan">
      <formula>#REF!</formula>
    </cfRule>
    <cfRule type="cellIs" dxfId="1" priority="517" operator="lessThan">
      <formula>$FN$4</formula>
    </cfRule>
  </conditionalFormatting>
  <conditionalFormatting sqref="MW9:MW58">
    <cfRule type="containsBlanks" dxfId="4" priority="292">
      <formula>LEN(TRIM(MW9))=0</formula>
    </cfRule>
    <cfRule type="cellIs" dxfId="1" priority="291" operator="lessThan">
      <formula>#REF!</formula>
    </cfRule>
    <cfRule type="cellIs" dxfId="1" priority="293" operator="lessThan">
      <formula>$FN$4</formula>
    </cfRule>
  </conditionalFormatting>
  <conditionalFormatting sqref="C9:D58;FI40:FM58;FI9:FI39;FL9:FM39">
    <cfRule type="cellIs" dxfId="2" priority="549" operator="equal">
      <formula>0</formula>
    </cfRule>
  </conditionalFormatting>
  <conditionalFormatting sqref="FQ9:JB58;E40:I58;KG9:LC58;M40:Q58;U40:Y58;AC48:AG58;AK9:AO58;AS9:AW58;BA9:BE58;BI9:BM58;BQ9:BU58;BY9:CC58;CG9:CK58;CO9:CS58;CW9:DA58;DE9:DI58;DM9:DQ58;FI40:FN58;FI9:FI39;FL9:FN39;AC40:AE47;AG40:AG47">
    <cfRule type="containsBlanks" dxfId="4" priority="551">
      <formula>LEN(TRIM(E9))=0</formula>
    </cfRule>
  </conditionalFormatting>
  <conditionalFormatting sqref="E40:I58;M40:Q58;U40:Y58;AC48:AG58;AK9:AO58;AS9:AW58;BA9:BE58;BI9:BM58;BQ9:BU58;BY9:CC58;CG9:CK58;CO9:CS58;CW9:DA58;DE9:DI58;DM9:DQ58;DU9:DY58;EC9:EG58;EK9:EO58;ES9:EW58;FA9:FE58;FI40:FN58;FI9:FI39;FL9:FN39;AC40:AE47;AG40:AG47">
    <cfRule type="cellIs" dxfId="1" priority="418" operator="equal">
      <formula>0</formula>
    </cfRule>
  </conditionalFormatting>
  <conditionalFormatting sqref="E9:E26;E28:E35;E37:E39">
    <cfRule type="containsBlanks" dxfId="4" priority="172">
      <formula>LEN(TRIM(E9))=0</formula>
    </cfRule>
    <cfRule type="cellIs" dxfId="1" priority="171" operator="lessThan">
      <formula>#REF!</formula>
    </cfRule>
    <cfRule type="cellIs" dxfId="2" priority="170" operator="equal">
      <formula>0</formula>
    </cfRule>
    <cfRule type="cellIs" dxfId="5" priority="169" operator="equal">
      <formula>0</formula>
    </cfRule>
    <cfRule type="cellIs" dxfId="5" priority="167" operator="equal">
      <formula>0</formula>
    </cfRule>
    <cfRule type="cellIs" dxfId="1" priority="168" operator="lessThan">
      <formula>$FN$4</formula>
    </cfRule>
    <cfRule type="cellIs" dxfId="1" priority="166" operator="equal">
      <formula>0</formula>
    </cfRule>
  </conditionalFormatting>
  <conditionalFormatting sqref="F9:F26;F28:F35;F37:F39">
    <cfRule type="containsBlanks" dxfId="4" priority="165">
      <formula>LEN(TRIM(F9))=0</formula>
    </cfRule>
    <cfRule type="cellIs" dxfId="1" priority="164" operator="lessThan">
      <formula>#REF!</formula>
    </cfRule>
    <cfRule type="cellIs" dxfId="2" priority="163" operator="equal">
      <formula>0</formula>
    </cfRule>
    <cfRule type="cellIs" dxfId="5" priority="162" operator="equal">
      <formula>0</formula>
    </cfRule>
    <cfRule type="cellIs" dxfId="5" priority="160" operator="equal">
      <formula>0</formula>
    </cfRule>
    <cfRule type="cellIs" dxfId="1" priority="161" operator="lessThan">
      <formula>$FN$4</formula>
    </cfRule>
    <cfRule type="cellIs" dxfId="1" priority="159" operator="equal">
      <formula>0</formula>
    </cfRule>
  </conditionalFormatting>
  <conditionalFormatting sqref="G9:I35;G37:I39">
    <cfRule type="containsBlanks" dxfId="4" priority="211">
      <formula>LEN(TRIM(G9))=0</formula>
    </cfRule>
    <cfRule type="cellIs" dxfId="1" priority="210" operator="equal">
      <formula>0</formula>
    </cfRule>
  </conditionalFormatting>
  <conditionalFormatting sqref="J9:J35;J37:J39">
    <cfRule type="containsBlanks" dxfId="4" priority="209">
      <formula>LEN(TRIM(J9))=0</formula>
    </cfRule>
    <cfRule type="cellIs" dxfId="1" priority="208" operator="lessThan">
      <formula>#REF!</formula>
    </cfRule>
    <cfRule type="cellIs" dxfId="2" priority="207" operator="equal">
      <formula>0</formula>
    </cfRule>
    <cfRule type="cellIs" dxfId="5" priority="206" operator="equal">
      <formula>0</formula>
    </cfRule>
    <cfRule type="cellIs" dxfId="5" priority="204" operator="equal">
      <formula>0</formula>
    </cfRule>
    <cfRule type="cellIs" dxfId="1" priority="205" operator="lessThan">
      <formula>$FN$4</formula>
    </cfRule>
    <cfRule type="cellIs" dxfId="1" priority="203" operator="equal">
      <formula>0</formula>
    </cfRule>
  </conditionalFormatting>
  <conditionalFormatting sqref="M9:M26;M28:M35;M37:M39">
    <cfRule type="containsBlanks" dxfId="4" priority="149">
      <formula>LEN(TRIM(M9))=0</formula>
    </cfRule>
    <cfRule type="cellIs" dxfId="1" priority="148" operator="lessThan">
      <formula>#REF!</formula>
    </cfRule>
    <cfRule type="cellIs" dxfId="2" priority="147" operator="equal">
      <formula>0</formula>
    </cfRule>
    <cfRule type="cellIs" dxfId="5" priority="146" operator="equal">
      <formula>0</formula>
    </cfRule>
    <cfRule type="cellIs" dxfId="5" priority="144" operator="equal">
      <formula>0</formula>
    </cfRule>
    <cfRule type="cellIs" dxfId="1" priority="145" operator="lessThan">
      <formula>$FN$4</formula>
    </cfRule>
    <cfRule type="cellIs" dxfId="1" priority="143" operator="equal">
      <formula>0</formula>
    </cfRule>
  </conditionalFormatting>
  <conditionalFormatting sqref="N9:N26;N28:N35;N37:N39">
    <cfRule type="containsBlanks" dxfId="4" priority="142">
      <formula>LEN(TRIM(N9))=0</formula>
    </cfRule>
    <cfRule type="cellIs" dxfId="1" priority="141" operator="lessThan">
      <formula>#REF!</formula>
    </cfRule>
    <cfRule type="cellIs" dxfId="2" priority="140" operator="equal">
      <formula>0</formula>
    </cfRule>
    <cfRule type="cellIs" dxfId="5" priority="139" operator="equal">
      <formula>0</formula>
    </cfRule>
    <cfRule type="cellIs" dxfId="5" priority="137" operator="equal">
      <formula>0</formula>
    </cfRule>
    <cfRule type="cellIs" dxfId="1" priority="138" operator="lessThan">
      <formula>$FN$4</formula>
    </cfRule>
    <cfRule type="cellIs" dxfId="1" priority="136" operator="equal">
      <formula>0</formula>
    </cfRule>
  </conditionalFormatting>
  <conditionalFormatting sqref="O9:Q26;O28:Q35;O37:Q39">
    <cfRule type="containsBlanks" dxfId="4" priority="158">
      <formula>LEN(TRIM(O9))=0</formula>
    </cfRule>
    <cfRule type="cellIs" dxfId="1" priority="157" operator="equal">
      <formula>0</formula>
    </cfRule>
  </conditionalFormatting>
  <conditionalFormatting sqref="R9:R26;R28:R35;R37:R39">
    <cfRule type="containsBlanks" dxfId="4" priority="156">
      <formula>LEN(TRIM(R9))=0</formula>
    </cfRule>
    <cfRule type="cellIs" dxfId="1" priority="155" operator="lessThan">
      <formula>#REF!</formula>
    </cfRule>
    <cfRule type="cellIs" dxfId="2" priority="154" operator="equal">
      <formula>0</formula>
    </cfRule>
    <cfRule type="cellIs" dxfId="5" priority="153" operator="equal">
      <formula>0</formula>
    </cfRule>
    <cfRule type="cellIs" dxfId="5" priority="151" operator="equal">
      <formula>0</formula>
    </cfRule>
    <cfRule type="cellIs" dxfId="1" priority="152" operator="lessThan">
      <formula>$FN$4</formula>
    </cfRule>
    <cfRule type="cellIs" dxfId="1" priority="150" operator="equal">
      <formula>0</formula>
    </cfRule>
  </conditionalFormatting>
  <conditionalFormatting sqref="U9:Y31;U33:Y39">
    <cfRule type="containsBlanks" dxfId="4" priority="236">
      <formula>LEN(TRIM(U9))=0</formula>
    </cfRule>
    <cfRule type="cellIs" dxfId="1" priority="235" operator="equal">
      <formula>0</formula>
    </cfRule>
  </conditionalFormatting>
  <conditionalFormatting sqref="Z9:Z31;Z33:Z39">
    <cfRule type="containsBlanks" dxfId="4" priority="234">
      <formula>LEN(TRIM(Z9))=0</formula>
    </cfRule>
    <cfRule type="cellIs" dxfId="1" priority="233" operator="lessThan">
      <formula>#REF!</formula>
    </cfRule>
    <cfRule type="cellIs" dxfId="2" priority="232" operator="equal">
      <formula>0</formula>
    </cfRule>
    <cfRule type="cellIs" dxfId="5" priority="231" operator="equal">
      <formula>0</formula>
    </cfRule>
    <cfRule type="cellIs" dxfId="5" priority="229" operator="equal">
      <formula>0</formula>
    </cfRule>
    <cfRule type="cellIs" dxfId="1" priority="230" operator="lessThan">
      <formula>$FN$4</formula>
    </cfRule>
    <cfRule type="cellIs" dxfId="1" priority="228" operator="equal">
      <formula>0</formula>
    </cfRule>
  </conditionalFormatting>
  <conditionalFormatting sqref="AC9:AD31;AC33:AD39">
    <cfRule type="containsBlanks" dxfId="4" priority="135">
      <formula>LEN(TRIM(AC9))=0</formula>
    </cfRule>
    <cfRule type="cellIs" dxfId="1" priority="134" operator="equal">
      <formula>0</formula>
    </cfRule>
  </conditionalFormatting>
  <conditionalFormatting sqref="AE9:AE31;AE33:AE39;AG9:AG31;AG33:AG39">
    <cfRule type="containsBlanks" dxfId="4" priority="227">
      <formula>LEN(TRIM(AE9))=0</formula>
    </cfRule>
    <cfRule type="cellIs" dxfId="1" priority="226" operator="equal">
      <formula>0</formula>
    </cfRule>
  </conditionalFormatting>
  <conditionalFormatting sqref="AH9:AH31;AH33:AH39">
    <cfRule type="containsBlanks" dxfId="4" priority="133">
      <formula>LEN(TRIM(AH9))=0</formula>
    </cfRule>
    <cfRule type="cellIs" dxfId="1" priority="132" operator="lessThan">
      <formula>#REF!</formula>
    </cfRule>
    <cfRule type="cellIs" dxfId="2" priority="131" operator="equal">
      <formula>0</formula>
    </cfRule>
    <cfRule type="cellIs" dxfId="5" priority="130" operator="equal">
      <formula>0</formula>
    </cfRule>
    <cfRule type="cellIs" dxfId="5" priority="128" operator="equal">
      <formula>0</formula>
    </cfRule>
    <cfRule type="cellIs" dxfId="1" priority="129" operator="lessThan">
      <formula>$FN$4</formula>
    </cfRule>
    <cfRule type="cellIs" dxfId="1" priority="127" operator="equal">
      <formula>0</formula>
    </cfRule>
  </conditionalFormatting>
  <conditionalFormatting sqref="DU12:DY58;DV9:DY11">
    <cfRule type="containsBlanks" dxfId="4" priority="547">
      <formula>LEN(TRIM(DU9))=0</formula>
    </cfRule>
  </conditionalFormatting>
  <conditionalFormatting sqref="EC12:EG58;ED9:EG11">
    <cfRule type="containsBlanks" dxfId="4" priority="544">
      <formula>LEN(TRIM(EC9))=0</formula>
    </cfRule>
  </conditionalFormatting>
  <conditionalFormatting sqref="EK12:EO58;EL9:EO11">
    <cfRule type="containsBlanks" dxfId="4" priority="541">
      <formula>LEN(TRIM(EK9))=0</formula>
    </cfRule>
  </conditionalFormatting>
  <conditionalFormatting sqref="ES12:EW58;ET9:EW11">
    <cfRule type="containsBlanks" dxfId="4" priority="538">
      <formula>LEN(TRIM(ES9))=0</formula>
    </cfRule>
  </conditionalFormatting>
  <conditionalFormatting sqref="FA12:FE58;FB9:FE11">
    <cfRule type="containsBlanks" dxfId="4" priority="535">
      <formula>LEN(TRIM(FA9))=0</formula>
    </cfRule>
  </conditionalFormatting>
  <conditionalFormatting sqref="FI40:FM58;FI9:FI39;FL9:FM39">
    <cfRule type="cellIs" dxfId="1" priority="550" operator="lessThan">
      <formula>#REF!</formula>
    </cfRule>
  </conditionalFormatting>
  <conditionalFormatting sqref="FI40:FL58;FI9:FI39;FL9:FL39">
    <cfRule type="cellIs" dxfId="5" priority="434" operator="equal">
      <formula>0</formula>
    </cfRule>
    <cfRule type="cellIs" dxfId="5" priority="432" operator="equal">
      <formula>0</formula>
    </cfRule>
    <cfRule type="cellIs" dxfId="1" priority="433" operator="lessThan">
      <formula>$FN$4</formula>
    </cfRule>
  </conditionalFormatting>
  <conditionalFormatting sqref="FJ9:FJ26;FJ28:FJ39">
    <cfRule type="containsBlanks" dxfId="4" priority="193">
      <formula>LEN(TRIM(FJ9))=0</formula>
    </cfRule>
    <cfRule type="cellIs" dxfId="1" priority="192" operator="lessThan">
      <formula>#REF!</formula>
    </cfRule>
    <cfRule type="cellIs" dxfId="2" priority="191" operator="equal">
      <formula>0</formula>
    </cfRule>
    <cfRule type="cellIs" dxfId="5" priority="190" operator="equal">
      <formula>0</formula>
    </cfRule>
    <cfRule type="cellIs" dxfId="5" priority="188" operator="equal">
      <formula>0</formula>
    </cfRule>
    <cfRule type="cellIs" dxfId="1" priority="189" operator="lessThan">
      <formula>$FN$4</formula>
    </cfRule>
    <cfRule type="cellIs" dxfId="1" priority="187" operator="equal">
      <formula>0</formula>
    </cfRule>
  </conditionalFormatting>
  <conditionalFormatting sqref="FK9:FK26;FK28:FK39">
    <cfRule type="containsBlanks" dxfId="4" priority="126">
      <formula>LEN(TRIM(FK9))=0</formula>
    </cfRule>
    <cfRule type="cellIs" dxfId="1" priority="125" operator="lessThan">
      <formula>#REF!</formula>
    </cfRule>
    <cfRule type="cellIs" dxfId="2" priority="124" operator="equal">
      <formula>0</formula>
    </cfRule>
    <cfRule type="cellIs" dxfId="5" priority="123" operator="equal">
      <formula>0</formula>
    </cfRule>
    <cfRule type="cellIs" dxfId="5" priority="121" operator="equal">
      <formula>0</formula>
    </cfRule>
    <cfRule type="cellIs" dxfId="1" priority="122" operator="lessThan">
      <formula>$FN$4</formula>
    </cfRule>
    <cfRule type="cellIs" dxfId="1" priority="120" operator="equal">
      <formula>0</formula>
    </cfRule>
  </conditionalFormatting>
  <conditionalFormatting sqref="FV9:JB58;KG9:KG58">
    <cfRule type="cellIs" dxfId="5" priority="548" operator="equal">
      <formula>0</formula>
    </cfRule>
  </conditionalFormatting>
  <conditionalFormatting sqref="JC9:JH58">
    <cfRule type="cellIs" dxfId="5" priority="531" operator="equal">
      <formula>0</formula>
    </cfRule>
    <cfRule type="containsBlanks" dxfId="4" priority="532">
      <formula>LEN(TRIM(JC9))=0</formula>
    </cfRule>
  </conditionalFormatting>
  <conditionalFormatting sqref="JI9:JN58">
    <cfRule type="cellIs" dxfId="5" priority="529" operator="equal">
      <formula>0</formula>
    </cfRule>
    <cfRule type="containsBlanks" dxfId="4" priority="530">
      <formula>LEN(TRIM(JI9))=0</formula>
    </cfRule>
  </conditionalFormatting>
  <conditionalFormatting sqref="JO9:JT58">
    <cfRule type="cellIs" dxfId="5" priority="527" operator="equal">
      <formula>0</formula>
    </cfRule>
    <cfRule type="containsBlanks" dxfId="4" priority="528">
      <formula>LEN(TRIM(JO9))=0</formula>
    </cfRule>
  </conditionalFormatting>
  <conditionalFormatting sqref="JU9:JZ58">
    <cfRule type="cellIs" dxfId="5" priority="525" operator="equal">
      <formula>0</formula>
    </cfRule>
    <cfRule type="containsBlanks" dxfId="4" priority="526">
      <formula>LEN(TRIM(JU9))=0</formula>
    </cfRule>
  </conditionalFormatting>
  <conditionalFormatting sqref="KA9:KF58">
    <cfRule type="cellIs" dxfId="5" priority="523" operator="equal">
      <formula>0</formula>
    </cfRule>
    <cfRule type="containsBlanks" dxfId="4" priority="524">
      <formula>LEN(TRIM(KA9))=0</formula>
    </cfRule>
  </conditionalFormatting>
  <conditionalFormatting sqref="AE32;AG32">
    <cfRule type="containsBlanks" dxfId="4" priority="59">
      <formula>LEN(TRIM(AE32))=0</formula>
    </cfRule>
    <cfRule type="cellIs" dxfId="1" priority="58" operator="equal">
      <formula>0</formula>
    </cfRule>
  </conditionalFormatting>
  <dataValidations count="4">
    <dataValidation type="decimal" operator="between" allowBlank="1" showErrorMessage="1" errorTitle="Salah input!!" error="Hanya gunakan Rentang Nilai 0-100!!" sqref="AK9:AQ58;CO9:CU58;ES9:EY58;E9:K58;BI9:BO58;DM9:DS58;M9:S58;BQ9:BW58;DU9:EA58;U9:AA58;BY9:CE58;EC9:EI58;AC9:AI58;CG9:CM58;EK9:EQ58;AS9:AY58;CW9:DC58;FA9:FG58;BA9:BG58;DE9:DK58">
      <formula1>0</formula1>
      <formula2>100</formula2>
    </dataValidation>
    <dataValidation allowBlank="1" errorTitle="Salah input!!" error="Hanya gunakan Rentang Nilai 0-100!!" sqref="L9:L58;T9:T58;AB9:AB58;AJ9:AJ58;AR9:AR58;AZ9:AZ58;BH9:BH58;BP9:BP58;BX9:BX58;CF9:CF58;CN9:CN58;CV9:CV58;DD9:DD58;DL9:DL58;DT9:DT58;EB9:EB58;EJ9:EJ58;ER9:ER58;EZ9:EZ58;FH9:FH58"/>
    <dataValidation allowBlank="1" errorTitle="Salah input!!" error="Silahkan gunakan HANYA SKALA &#10;1-4 !!" sqref="FI9:FL58"/>
    <dataValidation allowBlank="1" sqref="FQ9:LC66;E59:FN66"/>
  </dataValidations>
  <pageMargins left="0.21" right="0.236220472440945" top="0.89" bottom="0.511811023622047" header="0.31496062992126" footer="0.275590551181102"/>
  <pageSetup paperSize="768" scale="75" orientation="landscape"/>
  <headerFooter>
    <oddFooter>&amp;R&amp;P</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tabColor rgb="FF00B0F0"/>
  </sheetPr>
  <dimension ref="A1:NR617"/>
  <sheetViews>
    <sheetView showGridLines="0" showRowColHeaders="0" zoomScale="90" zoomScaleNormal="90" workbookViewId="0">
      <pane xSplit="4" ySplit="8" topLeftCell="E9" activePane="bottomRight" state="frozen"/>
      <selection/>
      <selection pane="topRight"/>
      <selection pane="bottomLeft"/>
      <selection pane="bottomRight" activeCell="E9" sqref="E9"/>
    </sheetView>
  </sheetViews>
  <sheetFormatPr defaultColWidth="0" defaultRowHeight="0" customHeight="1" zeroHeight="1"/>
  <cols>
    <col min="1" max="1" width="4.125" style="130" customWidth="1"/>
    <col min="2" max="2" width="3.5" style="130" customWidth="1"/>
    <col min="3" max="3" width="19.75" style="130" customWidth="1"/>
    <col min="4" max="4" width="9.375" style="130" customWidth="1"/>
    <col min="5" max="6" width="5.125" style="130" customWidth="1"/>
    <col min="7" max="8" width="5.5" style="130" customWidth="1"/>
    <col min="9" max="15" width="5.125" style="130" customWidth="1"/>
    <col min="16" max="17" width="5.625" style="130" customWidth="1"/>
    <col min="18" max="24" width="5.125" style="130" customWidth="1"/>
    <col min="25" max="26" width="5.5" style="130" customWidth="1"/>
    <col min="27" max="31" width="5.125" style="130" customWidth="1"/>
    <col min="32" max="33" width="5.125" style="130" hidden="1" customWidth="1"/>
    <col min="34" max="35" width="5.625" style="130" hidden="1" customWidth="1"/>
    <col min="36" max="42" width="5.125" style="130" hidden="1" customWidth="1"/>
    <col min="43" max="44" width="5.5" style="130" hidden="1" customWidth="1"/>
    <col min="45" max="49" width="5.125" style="130" hidden="1" customWidth="1"/>
    <col min="50" max="51" width="5.625" style="130" hidden="1" customWidth="1"/>
    <col min="52" max="53" width="6" style="130" hidden="1" customWidth="1"/>
    <col min="54" max="184" width="5.625" style="130" hidden="1" customWidth="1"/>
    <col min="185" max="185" width="6.875" style="131" customWidth="1"/>
    <col min="186" max="186" width="5.625" style="130" customWidth="1"/>
    <col min="187" max="187" width="9.25" style="130" customWidth="1"/>
    <col min="188" max="188" width="5.625" style="132" customWidth="1"/>
    <col min="189" max="268" width="5.625" style="130" hidden="1" customWidth="1"/>
    <col min="269" max="269" width="8.625" style="133" hidden="1" customWidth="1"/>
    <col min="270" max="289" width="5.5" style="134" hidden="1" customWidth="1"/>
    <col min="290" max="291" width="7.5" style="134" hidden="1" customWidth="1"/>
    <col min="292" max="292" width="15" style="134" hidden="1" customWidth="1"/>
    <col min="293" max="293" width="8.125" style="134" hidden="1" customWidth="1"/>
    <col min="294" max="294" width="7.5" style="134" hidden="1" customWidth="1"/>
    <col min="295" max="295" width="22.25" style="134" hidden="1" customWidth="1"/>
    <col min="296" max="315" width="6.125" style="135" hidden="1" customWidth="1"/>
    <col min="316" max="335" width="8.625" style="134" hidden="1" customWidth="1"/>
    <col min="336" max="336" width="87.5" style="134" hidden="1" customWidth="1"/>
    <col min="337" max="337" width="16.375" style="134" hidden="1" customWidth="1"/>
    <col min="338" max="338" width="8.625" style="134" hidden="1" customWidth="1"/>
    <col min="339" max="358" width="6.125" style="135" hidden="1" customWidth="1"/>
    <col min="359" max="378" width="8.625" style="134" hidden="1" customWidth="1"/>
    <col min="379" max="379" width="21.625" style="134" hidden="1" customWidth="1"/>
    <col min="380" max="380" width="16.375" style="134" hidden="1" customWidth="1"/>
    <col min="381" max="16384" width="8.625" style="134" hidden="1"/>
  </cols>
  <sheetData>
    <row r="1" ht="21" customHeight="1" spans="1:271">
      <c r="A1" s="136"/>
      <c r="B1" s="137" t="s">
        <v>190</v>
      </c>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c r="BM1" s="138"/>
      <c r="BN1" s="138"/>
      <c r="BO1" s="138"/>
      <c r="BP1" s="138"/>
      <c r="BQ1" s="138"/>
      <c r="BR1" s="138"/>
      <c r="BS1" s="138"/>
      <c r="BT1" s="138"/>
      <c r="BU1" s="138"/>
      <c r="BV1" s="138"/>
      <c r="BW1" s="138"/>
      <c r="BX1" s="138"/>
      <c r="BY1" s="138"/>
      <c r="BZ1" s="138"/>
      <c r="CA1" s="138"/>
      <c r="CB1" s="138"/>
      <c r="CC1" s="138"/>
      <c r="CD1" s="138"/>
      <c r="CE1" s="138"/>
      <c r="CF1" s="138"/>
      <c r="CG1" s="138"/>
      <c r="CH1" s="138"/>
      <c r="CI1" s="138"/>
      <c r="CJ1" s="138"/>
      <c r="CK1" s="138"/>
      <c r="CL1" s="138"/>
      <c r="CM1" s="138"/>
      <c r="CN1" s="138"/>
      <c r="CO1" s="138"/>
      <c r="CP1" s="138"/>
      <c r="CQ1" s="138"/>
      <c r="CR1" s="138"/>
      <c r="CS1" s="138"/>
      <c r="CT1" s="138"/>
      <c r="CU1" s="138"/>
      <c r="CV1" s="138"/>
      <c r="CW1" s="138"/>
      <c r="CX1" s="138"/>
      <c r="CY1" s="138"/>
      <c r="CZ1" s="138"/>
      <c r="DA1" s="138"/>
      <c r="DB1" s="138"/>
      <c r="DC1" s="138"/>
      <c r="DD1" s="138"/>
      <c r="DE1" s="138"/>
      <c r="DF1" s="138"/>
      <c r="DG1" s="138"/>
      <c r="DH1" s="138"/>
      <c r="DI1" s="138"/>
      <c r="DJ1" s="138"/>
      <c r="DK1" s="138"/>
      <c r="DL1" s="138"/>
      <c r="DM1" s="138"/>
      <c r="DN1" s="138"/>
      <c r="DO1" s="138"/>
      <c r="DP1" s="138"/>
      <c r="DQ1" s="138"/>
      <c r="DR1" s="138"/>
      <c r="DS1" s="138"/>
      <c r="DT1" s="138"/>
      <c r="DU1" s="138"/>
      <c r="DV1" s="138"/>
      <c r="DW1" s="138"/>
      <c r="DX1" s="138"/>
      <c r="DY1" s="138"/>
      <c r="DZ1" s="138"/>
      <c r="EA1" s="138"/>
      <c r="EB1" s="138"/>
      <c r="EC1" s="138"/>
      <c r="ED1" s="138"/>
      <c r="EE1" s="138"/>
      <c r="EF1" s="138"/>
      <c r="EG1" s="138"/>
      <c r="EH1" s="138"/>
      <c r="EI1" s="138"/>
      <c r="EJ1" s="138"/>
      <c r="EK1" s="138"/>
      <c r="EL1" s="138"/>
      <c r="EM1" s="138"/>
      <c r="EN1" s="138"/>
      <c r="EO1" s="138"/>
      <c r="EP1" s="138"/>
      <c r="EQ1" s="138"/>
      <c r="ER1" s="138"/>
      <c r="ES1" s="138"/>
      <c r="ET1" s="138"/>
      <c r="EU1" s="138"/>
      <c r="EV1" s="138"/>
      <c r="EW1" s="138"/>
      <c r="EX1" s="138"/>
      <c r="EY1" s="138"/>
      <c r="EZ1" s="138"/>
      <c r="FA1" s="138"/>
      <c r="FB1" s="138"/>
      <c r="FC1" s="138"/>
      <c r="FD1" s="138"/>
      <c r="FE1" s="138"/>
      <c r="FF1" s="138"/>
      <c r="FG1" s="138"/>
      <c r="FH1" s="138"/>
      <c r="FI1" s="138"/>
      <c r="FJ1" s="138"/>
      <c r="FK1" s="138"/>
      <c r="FL1" s="138"/>
      <c r="FM1" s="138"/>
      <c r="FN1" s="138"/>
      <c r="FO1" s="138"/>
      <c r="FP1" s="138"/>
      <c r="FQ1" s="138"/>
      <c r="FR1" s="138"/>
      <c r="FS1" s="138"/>
      <c r="FT1" s="138"/>
      <c r="FU1" s="138"/>
      <c r="FV1" s="138"/>
      <c r="FW1" s="138"/>
      <c r="FX1" s="138"/>
      <c r="FY1" s="138"/>
      <c r="FZ1" s="138"/>
      <c r="GA1" s="138"/>
      <c r="GB1" s="138"/>
      <c r="GC1" s="197"/>
      <c r="GD1" s="138"/>
      <c r="GE1" s="138"/>
      <c r="GF1" s="198"/>
      <c r="GG1" s="138"/>
      <c r="GH1" s="138"/>
      <c r="GI1" s="138"/>
      <c r="GJ1" s="138"/>
      <c r="GK1" s="138"/>
      <c r="GL1" s="138"/>
      <c r="GM1" s="138"/>
      <c r="GN1" s="138"/>
      <c r="GO1" s="138"/>
      <c r="GP1" s="138"/>
      <c r="GQ1" s="138"/>
      <c r="GR1" s="138"/>
      <c r="GS1" s="138"/>
      <c r="GT1" s="138"/>
      <c r="GU1" s="138"/>
      <c r="GV1" s="138"/>
      <c r="GW1" s="138"/>
      <c r="GX1" s="138"/>
      <c r="GY1" s="138"/>
      <c r="GZ1" s="138"/>
      <c r="HA1" s="138"/>
      <c r="HB1" s="138"/>
      <c r="HC1" s="138"/>
      <c r="HD1" s="138"/>
      <c r="HE1" s="138"/>
      <c r="HF1" s="138"/>
      <c r="HG1" s="138"/>
      <c r="HH1" s="138"/>
      <c r="HI1" s="138"/>
      <c r="HJ1" s="138"/>
      <c r="HK1" s="138"/>
      <c r="HL1" s="138"/>
      <c r="HM1" s="138"/>
      <c r="HN1" s="138"/>
      <c r="HO1" s="138"/>
      <c r="HP1" s="138"/>
      <c r="HQ1" s="138"/>
      <c r="HR1" s="138"/>
      <c r="HS1" s="138"/>
      <c r="HT1" s="138"/>
      <c r="HU1" s="138"/>
      <c r="HV1" s="138"/>
      <c r="HW1" s="138"/>
      <c r="HX1" s="138"/>
      <c r="HY1" s="138"/>
      <c r="HZ1" s="138"/>
      <c r="IA1" s="138"/>
      <c r="IB1" s="138"/>
      <c r="IC1" s="138"/>
      <c r="ID1" s="138"/>
      <c r="IE1" s="138"/>
      <c r="IF1" s="138"/>
      <c r="IG1" s="138"/>
      <c r="IH1" s="138"/>
      <c r="II1" s="138"/>
      <c r="IJ1" s="138"/>
      <c r="IK1" s="138"/>
      <c r="IL1" s="138"/>
      <c r="IM1" s="138"/>
      <c r="IN1" s="138"/>
      <c r="IO1" s="138"/>
      <c r="IP1" s="138"/>
      <c r="IQ1" s="138"/>
      <c r="IR1" s="138"/>
      <c r="IS1" s="138"/>
      <c r="IT1" s="138"/>
      <c r="IU1" s="138"/>
      <c r="IV1" s="138"/>
      <c r="IW1" s="138"/>
      <c r="IX1" s="138"/>
      <c r="IY1" s="138"/>
      <c r="IZ1" s="138"/>
      <c r="JA1" s="138"/>
      <c r="JB1" s="138"/>
      <c r="JC1" s="138"/>
      <c r="JD1" s="138"/>
      <c r="JE1" s="138"/>
      <c r="JF1" s="138"/>
      <c r="JG1" s="138"/>
      <c r="JH1" s="138"/>
      <c r="JJ1" s="134">
        <v>1</v>
      </c>
      <c r="JK1" s="134" t="s">
        <v>117</v>
      </c>
    </row>
    <row r="2" ht="15.75" customHeight="1" spans="1:271">
      <c r="A2" s="136"/>
      <c r="B2" s="139" t="str">
        <f>'KI3'!B2:D4</f>
        <v>SMP NEGERI 1 LANGGAM</v>
      </c>
      <c r="C2" s="140"/>
      <c r="D2" s="141"/>
      <c r="E2" s="142"/>
      <c r="G2" s="143" t="s">
        <v>118</v>
      </c>
      <c r="H2" s="144" t="str">
        <f>'KI3'!H2</f>
        <v>Prakarya</v>
      </c>
      <c r="I2" s="144"/>
      <c r="J2" s="144"/>
      <c r="K2" s="144"/>
      <c r="L2" s="144"/>
      <c r="N2" s="188" t="str">
        <f>'KI3'!L2</f>
        <v>Kelas :</v>
      </c>
      <c r="O2" s="189" t="str">
        <f>'KI3'!M2</f>
        <v>8C</v>
      </c>
      <c r="P2" s="143"/>
      <c r="Q2" s="144"/>
      <c r="R2" s="144"/>
      <c r="S2" s="144"/>
      <c r="T2" s="144"/>
      <c r="U2" s="144"/>
      <c r="W2" s="142"/>
      <c r="Y2" s="143"/>
      <c r="Z2" s="144"/>
      <c r="AA2" s="144"/>
      <c r="AB2" s="144"/>
      <c r="AC2" s="144"/>
      <c r="AD2" s="144"/>
      <c r="AF2" s="142"/>
      <c r="AH2" s="143"/>
      <c r="AI2" s="144"/>
      <c r="AJ2" s="144"/>
      <c r="AK2" s="144"/>
      <c r="AL2" s="144"/>
      <c r="AM2" s="144"/>
      <c r="AO2" s="142"/>
      <c r="AQ2" s="143"/>
      <c r="AR2" s="144"/>
      <c r="AS2" s="144"/>
      <c r="AT2" s="144"/>
      <c r="AU2" s="144"/>
      <c r="AV2" s="144"/>
      <c r="AX2" s="142"/>
      <c r="AZ2" s="143"/>
      <c r="BA2" s="144"/>
      <c r="BB2" s="144"/>
      <c r="BC2" s="144"/>
      <c r="BD2" s="144"/>
      <c r="BE2" s="144"/>
      <c r="BG2" s="142"/>
      <c r="BI2" s="143"/>
      <c r="BJ2" s="144"/>
      <c r="BK2" s="144"/>
      <c r="BL2" s="144"/>
      <c r="BM2" s="144"/>
      <c r="BN2" s="144"/>
      <c r="BP2" s="142"/>
      <c r="BR2" s="143"/>
      <c r="BS2" s="144"/>
      <c r="BT2" s="144"/>
      <c r="BU2" s="144"/>
      <c r="BV2" s="144"/>
      <c r="BW2" s="144"/>
      <c r="BY2" s="142"/>
      <c r="CA2" s="143"/>
      <c r="CB2" s="144"/>
      <c r="CC2" s="144"/>
      <c r="CD2" s="144"/>
      <c r="CE2" s="144"/>
      <c r="CF2" s="144"/>
      <c r="CH2" s="142"/>
      <c r="CJ2" s="143"/>
      <c r="CK2" s="144"/>
      <c r="CL2" s="144"/>
      <c r="CM2" s="144"/>
      <c r="CN2" s="144"/>
      <c r="CO2" s="144"/>
      <c r="CQ2" s="142"/>
      <c r="CS2" s="143"/>
      <c r="CT2" s="144"/>
      <c r="CU2" s="144"/>
      <c r="CV2" s="144"/>
      <c r="CW2" s="144"/>
      <c r="CX2" s="144"/>
      <c r="CZ2" s="142"/>
      <c r="DB2" s="143"/>
      <c r="DC2" s="144"/>
      <c r="DD2" s="144"/>
      <c r="DE2" s="144"/>
      <c r="DF2" s="144"/>
      <c r="DG2" s="144"/>
      <c r="DI2" s="142"/>
      <c r="DK2" s="143"/>
      <c r="DL2" s="144"/>
      <c r="DM2" s="144"/>
      <c r="DN2" s="144"/>
      <c r="DO2" s="144"/>
      <c r="DP2" s="144"/>
      <c r="DR2" s="142"/>
      <c r="DT2" s="143"/>
      <c r="DU2" s="144"/>
      <c r="DV2" s="144"/>
      <c r="DW2" s="144"/>
      <c r="DX2" s="144"/>
      <c r="DY2" s="144"/>
      <c r="EA2" s="142"/>
      <c r="EC2" s="143"/>
      <c r="ED2" s="144"/>
      <c r="EE2" s="144"/>
      <c r="EF2" s="144"/>
      <c r="EG2" s="144"/>
      <c r="EH2" s="144"/>
      <c r="EJ2" s="142"/>
      <c r="EL2" s="143"/>
      <c r="EM2" s="144"/>
      <c r="EN2" s="144"/>
      <c r="EO2" s="144"/>
      <c r="EP2" s="144"/>
      <c r="EQ2" s="144"/>
      <c r="ES2" s="142"/>
      <c r="EU2" s="143"/>
      <c r="EV2" s="144"/>
      <c r="EW2" s="144"/>
      <c r="EX2" s="144"/>
      <c r="EY2" s="144"/>
      <c r="EZ2" s="144"/>
      <c r="FB2" s="142"/>
      <c r="FD2" s="143"/>
      <c r="FE2" s="144"/>
      <c r="FF2" s="144"/>
      <c r="FG2" s="144"/>
      <c r="FH2" s="144"/>
      <c r="FI2" s="144"/>
      <c r="FK2" s="142"/>
      <c r="FM2" s="143"/>
      <c r="FN2" s="144"/>
      <c r="FO2" s="144"/>
      <c r="FP2" s="144"/>
      <c r="FQ2" s="144"/>
      <c r="FR2" s="144"/>
      <c r="FT2" s="142"/>
      <c r="FV2" s="143"/>
      <c r="FW2" s="144"/>
      <c r="FX2" s="144"/>
      <c r="FY2" s="144"/>
      <c r="FZ2" s="144"/>
      <c r="GA2" s="144"/>
      <c r="GF2" s="199"/>
      <c r="GG2" s="144"/>
      <c r="GH2" s="144"/>
      <c r="GI2" s="144"/>
      <c r="GJ2" s="144"/>
      <c r="GK2" s="144"/>
      <c r="GL2" s="144"/>
      <c r="GM2" s="144"/>
      <c r="GN2" s="144"/>
      <c r="GO2" s="144"/>
      <c r="GP2" s="144"/>
      <c r="GQ2" s="144"/>
      <c r="GR2" s="144"/>
      <c r="GS2" s="144"/>
      <c r="GT2" s="144"/>
      <c r="GU2" s="144"/>
      <c r="GV2" s="144"/>
      <c r="GW2" s="144"/>
      <c r="GX2" s="144"/>
      <c r="GY2" s="144"/>
      <c r="GZ2" s="144"/>
      <c r="HA2" s="144"/>
      <c r="HB2" s="144"/>
      <c r="HC2" s="144"/>
      <c r="HD2" s="144"/>
      <c r="HE2" s="144"/>
      <c r="HF2" s="144"/>
      <c r="HG2" s="144"/>
      <c r="HH2" s="144"/>
      <c r="HI2" s="144"/>
      <c r="HJ2" s="144"/>
      <c r="HK2" s="144"/>
      <c r="HL2" s="144"/>
      <c r="HM2" s="144"/>
      <c r="HN2" s="144"/>
      <c r="HO2" s="144"/>
      <c r="HP2" s="144"/>
      <c r="HQ2" s="144"/>
      <c r="HR2" s="144"/>
      <c r="HS2" s="144"/>
      <c r="HT2" s="144"/>
      <c r="HU2" s="144"/>
      <c r="HV2" s="144"/>
      <c r="HW2" s="144"/>
      <c r="HX2" s="144"/>
      <c r="HY2" s="144"/>
      <c r="HZ2" s="144"/>
      <c r="IA2" s="144"/>
      <c r="IB2" s="144"/>
      <c r="IC2" s="144"/>
      <c r="ID2" s="144"/>
      <c r="IE2" s="144"/>
      <c r="IF2" s="144"/>
      <c r="IG2" s="144"/>
      <c r="IH2" s="144"/>
      <c r="II2" s="144"/>
      <c r="IJ2" s="144"/>
      <c r="IK2" s="144"/>
      <c r="IL2" s="144"/>
      <c r="IM2" s="144"/>
      <c r="IN2" s="144"/>
      <c r="IO2" s="144"/>
      <c r="IP2" s="144"/>
      <c r="IQ2" s="144"/>
      <c r="IR2" s="144"/>
      <c r="IS2" s="144"/>
      <c r="IT2" s="144"/>
      <c r="IU2" s="144"/>
      <c r="IV2" s="144"/>
      <c r="IW2" s="144"/>
      <c r="IX2" s="144"/>
      <c r="IY2" s="144"/>
      <c r="IZ2" s="144"/>
      <c r="JA2" s="144"/>
      <c r="JB2" s="144"/>
      <c r="JC2" s="144"/>
      <c r="JD2" s="144"/>
      <c r="JE2" s="144"/>
      <c r="JF2" s="144"/>
      <c r="JG2" s="144"/>
      <c r="JH2" s="144"/>
      <c r="JJ2" s="134">
        <v>2</v>
      </c>
      <c r="JK2" s="134" t="s">
        <v>128</v>
      </c>
    </row>
    <row r="3" ht="15.75" customHeight="1" spans="1:271">
      <c r="A3" s="136"/>
      <c r="B3" s="145"/>
      <c r="C3" s="146"/>
      <c r="D3" s="147"/>
      <c r="E3" s="142"/>
      <c r="G3" s="143" t="s">
        <v>129</v>
      </c>
      <c r="H3" s="144" t="str">
        <f>'KI3'!H3</f>
        <v>VERI USDI, S.E</v>
      </c>
      <c r="I3" s="190"/>
      <c r="J3" s="190"/>
      <c r="K3" s="190"/>
      <c r="L3" s="190"/>
      <c r="N3" s="188" t="str">
        <f>'KI3'!L3</f>
        <v>Semester :</v>
      </c>
      <c r="O3" s="189" t="str">
        <f>'KI3'!M3</f>
        <v>Ganjil</v>
      </c>
      <c r="P3" s="143"/>
      <c r="Q3" s="190"/>
      <c r="R3" s="190"/>
      <c r="S3" s="190"/>
      <c r="T3" s="190"/>
      <c r="U3" s="190"/>
      <c r="W3" s="142"/>
      <c r="Y3" s="143"/>
      <c r="Z3" s="190"/>
      <c r="AA3" s="190"/>
      <c r="AB3" s="190"/>
      <c r="AC3" s="190"/>
      <c r="AD3" s="190"/>
      <c r="AF3" s="142"/>
      <c r="AH3" s="143"/>
      <c r="AI3" s="190"/>
      <c r="AJ3" s="190"/>
      <c r="AK3" s="190"/>
      <c r="AL3" s="190"/>
      <c r="AM3" s="190"/>
      <c r="AO3" s="142"/>
      <c r="AQ3" s="143"/>
      <c r="AR3" s="190"/>
      <c r="AS3" s="190"/>
      <c r="AT3" s="190"/>
      <c r="AU3" s="190"/>
      <c r="AV3" s="190"/>
      <c r="AX3" s="142"/>
      <c r="AZ3" s="143"/>
      <c r="BA3" s="190"/>
      <c r="BB3" s="190"/>
      <c r="BC3" s="190"/>
      <c r="BD3" s="190"/>
      <c r="BE3" s="190"/>
      <c r="BG3" s="142"/>
      <c r="BI3" s="143"/>
      <c r="BJ3" s="190"/>
      <c r="BK3" s="190"/>
      <c r="BL3" s="190"/>
      <c r="BM3" s="190"/>
      <c r="BN3" s="190"/>
      <c r="BP3" s="142"/>
      <c r="BR3" s="143"/>
      <c r="BS3" s="190"/>
      <c r="BT3" s="190"/>
      <c r="BU3" s="190"/>
      <c r="BV3" s="190"/>
      <c r="BW3" s="190"/>
      <c r="BY3" s="142"/>
      <c r="CA3" s="143"/>
      <c r="CB3" s="190"/>
      <c r="CC3" s="190"/>
      <c r="CD3" s="190"/>
      <c r="CE3" s="190"/>
      <c r="CF3" s="190"/>
      <c r="CH3" s="142"/>
      <c r="CJ3" s="143"/>
      <c r="CK3" s="190"/>
      <c r="CL3" s="190"/>
      <c r="CM3" s="190"/>
      <c r="CN3" s="190"/>
      <c r="CO3" s="190"/>
      <c r="CQ3" s="142"/>
      <c r="CS3" s="143"/>
      <c r="CT3" s="190"/>
      <c r="CU3" s="190"/>
      <c r="CV3" s="190"/>
      <c r="CW3" s="190"/>
      <c r="CX3" s="190"/>
      <c r="CZ3" s="142"/>
      <c r="DB3" s="143"/>
      <c r="DC3" s="190"/>
      <c r="DD3" s="190"/>
      <c r="DE3" s="190"/>
      <c r="DF3" s="190"/>
      <c r="DG3" s="190"/>
      <c r="DI3" s="142"/>
      <c r="DK3" s="143"/>
      <c r="DL3" s="190"/>
      <c r="DM3" s="190"/>
      <c r="DN3" s="190"/>
      <c r="DO3" s="190"/>
      <c r="DP3" s="190"/>
      <c r="DR3" s="142"/>
      <c r="DT3" s="143"/>
      <c r="DU3" s="190"/>
      <c r="DV3" s="190"/>
      <c r="DW3" s="190"/>
      <c r="DX3" s="190"/>
      <c r="DY3" s="190"/>
      <c r="EA3" s="142"/>
      <c r="EC3" s="143"/>
      <c r="ED3" s="190"/>
      <c r="EE3" s="190"/>
      <c r="EF3" s="190"/>
      <c r="EG3" s="190"/>
      <c r="EH3" s="190"/>
      <c r="EJ3" s="142"/>
      <c r="EL3" s="143"/>
      <c r="EM3" s="190"/>
      <c r="EN3" s="190"/>
      <c r="EO3" s="190"/>
      <c r="EP3" s="190"/>
      <c r="EQ3" s="190"/>
      <c r="ES3" s="142"/>
      <c r="EU3" s="143"/>
      <c r="EV3" s="190"/>
      <c r="EW3" s="190"/>
      <c r="EX3" s="190"/>
      <c r="EY3" s="190"/>
      <c r="EZ3" s="190"/>
      <c r="FB3" s="142"/>
      <c r="FD3" s="143"/>
      <c r="FE3" s="190"/>
      <c r="FF3" s="190"/>
      <c r="FG3" s="190"/>
      <c r="FH3" s="190"/>
      <c r="FI3" s="190"/>
      <c r="FK3" s="142"/>
      <c r="FM3" s="143"/>
      <c r="FN3" s="190"/>
      <c r="FO3" s="190"/>
      <c r="FP3" s="190"/>
      <c r="FQ3" s="190"/>
      <c r="FR3" s="190"/>
      <c r="FT3" s="142"/>
      <c r="FV3" s="143"/>
      <c r="FW3" s="190"/>
      <c r="FX3" s="190"/>
      <c r="FY3" s="190"/>
      <c r="FZ3" s="190"/>
      <c r="GA3" s="190"/>
      <c r="GC3" s="200" t="s">
        <v>191</v>
      </c>
      <c r="GD3" s="201">
        <v>73</v>
      </c>
      <c r="GF3" s="199"/>
      <c r="GG3" s="190"/>
      <c r="GH3" s="190"/>
      <c r="GI3" s="190"/>
      <c r="GJ3" s="190"/>
      <c r="GK3" s="190"/>
      <c r="GL3" s="190"/>
      <c r="GM3" s="190"/>
      <c r="GN3" s="190"/>
      <c r="GO3" s="190"/>
      <c r="GP3" s="190"/>
      <c r="GQ3" s="190"/>
      <c r="GR3" s="190"/>
      <c r="GS3" s="190"/>
      <c r="GT3" s="190"/>
      <c r="GU3" s="190"/>
      <c r="GV3" s="190"/>
      <c r="GW3" s="190"/>
      <c r="GX3" s="190"/>
      <c r="GY3" s="190"/>
      <c r="GZ3" s="190"/>
      <c r="HA3" s="190"/>
      <c r="HB3" s="190"/>
      <c r="HC3" s="190"/>
      <c r="HD3" s="190"/>
      <c r="HE3" s="190"/>
      <c r="HF3" s="190"/>
      <c r="HG3" s="190"/>
      <c r="HH3" s="190"/>
      <c r="HI3" s="190"/>
      <c r="HJ3" s="190"/>
      <c r="HK3" s="190"/>
      <c r="HL3" s="190"/>
      <c r="HM3" s="190"/>
      <c r="HN3" s="190"/>
      <c r="HO3" s="190"/>
      <c r="HP3" s="190"/>
      <c r="HQ3" s="190"/>
      <c r="HR3" s="190"/>
      <c r="HS3" s="190"/>
      <c r="HT3" s="190"/>
      <c r="HU3" s="190"/>
      <c r="HV3" s="190"/>
      <c r="HW3" s="190"/>
      <c r="HX3" s="190"/>
      <c r="HY3" s="190"/>
      <c r="HZ3" s="190"/>
      <c r="IA3" s="190"/>
      <c r="IB3" s="190"/>
      <c r="IC3" s="190"/>
      <c r="ID3" s="190"/>
      <c r="IE3" s="190"/>
      <c r="IF3" s="190"/>
      <c r="IG3" s="190"/>
      <c r="IH3" s="190"/>
      <c r="II3" s="190"/>
      <c r="IJ3" s="190"/>
      <c r="IK3" s="190"/>
      <c r="IL3" s="190"/>
      <c r="IM3" s="190"/>
      <c r="IN3" s="190"/>
      <c r="IO3" s="190"/>
      <c r="IP3" s="190"/>
      <c r="IQ3" s="190"/>
      <c r="IR3" s="190"/>
      <c r="IS3" s="190"/>
      <c r="IT3" s="190"/>
      <c r="IU3" s="190"/>
      <c r="IV3" s="190"/>
      <c r="IW3" s="190"/>
      <c r="IX3" s="190"/>
      <c r="IY3" s="190"/>
      <c r="IZ3" s="190"/>
      <c r="JA3" s="190"/>
      <c r="JB3" s="190"/>
      <c r="JC3" s="190"/>
      <c r="JD3" s="190"/>
      <c r="JE3" s="190"/>
      <c r="JF3" s="190"/>
      <c r="JG3" s="190"/>
      <c r="JH3" s="190"/>
      <c r="JJ3" s="134">
        <v>3</v>
      </c>
      <c r="JK3" s="134" t="s">
        <v>133</v>
      </c>
    </row>
    <row r="4" ht="15.75" customHeight="1" spans="1:271">
      <c r="A4" s="148">
        <f>siswa!B2</f>
        <v>28</v>
      </c>
      <c r="B4" s="149"/>
      <c r="C4" s="150"/>
      <c r="D4" s="151"/>
      <c r="E4" s="142"/>
      <c r="G4" s="152" t="s">
        <v>134</v>
      </c>
      <c r="H4" s="144" t="str">
        <f>'KI3'!H4</f>
        <v>-</v>
      </c>
      <c r="I4" s="191"/>
      <c r="J4" s="191"/>
      <c r="K4" s="191"/>
      <c r="L4" s="191"/>
      <c r="N4" s="188" t="str">
        <f>'KI3'!L4</f>
        <v>Tahun Pelajaran :</v>
      </c>
      <c r="O4" s="189" t="str">
        <f>'KI3'!M4</f>
        <v>2021/2022</v>
      </c>
      <c r="P4" s="152"/>
      <c r="Q4" s="191"/>
      <c r="R4" s="191"/>
      <c r="S4" s="191"/>
      <c r="T4" s="191"/>
      <c r="U4" s="191"/>
      <c r="W4" s="142"/>
      <c r="Y4" s="152"/>
      <c r="Z4" s="191"/>
      <c r="AA4" s="191"/>
      <c r="AB4" s="191"/>
      <c r="AC4" s="191"/>
      <c r="AD4" s="191"/>
      <c r="AF4" s="142"/>
      <c r="AH4" s="152"/>
      <c r="AI4" s="191"/>
      <c r="AJ4" s="191"/>
      <c r="AK4" s="191"/>
      <c r="AL4" s="191"/>
      <c r="AM4" s="191"/>
      <c r="AO4" s="142"/>
      <c r="AQ4" s="152"/>
      <c r="AR4" s="191"/>
      <c r="AS4" s="191"/>
      <c r="AT4" s="191"/>
      <c r="AU4" s="191"/>
      <c r="AV4" s="191"/>
      <c r="AX4" s="142"/>
      <c r="AZ4" s="152"/>
      <c r="BA4" s="191"/>
      <c r="BB4" s="191"/>
      <c r="BC4" s="191"/>
      <c r="BD4" s="191"/>
      <c r="BE4" s="191"/>
      <c r="BG4" s="142"/>
      <c r="BI4" s="152"/>
      <c r="BJ4" s="191"/>
      <c r="BK4" s="191"/>
      <c r="BL4" s="191"/>
      <c r="BM4" s="191"/>
      <c r="BN4" s="191"/>
      <c r="BP4" s="142"/>
      <c r="BR4" s="152"/>
      <c r="BS4" s="191"/>
      <c r="BT4" s="191"/>
      <c r="BU4" s="191"/>
      <c r="BV4" s="191"/>
      <c r="BW4" s="191"/>
      <c r="BY4" s="142"/>
      <c r="CA4" s="152"/>
      <c r="CB4" s="191"/>
      <c r="CC4" s="191"/>
      <c r="CD4" s="191"/>
      <c r="CE4" s="191"/>
      <c r="CF4" s="191"/>
      <c r="CH4" s="142"/>
      <c r="CJ4" s="152"/>
      <c r="CK4" s="191"/>
      <c r="CL4" s="191"/>
      <c r="CM4" s="191"/>
      <c r="CN4" s="191"/>
      <c r="CO4" s="191"/>
      <c r="CQ4" s="142"/>
      <c r="CS4" s="152"/>
      <c r="CT4" s="191"/>
      <c r="CU4" s="191"/>
      <c r="CV4" s="191"/>
      <c r="CW4" s="191"/>
      <c r="CX4" s="191"/>
      <c r="CZ4" s="142"/>
      <c r="DB4" s="152"/>
      <c r="DC4" s="191"/>
      <c r="DD4" s="191"/>
      <c r="DE4" s="191"/>
      <c r="DF4" s="191"/>
      <c r="DG4" s="191"/>
      <c r="DI4" s="142"/>
      <c r="DK4" s="152"/>
      <c r="DL4" s="191"/>
      <c r="DM4" s="191"/>
      <c r="DN4" s="191"/>
      <c r="DO4" s="191"/>
      <c r="DP4" s="191"/>
      <c r="DR4" s="142"/>
      <c r="DT4" s="152"/>
      <c r="DU4" s="191"/>
      <c r="DV4" s="191"/>
      <c r="DW4" s="191"/>
      <c r="DX4" s="191"/>
      <c r="DY4" s="191"/>
      <c r="EA4" s="142"/>
      <c r="EC4" s="152"/>
      <c r="ED4" s="191"/>
      <c r="EE4" s="191"/>
      <c r="EF4" s="191"/>
      <c r="EG4" s="191"/>
      <c r="EH4" s="191"/>
      <c r="EJ4" s="142"/>
      <c r="EL4" s="152"/>
      <c r="EM4" s="191"/>
      <c r="EN4" s="191"/>
      <c r="EO4" s="191"/>
      <c r="EP4" s="191"/>
      <c r="EQ4" s="191"/>
      <c r="ES4" s="142"/>
      <c r="EU4" s="152"/>
      <c r="EV4" s="191"/>
      <c r="EW4" s="191"/>
      <c r="EX4" s="191"/>
      <c r="EY4" s="191"/>
      <c r="EZ4" s="191"/>
      <c r="FB4" s="142"/>
      <c r="FD4" s="152"/>
      <c r="FE4" s="191"/>
      <c r="FF4" s="191"/>
      <c r="FG4" s="191"/>
      <c r="FH4" s="191"/>
      <c r="FI4" s="191"/>
      <c r="FK4" s="142"/>
      <c r="FM4" s="152"/>
      <c r="FN4" s="191"/>
      <c r="FO4" s="191"/>
      <c r="FP4" s="191"/>
      <c r="FQ4" s="191"/>
      <c r="FR4" s="191"/>
      <c r="FT4" s="142"/>
      <c r="FV4" s="152"/>
      <c r="FW4" s="191"/>
      <c r="FX4" s="191"/>
      <c r="FY4" s="191"/>
      <c r="FZ4" s="191"/>
      <c r="GA4" s="191"/>
      <c r="GC4" s="202"/>
      <c r="GD4" s="203"/>
      <c r="GF4" s="199"/>
      <c r="GG4" s="191"/>
      <c r="GH4" s="191"/>
      <c r="GI4" s="191"/>
      <c r="GJ4" s="191"/>
      <c r="GK4" s="191"/>
      <c r="GL4" s="191"/>
      <c r="GM4" s="191"/>
      <c r="GN4" s="191"/>
      <c r="GO4" s="191"/>
      <c r="GP4" s="191"/>
      <c r="GQ4" s="191"/>
      <c r="GR4" s="191"/>
      <c r="GS4" s="191"/>
      <c r="GT4" s="191"/>
      <c r="GU4" s="191"/>
      <c r="GV4" s="191"/>
      <c r="GW4" s="191"/>
      <c r="GX4" s="191"/>
      <c r="GY4" s="191"/>
      <c r="GZ4" s="191"/>
      <c r="HA4" s="191"/>
      <c r="HB4" s="191"/>
      <c r="HC4" s="191"/>
      <c r="HD4" s="191"/>
      <c r="HE4" s="191"/>
      <c r="HF4" s="191"/>
      <c r="HG4" s="191"/>
      <c r="HH4" s="191"/>
      <c r="HI4" s="191"/>
      <c r="HJ4" s="191"/>
      <c r="HK4" s="191"/>
      <c r="HL4" s="191"/>
      <c r="HM4" s="191"/>
      <c r="HN4" s="191"/>
      <c r="HO4" s="191"/>
      <c r="HP4" s="191"/>
      <c r="HQ4" s="191"/>
      <c r="HR4" s="191"/>
      <c r="HS4" s="191"/>
      <c r="HT4" s="191"/>
      <c r="HU4" s="191"/>
      <c r="HV4" s="191"/>
      <c r="HW4" s="191"/>
      <c r="HX4" s="191"/>
      <c r="HY4" s="191"/>
      <c r="HZ4" s="191"/>
      <c r="IA4" s="191"/>
      <c r="IB4" s="191"/>
      <c r="IC4" s="191"/>
      <c r="ID4" s="191"/>
      <c r="IE4" s="191"/>
      <c r="IF4" s="191"/>
      <c r="IG4" s="191"/>
      <c r="IH4" s="191"/>
      <c r="II4" s="191"/>
      <c r="IJ4" s="191"/>
      <c r="IK4" s="191"/>
      <c r="IL4" s="191"/>
      <c r="IM4" s="191"/>
      <c r="IN4" s="191"/>
      <c r="IO4" s="191"/>
      <c r="IP4" s="191"/>
      <c r="IQ4" s="191"/>
      <c r="IR4" s="191"/>
      <c r="IS4" s="191"/>
      <c r="IT4" s="191"/>
      <c r="IU4" s="191"/>
      <c r="IV4" s="191"/>
      <c r="IW4" s="191"/>
      <c r="IX4" s="191"/>
      <c r="IY4" s="191"/>
      <c r="IZ4" s="191"/>
      <c r="JA4" s="191"/>
      <c r="JB4" s="191"/>
      <c r="JC4" s="191"/>
      <c r="JD4" s="191"/>
      <c r="JE4" s="191"/>
      <c r="JF4" s="191"/>
      <c r="JG4" s="191"/>
      <c r="JH4" s="191"/>
      <c r="JJ4" s="134">
        <v>4</v>
      </c>
      <c r="JK4" s="134" t="s">
        <v>139</v>
      </c>
    </row>
    <row r="5" ht="15.75" customHeight="1" spans="1:268">
      <c r="A5" s="136"/>
      <c r="B5" s="153" t="s">
        <v>13</v>
      </c>
      <c r="C5" s="154" t="s">
        <v>140</v>
      </c>
      <c r="D5" s="155" t="s">
        <v>15</v>
      </c>
      <c r="E5" s="156">
        <v>1</v>
      </c>
      <c r="F5" s="157"/>
      <c r="G5" s="157"/>
      <c r="H5" s="157"/>
      <c r="I5" s="157"/>
      <c r="J5" s="157"/>
      <c r="K5" s="157"/>
      <c r="L5" s="157"/>
      <c r="M5" s="157"/>
      <c r="N5" s="156">
        <v>2</v>
      </c>
      <c r="O5" s="157"/>
      <c r="P5" s="157"/>
      <c r="Q5" s="157"/>
      <c r="R5" s="157"/>
      <c r="S5" s="157"/>
      <c r="T5" s="157"/>
      <c r="U5" s="157"/>
      <c r="V5" s="157"/>
      <c r="W5" s="156">
        <v>3</v>
      </c>
      <c r="X5" s="157"/>
      <c r="Y5" s="157"/>
      <c r="Z5" s="157"/>
      <c r="AA5" s="157"/>
      <c r="AB5" s="157"/>
      <c r="AC5" s="157"/>
      <c r="AD5" s="157"/>
      <c r="AE5" s="157"/>
      <c r="AF5" s="156">
        <v>4</v>
      </c>
      <c r="AG5" s="157"/>
      <c r="AH5" s="157"/>
      <c r="AI5" s="157"/>
      <c r="AJ5" s="157"/>
      <c r="AK5" s="157"/>
      <c r="AL5" s="157"/>
      <c r="AM5" s="157"/>
      <c r="AN5" s="157"/>
      <c r="AO5" s="156">
        <v>5</v>
      </c>
      <c r="AP5" s="157"/>
      <c r="AQ5" s="157"/>
      <c r="AR5" s="157"/>
      <c r="AS5" s="157"/>
      <c r="AT5" s="157"/>
      <c r="AU5" s="157"/>
      <c r="AV5" s="157"/>
      <c r="AW5" s="157"/>
      <c r="AX5" s="156">
        <v>6</v>
      </c>
      <c r="AY5" s="157"/>
      <c r="AZ5" s="157"/>
      <c r="BA5" s="157"/>
      <c r="BB5" s="157"/>
      <c r="BC5" s="157"/>
      <c r="BD5" s="157"/>
      <c r="BE5" s="157"/>
      <c r="BF5" s="157"/>
      <c r="BG5" s="156">
        <v>7</v>
      </c>
      <c r="BH5" s="157"/>
      <c r="BI5" s="157"/>
      <c r="BJ5" s="157"/>
      <c r="BK5" s="157"/>
      <c r="BL5" s="157"/>
      <c r="BM5" s="157"/>
      <c r="BN5" s="157"/>
      <c r="BO5" s="157"/>
      <c r="BP5" s="156">
        <v>8</v>
      </c>
      <c r="BQ5" s="157"/>
      <c r="BR5" s="157"/>
      <c r="BS5" s="157"/>
      <c r="BT5" s="157"/>
      <c r="BU5" s="157"/>
      <c r="BV5" s="157"/>
      <c r="BW5" s="157"/>
      <c r="BX5" s="157"/>
      <c r="BY5" s="156">
        <v>9</v>
      </c>
      <c r="BZ5" s="157"/>
      <c r="CA5" s="157"/>
      <c r="CB5" s="157"/>
      <c r="CC5" s="157"/>
      <c r="CD5" s="157"/>
      <c r="CE5" s="157"/>
      <c r="CF5" s="157"/>
      <c r="CG5" s="157"/>
      <c r="CH5" s="156">
        <v>10</v>
      </c>
      <c r="CI5" s="157"/>
      <c r="CJ5" s="157"/>
      <c r="CK5" s="157"/>
      <c r="CL5" s="157"/>
      <c r="CM5" s="157"/>
      <c r="CN5" s="157"/>
      <c r="CO5" s="157"/>
      <c r="CP5" s="157"/>
      <c r="CQ5" s="156">
        <v>11</v>
      </c>
      <c r="CR5" s="157"/>
      <c r="CS5" s="157"/>
      <c r="CT5" s="157"/>
      <c r="CU5" s="157"/>
      <c r="CV5" s="157"/>
      <c r="CW5" s="157"/>
      <c r="CX5" s="157"/>
      <c r="CY5" s="157"/>
      <c r="CZ5" s="156">
        <v>12</v>
      </c>
      <c r="DA5" s="157"/>
      <c r="DB5" s="157"/>
      <c r="DC5" s="157"/>
      <c r="DD5" s="157"/>
      <c r="DE5" s="157"/>
      <c r="DF5" s="157"/>
      <c r="DG5" s="157"/>
      <c r="DH5" s="157"/>
      <c r="DI5" s="156">
        <v>13</v>
      </c>
      <c r="DJ5" s="157"/>
      <c r="DK5" s="157"/>
      <c r="DL5" s="157"/>
      <c r="DM5" s="157"/>
      <c r="DN5" s="157"/>
      <c r="DO5" s="157"/>
      <c r="DP5" s="157"/>
      <c r="DQ5" s="157"/>
      <c r="DR5" s="156">
        <v>14</v>
      </c>
      <c r="DS5" s="157"/>
      <c r="DT5" s="157"/>
      <c r="DU5" s="157"/>
      <c r="DV5" s="157"/>
      <c r="DW5" s="157"/>
      <c r="DX5" s="157"/>
      <c r="DY5" s="157"/>
      <c r="DZ5" s="157"/>
      <c r="EA5" s="156">
        <v>15</v>
      </c>
      <c r="EB5" s="157"/>
      <c r="EC5" s="157"/>
      <c r="ED5" s="157"/>
      <c r="EE5" s="157"/>
      <c r="EF5" s="157"/>
      <c r="EG5" s="157"/>
      <c r="EH5" s="157"/>
      <c r="EI5" s="157"/>
      <c r="EJ5" s="156">
        <v>16</v>
      </c>
      <c r="EK5" s="157"/>
      <c r="EL5" s="157"/>
      <c r="EM5" s="157"/>
      <c r="EN5" s="157"/>
      <c r="EO5" s="157"/>
      <c r="EP5" s="157"/>
      <c r="EQ5" s="157"/>
      <c r="ER5" s="157"/>
      <c r="ES5" s="156">
        <v>17</v>
      </c>
      <c r="ET5" s="157"/>
      <c r="EU5" s="157"/>
      <c r="EV5" s="157"/>
      <c r="EW5" s="157"/>
      <c r="EX5" s="157"/>
      <c r="EY5" s="157"/>
      <c r="EZ5" s="157"/>
      <c r="FA5" s="157"/>
      <c r="FB5" s="156">
        <v>18</v>
      </c>
      <c r="FC5" s="157"/>
      <c r="FD5" s="157"/>
      <c r="FE5" s="157"/>
      <c r="FF5" s="157"/>
      <c r="FG5" s="157"/>
      <c r="FH5" s="157"/>
      <c r="FI5" s="157"/>
      <c r="FJ5" s="157"/>
      <c r="FK5" s="156">
        <v>19</v>
      </c>
      <c r="FL5" s="157"/>
      <c r="FM5" s="157"/>
      <c r="FN5" s="157"/>
      <c r="FO5" s="157"/>
      <c r="FP5" s="157"/>
      <c r="FQ5" s="157"/>
      <c r="FR5" s="157"/>
      <c r="FS5" s="157"/>
      <c r="FT5" s="156">
        <v>20</v>
      </c>
      <c r="FU5" s="157"/>
      <c r="FV5" s="157"/>
      <c r="FW5" s="157"/>
      <c r="FX5" s="157"/>
      <c r="FY5" s="157"/>
      <c r="FZ5" s="157"/>
      <c r="GA5" s="157"/>
      <c r="GB5" s="157"/>
      <c r="GC5" s="204" t="s">
        <v>192</v>
      </c>
      <c r="GD5" s="205" t="s">
        <v>193</v>
      </c>
      <c r="GE5" s="205" t="s">
        <v>120</v>
      </c>
      <c r="GF5" s="206"/>
      <c r="GG5" s="207"/>
      <c r="GH5" s="207"/>
      <c r="GI5" s="207"/>
      <c r="GJ5" s="208"/>
      <c r="GK5" s="226"/>
      <c r="GL5" s="207"/>
      <c r="GM5" s="207"/>
      <c r="GN5" s="208"/>
      <c r="GO5" s="226"/>
      <c r="GP5" s="207"/>
      <c r="GQ5" s="207"/>
      <c r="GR5" s="208"/>
      <c r="GS5" s="226"/>
      <c r="GT5" s="207"/>
      <c r="GU5" s="207"/>
      <c r="GV5" s="208"/>
      <c r="GW5" s="226"/>
      <c r="GX5" s="207"/>
      <c r="GY5" s="207"/>
      <c r="GZ5" s="208"/>
      <c r="HA5" s="226"/>
      <c r="HB5" s="207"/>
      <c r="HC5" s="207"/>
      <c r="HD5" s="208"/>
      <c r="HE5" s="226"/>
      <c r="HF5" s="207"/>
      <c r="HG5" s="207"/>
      <c r="HH5" s="208"/>
      <c r="HI5" s="226"/>
      <c r="HJ5" s="207"/>
      <c r="HK5" s="207"/>
      <c r="HL5" s="208"/>
      <c r="HM5" s="226"/>
      <c r="HN5" s="207"/>
      <c r="HO5" s="207"/>
      <c r="HP5" s="208"/>
      <c r="HQ5" s="226"/>
      <c r="HR5" s="207"/>
      <c r="HS5" s="207"/>
      <c r="HT5" s="208"/>
      <c r="HU5" s="226"/>
      <c r="HV5" s="207"/>
      <c r="HW5" s="207"/>
      <c r="HX5" s="208"/>
      <c r="HY5" s="226"/>
      <c r="HZ5" s="207"/>
      <c r="IA5" s="207"/>
      <c r="IB5" s="208"/>
      <c r="IC5" s="226"/>
      <c r="ID5" s="207"/>
      <c r="IE5" s="207"/>
      <c r="IF5" s="208"/>
      <c r="IG5" s="226"/>
      <c r="IH5" s="207"/>
      <c r="II5" s="207"/>
      <c r="IJ5" s="208"/>
      <c r="IK5" s="226"/>
      <c r="IL5" s="207"/>
      <c r="IM5" s="207"/>
      <c r="IN5" s="208"/>
      <c r="IO5" s="226"/>
      <c r="IP5" s="207"/>
      <c r="IQ5" s="207"/>
      <c r="IR5" s="208"/>
      <c r="IS5" s="226"/>
      <c r="IT5" s="207"/>
      <c r="IU5" s="207"/>
      <c r="IV5" s="208"/>
      <c r="IW5" s="226"/>
      <c r="IX5" s="207"/>
      <c r="IY5" s="207"/>
      <c r="IZ5" s="208"/>
      <c r="JA5" s="226"/>
      <c r="JB5" s="207"/>
      <c r="JC5" s="207"/>
      <c r="JD5" s="208"/>
      <c r="JE5" s="226"/>
      <c r="JF5" s="207"/>
      <c r="JG5" s="207"/>
      <c r="JH5" s="208"/>
    </row>
    <row r="6" ht="42.75" customHeight="1" spans="1:359">
      <c r="A6" s="136"/>
      <c r="B6" s="158"/>
      <c r="C6" s="159"/>
      <c r="D6" s="159"/>
      <c r="E6" s="160" t="str">
        <f>IF(RefKI3KI4!$B$26="","",RefKI3KI4!$B$26)</f>
        <v>memilih jenis, bahan dan teknik pengolahan kerang, kaca, keramik dan botol plastik sesuai dengan potensi daerah setempat</v>
      </c>
      <c r="F6" s="161"/>
      <c r="G6" s="161"/>
      <c r="H6" s="161"/>
      <c r="I6" s="161"/>
      <c r="J6" s="161"/>
      <c r="K6" s="161"/>
      <c r="L6" s="161"/>
      <c r="M6" s="161"/>
      <c r="N6" s="160" t="str">
        <f>IF(RefKI3KI4!$B$27="","",RefKI3KI4!$B$27)</f>
        <v>perancangan pembuatan dan penyajian kerajinan kerang, kaca, keramik dan botol plastik yang kreatif dan inovatif</v>
      </c>
      <c r="O6" s="161"/>
      <c r="P6" s="161"/>
      <c r="Q6" s="161"/>
      <c r="R6" s="161"/>
      <c r="S6" s="161"/>
      <c r="T6" s="161"/>
      <c r="U6" s="161"/>
      <c r="V6" s="161"/>
      <c r="W6" s="160" t="str">
        <f>IF(RefKI3KI4!$B$28="","",RefKI3KI4!$B$28)</f>
        <v/>
      </c>
      <c r="X6" s="161"/>
      <c r="Y6" s="161"/>
      <c r="Z6" s="161"/>
      <c r="AA6" s="161"/>
      <c r="AB6" s="161"/>
      <c r="AC6" s="161"/>
      <c r="AD6" s="161"/>
      <c r="AE6" s="161"/>
      <c r="AF6" s="160" t="str">
        <f>IF(RefKI3KI4!$B$29="","",RefKI3KI4!$B$29)</f>
        <v/>
      </c>
      <c r="AG6" s="161"/>
      <c r="AH6" s="161"/>
      <c r="AI6" s="161"/>
      <c r="AJ6" s="161"/>
      <c r="AK6" s="161"/>
      <c r="AL6" s="161"/>
      <c r="AM6" s="161"/>
      <c r="AN6" s="161"/>
      <c r="AO6" s="160" t="str">
        <f>IF(RefKI3KI4!$B$30="","",RefKI3KI4!$B$30)</f>
        <v/>
      </c>
      <c r="AP6" s="161"/>
      <c r="AQ6" s="161"/>
      <c r="AR6" s="161"/>
      <c r="AS6" s="161"/>
      <c r="AT6" s="161"/>
      <c r="AU6" s="161"/>
      <c r="AV6" s="161"/>
      <c r="AW6" s="161"/>
      <c r="AX6" s="160" t="str">
        <f>IF(RefKI3KI4!$B$31="","",RefKI3KI4!$B$31)</f>
        <v/>
      </c>
      <c r="AY6" s="161"/>
      <c r="AZ6" s="161"/>
      <c r="BA6" s="161"/>
      <c r="BB6" s="161"/>
      <c r="BC6" s="161"/>
      <c r="BD6" s="161"/>
      <c r="BE6" s="161"/>
      <c r="BF6" s="161"/>
      <c r="BG6" s="160" t="str">
        <f>IF(RefKI3KI4!$B$32="","",RefKI3KI4!$B$32)</f>
        <v/>
      </c>
      <c r="BH6" s="161"/>
      <c r="BI6" s="161"/>
      <c r="BJ6" s="161"/>
      <c r="BK6" s="161"/>
      <c r="BL6" s="161"/>
      <c r="BM6" s="161"/>
      <c r="BN6" s="161"/>
      <c r="BO6" s="161"/>
      <c r="BP6" s="160" t="str">
        <f>IF(RefKI3KI4!$B$33="","",RefKI3KI4!$B$33)</f>
        <v/>
      </c>
      <c r="BQ6" s="161"/>
      <c r="BR6" s="161"/>
      <c r="BS6" s="161"/>
      <c r="BT6" s="161"/>
      <c r="BU6" s="161"/>
      <c r="BV6" s="161"/>
      <c r="BW6" s="161"/>
      <c r="BX6" s="161"/>
      <c r="BY6" s="160" t="str">
        <f>IF(RefKI3KI4!$B$34="","",RefKI3KI4!$B$34)</f>
        <v/>
      </c>
      <c r="BZ6" s="161"/>
      <c r="CA6" s="161"/>
      <c r="CB6" s="161"/>
      <c r="CC6" s="161"/>
      <c r="CD6" s="161"/>
      <c r="CE6" s="161"/>
      <c r="CF6" s="161"/>
      <c r="CG6" s="161"/>
      <c r="CH6" s="160" t="str">
        <f>IF(RefKI3KI4!$B$35="","",RefKI3KI4!$B$35)</f>
        <v/>
      </c>
      <c r="CI6" s="161"/>
      <c r="CJ6" s="161"/>
      <c r="CK6" s="161"/>
      <c r="CL6" s="161"/>
      <c r="CM6" s="161"/>
      <c r="CN6" s="161"/>
      <c r="CO6" s="161"/>
      <c r="CP6" s="161"/>
      <c r="CQ6" s="160" t="str">
        <f>IF(RefKI3KI4!$B$36="","",RefKI3KI4!$B$36)</f>
        <v/>
      </c>
      <c r="CR6" s="161"/>
      <c r="CS6" s="161"/>
      <c r="CT6" s="161"/>
      <c r="CU6" s="161"/>
      <c r="CV6" s="161"/>
      <c r="CW6" s="161"/>
      <c r="CX6" s="161"/>
      <c r="CY6" s="161"/>
      <c r="CZ6" s="160" t="str">
        <f>IF(RefKI3KI4!$B$37="","",RefKI3KI4!$B$37)</f>
        <v/>
      </c>
      <c r="DA6" s="161"/>
      <c r="DB6" s="161"/>
      <c r="DC6" s="161"/>
      <c r="DD6" s="161"/>
      <c r="DE6" s="161"/>
      <c r="DF6" s="161"/>
      <c r="DG6" s="161"/>
      <c r="DH6" s="161"/>
      <c r="DI6" s="160" t="str">
        <f>IF(RefKI3KI4!$B$38="","",RefKI3KI4!$B$38)</f>
        <v/>
      </c>
      <c r="DJ6" s="161"/>
      <c r="DK6" s="161"/>
      <c r="DL6" s="161"/>
      <c r="DM6" s="161"/>
      <c r="DN6" s="161"/>
      <c r="DO6" s="161"/>
      <c r="DP6" s="161"/>
      <c r="DQ6" s="161"/>
      <c r="DR6" s="160" t="str">
        <f>IF(RefKI3KI4!$B$39="","",RefKI3KI4!$B$39)</f>
        <v/>
      </c>
      <c r="DS6" s="161"/>
      <c r="DT6" s="161"/>
      <c r="DU6" s="161"/>
      <c r="DV6" s="161"/>
      <c r="DW6" s="161"/>
      <c r="DX6" s="161"/>
      <c r="DY6" s="161"/>
      <c r="DZ6" s="161"/>
      <c r="EA6" s="160" t="str">
        <f>IF(RefKI3KI4!$B$40="","",RefKI3KI4!$B$40)</f>
        <v/>
      </c>
      <c r="EB6" s="161"/>
      <c r="EC6" s="161"/>
      <c r="ED6" s="161"/>
      <c r="EE6" s="161"/>
      <c r="EF6" s="161"/>
      <c r="EG6" s="161"/>
      <c r="EH6" s="161"/>
      <c r="EI6" s="161"/>
      <c r="EJ6" s="160" t="str">
        <f>IF(RefKI3KI4!$B$41="","",RefKI3KI4!$B$41)</f>
        <v/>
      </c>
      <c r="EK6" s="161"/>
      <c r="EL6" s="161"/>
      <c r="EM6" s="161"/>
      <c r="EN6" s="161"/>
      <c r="EO6" s="161"/>
      <c r="EP6" s="161"/>
      <c r="EQ6" s="161"/>
      <c r="ER6" s="161"/>
      <c r="ES6" s="160" t="str">
        <f>IF(RefKI3KI4!$B$42="","",RefKI3KI4!$B$42)</f>
        <v/>
      </c>
      <c r="ET6" s="161"/>
      <c r="EU6" s="161"/>
      <c r="EV6" s="161"/>
      <c r="EW6" s="161"/>
      <c r="EX6" s="161"/>
      <c r="EY6" s="161"/>
      <c r="EZ6" s="161"/>
      <c r="FA6" s="161"/>
      <c r="FB6" s="160" t="str">
        <f>IF(RefKI3KI4!$B$43="","",RefKI3KI4!$B$43)</f>
        <v/>
      </c>
      <c r="FC6" s="161"/>
      <c r="FD6" s="161"/>
      <c r="FE6" s="161"/>
      <c r="FF6" s="161"/>
      <c r="FG6" s="161"/>
      <c r="FH6" s="161"/>
      <c r="FI6" s="161"/>
      <c r="FJ6" s="161"/>
      <c r="FK6" s="160" t="str">
        <f>IF(RefKI3KI4!$B$44="","",RefKI3KI4!$B$44)</f>
        <v/>
      </c>
      <c r="FL6" s="161"/>
      <c r="FM6" s="161"/>
      <c r="FN6" s="161"/>
      <c r="FO6" s="161"/>
      <c r="FP6" s="161"/>
      <c r="FQ6" s="161"/>
      <c r="FR6" s="161"/>
      <c r="FS6" s="161"/>
      <c r="FT6" s="160" t="str">
        <f>IF(RefKI3KI4!$B$45="","",RefKI3KI4!$B$45)</f>
        <v/>
      </c>
      <c r="FU6" s="161"/>
      <c r="FV6" s="161"/>
      <c r="FW6" s="161"/>
      <c r="FX6" s="161"/>
      <c r="FY6" s="161"/>
      <c r="FZ6" s="161"/>
      <c r="GA6" s="161"/>
      <c r="GB6" s="161"/>
      <c r="GC6" s="209"/>
      <c r="GD6" s="210"/>
      <c r="GE6" s="210"/>
      <c r="GF6" s="206"/>
      <c r="GG6" s="211">
        <v>1</v>
      </c>
      <c r="GH6" s="212"/>
      <c r="GI6" s="212"/>
      <c r="GJ6" s="213"/>
      <c r="GK6" s="211">
        <v>2</v>
      </c>
      <c r="GL6" s="212"/>
      <c r="GM6" s="212"/>
      <c r="GN6" s="213"/>
      <c r="GO6" s="211">
        <v>3</v>
      </c>
      <c r="GP6" s="212"/>
      <c r="GQ6" s="212"/>
      <c r="GR6" s="213"/>
      <c r="GS6" s="211">
        <v>4</v>
      </c>
      <c r="GT6" s="212"/>
      <c r="GU6" s="212"/>
      <c r="GV6" s="213"/>
      <c r="GW6" s="211">
        <v>5</v>
      </c>
      <c r="GX6" s="212"/>
      <c r="GY6" s="212"/>
      <c r="GZ6" s="213"/>
      <c r="HA6" s="211">
        <v>6</v>
      </c>
      <c r="HB6" s="212"/>
      <c r="HC6" s="212"/>
      <c r="HD6" s="213"/>
      <c r="HE6" s="211">
        <v>7</v>
      </c>
      <c r="HF6" s="212"/>
      <c r="HG6" s="212"/>
      <c r="HH6" s="213"/>
      <c r="HI6" s="211">
        <v>8</v>
      </c>
      <c r="HJ6" s="212"/>
      <c r="HK6" s="212"/>
      <c r="HL6" s="213"/>
      <c r="HM6" s="211">
        <v>9</v>
      </c>
      <c r="HN6" s="212"/>
      <c r="HO6" s="212"/>
      <c r="HP6" s="213"/>
      <c r="HQ6" s="211">
        <v>10</v>
      </c>
      <c r="HR6" s="212"/>
      <c r="HS6" s="212"/>
      <c r="HT6" s="213"/>
      <c r="HU6" s="211">
        <v>11</v>
      </c>
      <c r="HV6" s="212"/>
      <c r="HW6" s="212"/>
      <c r="HX6" s="213"/>
      <c r="HY6" s="211">
        <v>12</v>
      </c>
      <c r="HZ6" s="212"/>
      <c r="IA6" s="212"/>
      <c r="IB6" s="213"/>
      <c r="IC6" s="211">
        <v>13</v>
      </c>
      <c r="ID6" s="212"/>
      <c r="IE6" s="212"/>
      <c r="IF6" s="213"/>
      <c r="IG6" s="211">
        <v>14</v>
      </c>
      <c r="IH6" s="212"/>
      <c r="II6" s="212"/>
      <c r="IJ6" s="213"/>
      <c r="IK6" s="211">
        <v>15</v>
      </c>
      <c r="IL6" s="212"/>
      <c r="IM6" s="212"/>
      <c r="IN6" s="213"/>
      <c r="IO6" s="211">
        <v>16</v>
      </c>
      <c r="IP6" s="212"/>
      <c r="IQ6" s="212"/>
      <c r="IR6" s="213"/>
      <c r="IS6" s="211">
        <v>17</v>
      </c>
      <c r="IT6" s="212"/>
      <c r="IU6" s="212"/>
      <c r="IV6" s="213"/>
      <c r="IW6" s="211">
        <v>18</v>
      </c>
      <c r="IX6" s="212"/>
      <c r="IY6" s="212"/>
      <c r="IZ6" s="213"/>
      <c r="JA6" s="211">
        <v>19</v>
      </c>
      <c r="JB6" s="212"/>
      <c r="JC6" s="212"/>
      <c r="JD6" s="213"/>
      <c r="JE6" s="211">
        <v>20</v>
      </c>
      <c r="JF6" s="212"/>
      <c r="JG6" s="212"/>
      <c r="JH6" s="213"/>
      <c r="JJ6" s="227">
        <v>1</v>
      </c>
      <c r="JK6" s="227">
        <v>2</v>
      </c>
      <c r="JL6" s="227">
        <v>3</v>
      </c>
      <c r="JM6" s="227">
        <v>4</v>
      </c>
      <c r="JN6" s="227">
        <v>5</v>
      </c>
      <c r="JO6" s="227">
        <v>6</v>
      </c>
      <c r="JP6" s="227">
        <v>7</v>
      </c>
      <c r="JQ6" s="227">
        <v>8</v>
      </c>
      <c r="JR6" s="227">
        <v>9</v>
      </c>
      <c r="JS6" s="227">
        <v>10</v>
      </c>
      <c r="JT6" s="227">
        <v>11</v>
      </c>
      <c r="JU6" s="227">
        <v>12</v>
      </c>
      <c r="JV6" s="227">
        <v>13</v>
      </c>
      <c r="JW6" s="227">
        <v>14</v>
      </c>
      <c r="JX6" s="227">
        <v>15</v>
      </c>
      <c r="JY6" s="227">
        <v>16</v>
      </c>
      <c r="JZ6" s="227">
        <v>17</v>
      </c>
      <c r="KA6" s="227">
        <v>18</v>
      </c>
      <c r="KB6" s="227">
        <v>19</v>
      </c>
      <c r="KC6" s="227">
        <v>20</v>
      </c>
      <c r="KD6" s="227" t="s">
        <v>150</v>
      </c>
      <c r="KE6" s="227" t="s">
        <v>120</v>
      </c>
      <c r="KF6" s="227" t="s">
        <v>151</v>
      </c>
      <c r="KG6" s="134" t="s">
        <v>152</v>
      </c>
      <c r="KH6" s="227" t="s">
        <v>153</v>
      </c>
      <c r="KI6" s="134" t="s">
        <v>154</v>
      </c>
      <c r="KJ6" s="135" t="s">
        <v>155</v>
      </c>
      <c r="LD6" s="134" t="s">
        <v>156</v>
      </c>
      <c r="MA6" s="135" t="s">
        <v>157</v>
      </c>
      <c r="MU6" s="134" t="s">
        <v>156</v>
      </c>
    </row>
    <row r="7" ht="15.75" customHeight="1" spans="1:382">
      <c r="A7" s="136"/>
      <c r="B7" s="162"/>
      <c r="C7" s="163"/>
      <c r="D7" s="163"/>
      <c r="E7" s="164" t="s">
        <v>194</v>
      </c>
      <c r="F7" s="165"/>
      <c r="G7" s="166" t="s">
        <v>195</v>
      </c>
      <c r="H7" s="167"/>
      <c r="I7" s="164" t="s">
        <v>196</v>
      </c>
      <c r="J7" s="165"/>
      <c r="K7" s="164" t="s">
        <v>197</v>
      </c>
      <c r="L7" s="165"/>
      <c r="M7" s="192" t="s">
        <v>123</v>
      </c>
      <c r="N7" s="164" t="s">
        <v>194</v>
      </c>
      <c r="O7" s="165"/>
      <c r="P7" s="166" t="s">
        <v>195</v>
      </c>
      <c r="Q7" s="167"/>
      <c r="R7" s="164" t="s">
        <v>196</v>
      </c>
      <c r="S7" s="165"/>
      <c r="T7" s="164" t="s">
        <v>197</v>
      </c>
      <c r="U7" s="165"/>
      <c r="V7" s="192" t="s">
        <v>123</v>
      </c>
      <c r="W7" s="164" t="s">
        <v>194</v>
      </c>
      <c r="X7" s="165"/>
      <c r="Y7" s="166" t="s">
        <v>195</v>
      </c>
      <c r="Z7" s="167"/>
      <c r="AA7" s="164" t="s">
        <v>196</v>
      </c>
      <c r="AB7" s="165"/>
      <c r="AC7" s="164" t="s">
        <v>197</v>
      </c>
      <c r="AD7" s="165"/>
      <c r="AE7" s="192" t="s">
        <v>123</v>
      </c>
      <c r="AF7" s="164" t="s">
        <v>194</v>
      </c>
      <c r="AG7" s="165"/>
      <c r="AH7" s="166" t="s">
        <v>195</v>
      </c>
      <c r="AI7" s="167"/>
      <c r="AJ7" s="164" t="s">
        <v>196</v>
      </c>
      <c r="AK7" s="165"/>
      <c r="AL7" s="164" t="s">
        <v>197</v>
      </c>
      <c r="AM7" s="165"/>
      <c r="AN7" s="192" t="s">
        <v>123</v>
      </c>
      <c r="AO7" s="164" t="s">
        <v>194</v>
      </c>
      <c r="AP7" s="165"/>
      <c r="AQ7" s="166" t="s">
        <v>195</v>
      </c>
      <c r="AR7" s="167"/>
      <c r="AS7" s="164" t="s">
        <v>196</v>
      </c>
      <c r="AT7" s="165"/>
      <c r="AU7" s="164" t="s">
        <v>197</v>
      </c>
      <c r="AV7" s="165"/>
      <c r="AW7" s="192" t="s">
        <v>123</v>
      </c>
      <c r="AX7" s="164" t="s">
        <v>194</v>
      </c>
      <c r="AY7" s="165"/>
      <c r="AZ7" s="166" t="s">
        <v>195</v>
      </c>
      <c r="BA7" s="167"/>
      <c r="BB7" s="164" t="s">
        <v>196</v>
      </c>
      <c r="BC7" s="165"/>
      <c r="BD7" s="164" t="s">
        <v>197</v>
      </c>
      <c r="BE7" s="165"/>
      <c r="BF7" s="192" t="s">
        <v>123</v>
      </c>
      <c r="BG7" s="164" t="s">
        <v>194</v>
      </c>
      <c r="BH7" s="165"/>
      <c r="BI7" s="166" t="s">
        <v>195</v>
      </c>
      <c r="BJ7" s="167"/>
      <c r="BK7" s="164" t="s">
        <v>196</v>
      </c>
      <c r="BL7" s="165"/>
      <c r="BM7" s="164" t="s">
        <v>197</v>
      </c>
      <c r="BN7" s="165"/>
      <c r="BO7" s="192" t="s">
        <v>123</v>
      </c>
      <c r="BP7" s="164" t="s">
        <v>194</v>
      </c>
      <c r="BQ7" s="165"/>
      <c r="BR7" s="166" t="s">
        <v>195</v>
      </c>
      <c r="BS7" s="167"/>
      <c r="BT7" s="164" t="s">
        <v>196</v>
      </c>
      <c r="BU7" s="165"/>
      <c r="BV7" s="164" t="s">
        <v>197</v>
      </c>
      <c r="BW7" s="165"/>
      <c r="BX7" s="192" t="s">
        <v>123</v>
      </c>
      <c r="BY7" s="164" t="s">
        <v>194</v>
      </c>
      <c r="BZ7" s="165"/>
      <c r="CA7" s="166" t="s">
        <v>195</v>
      </c>
      <c r="CB7" s="167"/>
      <c r="CC7" s="164" t="s">
        <v>196</v>
      </c>
      <c r="CD7" s="165"/>
      <c r="CE7" s="164" t="s">
        <v>197</v>
      </c>
      <c r="CF7" s="165"/>
      <c r="CG7" s="192" t="s">
        <v>123</v>
      </c>
      <c r="CH7" s="164" t="s">
        <v>194</v>
      </c>
      <c r="CI7" s="165"/>
      <c r="CJ7" s="166" t="s">
        <v>195</v>
      </c>
      <c r="CK7" s="167"/>
      <c r="CL7" s="164" t="s">
        <v>196</v>
      </c>
      <c r="CM7" s="165"/>
      <c r="CN7" s="164" t="s">
        <v>197</v>
      </c>
      <c r="CO7" s="165"/>
      <c r="CP7" s="192" t="s">
        <v>123</v>
      </c>
      <c r="CQ7" s="164" t="s">
        <v>194</v>
      </c>
      <c r="CR7" s="165"/>
      <c r="CS7" s="166" t="s">
        <v>195</v>
      </c>
      <c r="CT7" s="167"/>
      <c r="CU7" s="164" t="s">
        <v>196</v>
      </c>
      <c r="CV7" s="165"/>
      <c r="CW7" s="164" t="s">
        <v>197</v>
      </c>
      <c r="CX7" s="165"/>
      <c r="CY7" s="192" t="s">
        <v>123</v>
      </c>
      <c r="CZ7" s="164" t="s">
        <v>194</v>
      </c>
      <c r="DA7" s="165"/>
      <c r="DB7" s="166" t="s">
        <v>195</v>
      </c>
      <c r="DC7" s="167"/>
      <c r="DD7" s="164" t="s">
        <v>196</v>
      </c>
      <c r="DE7" s="165"/>
      <c r="DF7" s="164" t="s">
        <v>197</v>
      </c>
      <c r="DG7" s="165"/>
      <c r="DH7" s="192" t="s">
        <v>123</v>
      </c>
      <c r="DI7" s="164" t="s">
        <v>194</v>
      </c>
      <c r="DJ7" s="165"/>
      <c r="DK7" s="166" t="s">
        <v>195</v>
      </c>
      <c r="DL7" s="167"/>
      <c r="DM7" s="164" t="s">
        <v>196</v>
      </c>
      <c r="DN7" s="165"/>
      <c r="DO7" s="164" t="s">
        <v>197</v>
      </c>
      <c r="DP7" s="165"/>
      <c r="DQ7" s="192" t="s">
        <v>123</v>
      </c>
      <c r="DR7" s="164" t="s">
        <v>194</v>
      </c>
      <c r="DS7" s="165"/>
      <c r="DT7" s="166" t="s">
        <v>195</v>
      </c>
      <c r="DU7" s="167"/>
      <c r="DV7" s="164" t="s">
        <v>196</v>
      </c>
      <c r="DW7" s="165"/>
      <c r="DX7" s="164" t="s">
        <v>197</v>
      </c>
      <c r="DY7" s="165"/>
      <c r="DZ7" s="192" t="s">
        <v>123</v>
      </c>
      <c r="EA7" s="164" t="s">
        <v>194</v>
      </c>
      <c r="EB7" s="165"/>
      <c r="EC7" s="166" t="s">
        <v>195</v>
      </c>
      <c r="ED7" s="167"/>
      <c r="EE7" s="164" t="s">
        <v>196</v>
      </c>
      <c r="EF7" s="165"/>
      <c r="EG7" s="164" t="s">
        <v>197</v>
      </c>
      <c r="EH7" s="165"/>
      <c r="EI7" s="192" t="s">
        <v>123</v>
      </c>
      <c r="EJ7" s="164" t="s">
        <v>194</v>
      </c>
      <c r="EK7" s="165"/>
      <c r="EL7" s="166" t="s">
        <v>195</v>
      </c>
      <c r="EM7" s="167"/>
      <c r="EN7" s="164" t="s">
        <v>196</v>
      </c>
      <c r="EO7" s="165"/>
      <c r="EP7" s="164" t="s">
        <v>197</v>
      </c>
      <c r="EQ7" s="165"/>
      <c r="ER7" s="192" t="s">
        <v>123</v>
      </c>
      <c r="ES7" s="164" t="s">
        <v>194</v>
      </c>
      <c r="ET7" s="165"/>
      <c r="EU7" s="166" t="s">
        <v>195</v>
      </c>
      <c r="EV7" s="167"/>
      <c r="EW7" s="164" t="s">
        <v>196</v>
      </c>
      <c r="EX7" s="165"/>
      <c r="EY7" s="164" t="s">
        <v>197</v>
      </c>
      <c r="EZ7" s="165"/>
      <c r="FA7" s="192" t="s">
        <v>123</v>
      </c>
      <c r="FB7" s="164" t="s">
        <v>194</v>
      </c>
      <c r="FC7" s="165"/>
      <c r="FD7" s="166" t="s">
        <v>195</v>
      </c>
      <c r="FE7" s="167"/>
      <c r="FF7" s="164" t="s">
        <v>196</v>
      </c>
      <c r="FG7" s="165"/>
      <c r="FH7" s="164" t="s">
        <v>197</v>
      </c>
      <c r="FI7" s="165"/>
      <c r="FJ7" s="192" t="s">
        <v>123</v>
      </c>
      <c r="FK7" s="164" t="s">
        <v>194</v>
      </c>
      <c r="FL7" s="165"/>
      <c r="FM7" s="166" t="s">
        <v>195</v>
      </c>
      <c r="FN7" s="167"/>
      <c r="FO7" s="164" t="s">
        <v>196</v>
      </c>
      <c r="FP7" s="165"/>
      <c r="FQ7" s="164" t="s">
        <v>197</v>
      </c>
      <c r="FR7" s="165"/>
      <c r="FS7" s="192" t="s">
        <v>123</v>
      </c>
      <c r="FT7" s="164" t="s">
        <v>194</v>
      </c>
      <c r="FU7" s="165"/>
      <c r="FV7" s="166" t="s">
        <v>195</v>
      </c>
      <c r="FW7" s="167"/>
      <c r="FX7" s="164" t="s">
        <v>196</v>
      </c>
      <c r="FY7" s="165"/>
      <c r="FZ7" s="164" t="s">
        <v>197</v>
      </c>
      <c r="GA7" s="165"/>
      <c r="GB7" s="195" t="s">
        <v>123</v>
      </c>
      <c r="GC7" s="209"/>
      <c r="GD7" s="210"/>
      <c r="GE7" s="210"/>
      <c r="GF7" s="206"/>
      <c r="GG7" s="214" t="s">
        <v>198</v>
      </c>
      <c r="GH7" s="215" t="s">
        <v>199</v>
      </c>
      <c r="GI7" s="216" t="s">
        <v>200</v>
      </c>
      <c r="GJ7" s="216" t="s">
        <v>201</v>
      </c>
      <c r="GK7" s="216" t="s">
        <v>198</v>
      </c>
      <c r="GL7" s="216" t="s">
        <v>199</v>
      </c>
      <c r="GM7" s="216" t="s">
        <v>200</v>
      </c>
      <c r="GN7" s="216" t="s">
        <v>201</v>
      </c>
      <c r="GO7" s="216" t="s">
        <v>198</v>
      </c>
      <c r="GP7" s="216" t="s">
        <v>199</v>
      </c>
      <c r="GQ7" s="216" t="s">
        <v>200</v>
      </c>
      <c r="GR7" s="216" t="s">
        <v>201</v>
      </c>
      <c r="GS7" s="216" t="s">
        <v>198</v>
      </c>
      <c r="GT7" s="216" t="s">
        <v>199</v>
      </c>
      <c r="GU7" s="216" t="s">
        <v>200</v>
      </c>
      <c r="GV7" s="216" t="s">
        <v>201</v>
      </c>
      <c r="GW7" s="216" t="s">
        <v>198</v>
      </c>
      <c r="GX7" s="216" t="s">
        <v>199</v>
      </c>
      <c r="GY7" s="216" t="s">
        <v>200</v>
      </c>
      <c r="GZ7" s="216" t="s">
        <v>201</v>
      </c>
      <c r="HA7" s="216" t="s">
        <v>198</v>
      </c>
      <c r="HB7" s="216" t="s">
        <v>199</v>
      </c>
      <c r="HC7" s="216" t="s">
        <v>200</v>
      </c>
      <c r="HD7" s="216" t="s">
        <v>201</v>
      </c>
      <c r="HE7" s="216" t="s">
        <v>198</v>
      </c>
      <c r="HF7" s="216" t="s">
        <v>199</v>
      </c>
      <c r="HG7" s="216" t="s">
        <v>200</v>
      </c>
      <c r="HH7" s="216" t="s">
        <v>201</v>
      </c>
      <c r="HI7" s="216" t="s">
        <v>198</v>
      </c>
      <c r="HJ7" s="216" t="s">
        <v>199</v>
      </c>
      <c r="HK7" s="216" t="s">
        <v>200</v>
      </c>
      <c r="HL7" s="216" t="s">
        <v>201</v>
      </c>
      <c r="HM7" s="216" t="s">
        <v>198</v>
      </c>
      <c r="HN7" s="216" t="s">
        <v>199</v>
      </c>
      <c r="HO7" s="216" t="s">
        <v>200</v>
      </c>
      <c r="HP7" s="216" t="s">
        <v>201</v>
      </c>
      <c r="HQ7" s="216" t="s">
        <v>198</v>
      </c>
      <c r="HR7" s="216" t="s">
        <v>199</v>
      </c>
      <c r="HS7" s="216" t="s">
        <v>200</v>
      </c>
      <c r="HT7" s="216" t="s">
        <v>201</v>
      </c>
      <c r="HU7" s="216" t="s">
        <v>198</v>
      </c>
      <c r="HV7" s="216" t="s">
        <v>199</v>
      </c>
      <c r="HW7" s="216" t="s">
        <v>200</v>
      </c>
      <c r="HX7" s="216" t="s">
        <v>201</v>
      </c>
      <c r="HY7" s="216" t="s">
        <v>198</v>
      </c>
      <c r="HZ7" s="216" t="s">
        <v>199</v>
      </c>
      <c r="IA7" s="216" t="s">
        <v>200</v>
      </c>
      <c r="IB7" s="216" t="s">
        <v>201</v>
      </c>
      <c r="IC7" s="216" t="s">
        <v>198</v>
      </c>
      <c r="ID7" s="216" t="s">
        <v>199</v>
      </c>
      <c r="IE7" s="216" t="s">
        <v>200</v>
      </c>
      <c r="IF7" s="216" t="s">
        <v>201</v>
      </c>
      <c r="IG7" s="216" t="s">
        <v>198</v>
      </c>
      <c r="IH7" s="216" t="s">
        <v>199</v>
      </c>
      <c r="II7" s="216" t="s">
        <v>200</v>
      </c>
      <c r="IJ7" s="216" t="s">
        <v>201</v>
      </c>
      <c r="IK7" s="216" t="s">
        <v>198</v>
      </c>
      <c r="IL7" s="216" t="s">
        <v>199</v>
      </c>
      <c r="IM7" s="216" t="s">
        <v>200</v>
      </c>
      <c r="IN7" s="216" t="s">
        <v>201</v>
      </c>
      <c r="IO7" s="216" t="s">
        <v>198</v>
      </c>
      <c r="IP7" s="216" t="s">
        <v>199</v>
      </c>
      <c r="IQ7" s="216" t="s">
        <v>200</v>
      </c>
      <c r="IR7" s="216" t="s">
        <v>201</v>
      </c>
      <c r="IS7" s="216" t="s">
        <v>198</v>
      </c>
      <c r="IT7" s="216" t="s">
        <v>199</v>
      </c>
      <c r="IU7" s="216" t="s">
        <v>200</v>
      </c>
      <c r="IV7" s="216" t="s">
        <v>201</v>
      </c>
      <c r="IW7" s="216" t="s">
        <v>198</v>
      </c>
      <c r="IX7" s="216" t="s">
        <v>199</v>
      </c>
      <c r="IY7" s="216" t="s">
        <v>200</v>
      </c>
      <c r="IZ7" s="216" t="s">
        <v>201</v>
      </c>
      <c r="JA7" s="216" t="s">
        <v>198</v>
      </c>
      <c r="JB7" s="216" t="s">
        <v>199</v>
      </c>
      <c r="JC7" s="216" t="s">
        <v>200</v>
      </c>
      <c r="JD7" s="216" t="s">
        <v>201</v>
      </c>
      <c r="JE7" s="216" t="s">
        <v>198</v>
      </c>
      <c r="JF7" s="216" t="s">
        <v>199</v>
      </c>
      <c r="JG7" s="216" t="s">
        <v>200</v>
      </c>
      <c r="JH7" s="216" t="s">
        <v>201</v>
      </c>
      <c r="JJ7" s="227"/>
      <c r="JK7" s="227"/>
      <c r="JL7" s="227"/>
      <c r="JM7" s="227"/>
      <c r="JN7" s="227"/>
      <c r="JO7" s="227"/>
      <c r="JP7" s="227"/>
      <c r="JQ7" s="227"/>
      <c r="JR7" s="227"/>
      <c r="JS7" s="227"/>
      <c r="JT7" s="227"/>
      <c r="JU7" s="227"/>
      <c r="JV7" s="227"/>
      <c r="JW7" s="227"/>
      <c r="JX7" s="227"/>
      <c r="JY7" s="227"/>
      <c r="JZ7" s="227"/>
      <c r="KA7" s="227"/>
      <c r="KB7" s="227"/>
      <c r="KC7" s="227"/>
      <c r="KD7" s="227"/>
      <c r="KE7" s="227"/>
      <c r="KF7" s="227"/>
      <c r="KH7" s="227"/>
      <c r="KJ7" s="230">
        <v>1</v>
      </c>
      <c r="KK7" s="230">
        <v>2</v>
      </c>
      <c r="KL7" s="230">
        <v>3</v>
      </c>
      <c r="KM7" s="230">
        <v>4</v>
      </c>
      <c r="KN7" s="230">
        <v>5</v>
      </c>
      <c r="KO7" s="230">
        <v>6</v>
      </c>
      <c r="KP7" s="230">
        <v>7</v>
      </c>
      <c r="KQ7" s="230">
        <v>8</v>
      </c>
      <c r="KR7" s="230">
        <v>9</v>
      </c>
      <c r="KS7" s="230">
        <v>10</v>
      </c>
      <c r="KT7" s="230">
        <v>11</v>
      </c>
      <c r="KU7" s="230">
        <v>12</v>
      </c>
      <c r="KV7" s="230">
        <v>13</v>
      </c>
      <c r="KW7" s="230">
        <v>14</v>
      </c>
      <c r="KX7" s="230">
        <v>15</v>
      </c>
      <c r="KY7" s="230">
        <v>16</v>
      </c>
      <c r="KZ7" s="230">
        <v>17</v>
      </c>
      <c r="LA7" s="230">
        <v>18</v>
      </c>
      <c r="LB7" s="230">
        <v>19</v>
      </c>
      <c r="LC7" s="230">
        <v>20</v>
      </c>
      <c r="LD7" s="230">
        <v>1</v>
      </c>
      <c r="LE7" s="230">
        <v>2</v>
      </c>
      <c r="LF7" s="230">
        <v>3</v>
      </c>
      <c r="LG7" s="230">
        <v>4</v>
      </c>
      <c r="LH7" s="230">
        <v>5</v>
      </c>
      <c r="LI7" s="230">
        <v>6</v>
      </c>
      <c r="LJ7" s="230">
        <v>7</v>
      </c>
      <c r="LK7" s="230">
        <v>8</v>
      </c>
      <c r="LL7" s="230">
        <v>9</v>
      </c>
      <c r="LM7" s="230">
        <v>10</v>
      </c>
      <c r="LN7" s="230">
        <v>11</v>
      </c>
      <c r="LO7" s="230">
        <v>12</v>
      </c>
      <c r="LP7" s="230">
        <v>13</v>
      </c>
      <c r="LQ7" s="230">
        <v>14</v>
      </c>
      <c r="LR7" s="230">
        <v>15</v>
      </c>
      <c r="LS7" s="230">
        <v>16</v>
      </c>
      <c r="LT7" s="230">
        <v>17</v>
      </c>
      <c r="LU7" s="230">
        <v>18</v>
      </c>
      <c r="LV7" s="230">
        <v>19</v>
      </c>
      <c r="LW7" s="230">
        <v>20</v>
      </c>
      <c r="LX7" s="236" t="s">
        <v>159</v>
      </c>
      <c r="LY7" s="236"/>
      <c r="LZ7" s="134" t="s">
        <v>160</v>
      </c>
      <c r="MA7" s="230">
        <v>1</v>
      </c>
      <c r="MB7" s="230">
        <v>2</v>
      </c>
      <c r="MC7" s="230">
        <v>3</v>
      </c>
      <c r="MD7" s="230">
        <v>4</v>
      </c>
      <c r="ME7" s="230">
        <v>5</v>
      </c>
      <c r="MF7" s="230">
        <v>6</v>
      </c>
      <c r="MG7" s="230">
        <v>7</v>
      </c>
      <c r="MH7" s="230">
        <v>8</v>
      </c>
      <c r="MI7" s="230">
        <v>9</v>
      </c>
      <c r="MJ7" s="230">
        <v>10</v>
      </c>
      <c r="MK7" s="230">
        <v>11</v>
      </c>
      <c r="ML7" s="230">
        <v>12</v>
      </c>
      <c r="MM7" s="230">
        <v>13</v>
      </c>
      <c r="MN7" s="230">
        <v>14</v>
      </c>
      <c r="MO7" s="230">
        <v>15</v>
      </c>
      <c r="MP7" s="230">
        <v>16</v>
      </c>
      <c r="MQ7" s="230">
        <v>17</v>
      </c>
      <c r="MR7" s="230">
        <v>18</v>
      </c>
      <c r="MS7" s="230">
        <v>19</v>
      </c>
      <c r="MT7" s="230">
        <v>20</v>
      </c>
      <c r="MU7" s="230">
        <v>1</v>
      </c>
      <c r="MV7" s="230">
        <v>2</v>
      </c>
      <c r="MW7" s="230">
        <v>3</v>
      </c>
      <c r="MX7" s="230">
        <v>4</v>
      </c>
      <c r="MY7" s="230">
        <v>5</v>
      </c>
      <c r="MZ7" s="230">
        <v>6</v>
      </c>
      <c r="NA7" s="230">
        <v>7</v>
      </c>
      <c r="NB7" s="230">
        <v>8</v>
      </c>
      <c r="NC7" s="230">
        <v>9</v>
      </c>
      <c r="ND7" s="230">
        <v>10</v>
      </c>
      <c r="NE7" s="230">
        <v>11</v>
      </c>
      <c r="NF7" s="230">
        <v>12</v>
      </c>
      <c r="NG7" s="230">
        <v>13</v>
      </c>
      <c r="NH7" s="230">
        <v>14</v>
      </c>
      <c r="NI7" s="230">
        <v>15</v>
      </c>
      <c r="NJ7" s="230">
        <v>16</v>
      </c>
      <c r="NK7" s="230">
        <v>17</v>
      </c>
      <c r="NL7" s="230">
        <v>18</v>
      </c>
      <c r="NM7" s="230">
        <v>19</v>
      </c>
      <c r="NN7" s="230">
        <v>20</v>
      </c>
      <c r="NO7" s="236" t="s">
        <v>161</v>
      </c>
      <c r="NP7" s="236"/>
      <c r="NQ7" s="134" t="s">
        <v>160</v>
      </c>
      <c r="NR7" s="134" t="s">
        <v>162</v>
      </c>
    </row>
    <row r="8" ht="16.5" spans="1:380">
      <c r="A8" s="136"/>
      <c r="B8" s="168"/>
      <c r="C8" s="169"/>
      <c r="D8" s="169"/>
      <c r="E8" s="170">
        <v>1</v>
      </c>
      <c r="F8" s="171">
        <v>2</v>
      </c>
      <c r="G8" s="171">
        <v>1</v>
      </c>
      <c r="H8" s="171">
        <v>2</v>
      </c>
      <c r="I8" s="171">
        <v>1</v>
      </c>
      <c r="J8" s="171">
        <v>2</v>
      </c>
      <c r="K8" s="171">
        <v>1</v>
      </c>
      <c r="L8" s="171">
        <v>2</v>
      </c>
      <c r="M8" s="193"/>
      <c r="N8" s="171">
        <v>1</v>
      </c>
      <c r="O8" s="171">
        <v>2</v>
      </c>
      <c r="P8" s="171">
        <v>1</v>
      </c>
      <c r="Q8" s="171">
        <v>2</v>
      </c>
      <c r="R8" s="171">
        <v>1</v>
      </c>
      <c r="S8" s="171">
        <v>2</v>
      </c>
      <c r="T8" s="171">
        <v>1</v>
      </c>
      <c r="U8" s="171">
        <v>2</v>
      </c>
      <c r="V8" s="193"/>
      <c r="W8" s="171">
        <v>1</v>
      </c>
      <c r="X8" s="171">
        <v>2</v>
      </c>
      <c r="Y8" s="171">
        <v>1</v>
      </c>
      <c r="Z8" s="171">
        <v>2</v>
      </c>
      <c r="AA8" s="171">
        <v>1</v>
      </c>
      <c r="AB8" s="171">
        <v>2</v>
      </c>
      <c r="AC8" s="171">
        <v>1</v>
      </c>
      <c r="AD8" s="171">
        <v>2</v>
      </c>
      <c r="AE8" s="193"/>
      <c r="AF8" s="171">
        <v>1</v>
      </c>
      <c r="AG8" s="171">
        <v>2</v>
      </c>
      <c r="AH8" s="171">
        <v>1</v>
      </c>
      <c r="AI8" s="171">
        <v>2</v>
      </c>
      <c r="AJ8" s="171">
        <v>1</v>
      </c>
      <c r="AK8" s="171">
        <v>2</v>
      </c>
      <c r="AL8" s="171">
        <v>1</v>
      </c>
      <c r="AM8" s="171">
        <v>2</v>
      </c>
      <c r="AN8" s="193"/>
      <c r="AO8" s="171">
        <v>1</v>
      </c>
      <c r="AP8" s="171">
        <v>2</v>
      </c>
      <c r="AQ8" s="171">
        <v>1</v>
      </c>
      <c r="AR8" s="171">
        <v>2</v>
      </c>
      <c r="AS8" s="171">
        <v>1</v>
      </c>
      <c r="AT8" s="171">
        <v>2</v>
      </c>
      <c r="AU8" s="171">
        <v>1</v>
      </c>
      <c r="AV8" s="171">
        <v>2</v>
      </c>
      <c r="AW8" s="193"/>
      <c r="AX8" s="171">
        <v>1</v>
      </c>
      <c r="AY8" s="171">
        <v>2</v>
      </c>
      <c r="AZ8" s="171">
        <v>1</v>
      </c>
      <c r="BA8" s="171">
        <v>2</v>
      </c>
      <c r="BB8" s="171">
        <v>1</v>
      </c>
      <c r="BC8" s="171">
        <v>2</v>
      </c>
      <c r="BD8" s="171">
        <v>1</v>
      </c>
      <c r="BE8" s="171">
        <v>2</v>
      </c>
      <c r="BF8" s="193"/>
      <c r="BG8" s="171">
        <v>1</v>
      </c>
      <c r="BH8" s="171">
        <v>2</v>
      </c>
      <c r="BI8" s="171">
        <v>1</v>
      </c>
      <c r="BJ8" s="171">
        <v>2</v>
      </c>
      <c r="BK8" s="171">
        <v>1</v>
      </c>
      <c r="BL8" s="171">
        <v>2</v>
      </c>
      <c r="BM8" s="171">
        <v>1</v>
      </c>
      <c r="BN8" s="171">
        <v>2</v>
      </c>
      <c r="BO8" s="193"/>
      <c r="BP8" s="171">
        <v>1</v>
      </c>
      <c r="BQ8" s="171">
        <v>2</v>
      </c>
      <c r="BR8" s="171">
        <v>1</v>
      </c>
      <c r="BS8" s="171">
        <v>2</v>
      </c>
      <c r="BT8" s="171">
        <v>1</v>
      </c>
      <c r="BU8" s="171">
        <v>2</v>
      </c>
      <c r="BV8" s="171">
        <v>1</v>
      </c>
      <c r="BW8" s="171">
        <v>2</v>
      </c>
      <c r="BX8" s="193"/>
      <c r="BY8" s="171">
        <v>1</v>
      </c>
      <c r="BZ8" s="171">
        <v>2</v>
      </c>
      <c r="CA8" s="171">
        <v>1</v>
      </c>
      <c r="CB8" s="171">
        <v>2</v>
      </c>
      <c r="CC8" s="171">
        <v>1</v>
      </c>
      <c r="CD8" s="171">
        <v>2</v>
      </c>
      <c r="CE8" s="171">
        <v>1</v>
      </c>
      <c r="CF8" s="171">
        <v>2</v>
      </c>
      <c r="CG8" s="193"/>
      <c r="CH8" s="171">
        <v>1</v>
      </c>
      <c r="CI8" s="171">
        <v>2</v>
      </c>
      <c r="CJ8" s="171">
        <v>1</v>
      </c>
      <c r="CK8" s="171">
        <v>2</v>
      </c>
      <c r="CL8" s="171">
        <v>1</v>
      </c>
      <c r="CM8" s="171">
        <v>2</v>
      </c>
      <c r="CN8" s="171">
        <v>1</v>
      </c>
      <c r="CO8" s="171">
        <v>2</v>
      </c>
      <c r="CP8" s="193"/>
      <c r="CQ8" s="171">
        <v>1</v>
      </c>
      <c r="CR8" s="171">
        <v>2</v>
      </c>
      <c r="CS8" s="171">
        <v>1</v>
      </c>
      <c r="CT8" s="171">
        <v>2</v>
      </c>
      <c r="CU8" s="171">
        <v>1</v>
      </c>
      <c r="CV8" s="171">
        <v>2</v>
      </c>
      <c r="CW8" s="171">
        <v>1</v>
      </c>
      <c r="CX8" s="171">
        <v>2</v>
      </c>
      <c r="CY8" s="193"/>
      <c r="CZ8" s="171">
        <v>1</v>
      </c>
      <c r="DA8" s="171">
        <v>2</v>
      </c>
      <c r="DB8" s="171">
        <v>1</v>
      </c>
      <c r="DC8" s="171">
        <v>2</v>
      </c>
      <c r="DD8" s="171">
        <v>1</v>
      </c>
      <c r="DE8" s="171">
        <v>2</v>
      </c>
      <c r="DF8" s="171">
        <v>1</v>
      </c>
      <c r="DG8" s="171">
        <v>2</v>
      </c>
      <c r="DH8" s="193"/>
      <c r="DI8" s="171">
        <v>1</v>
      </c>
      <c r="DJ8" s="171">
        <v>2</v>
      </c>
      <c r="DK8" s="171">
        <v>1</v>
      </c>
      <c r="DL8" s="171">
        <v>2</v>
      </c>
      <c r="DM8" s="171">
        <v>1</v>
      </c>
      <c r="DN8" s="171">
        <v>2</v>
      </c>
      <c r="DO8" s="171">
        <v>1</v>
      </c>
      <c r="DP8" s="171">
        <v>2</v>
      </c>
      <c r="DQ8" s="193"/>
      <c r="DR8" s="171">
        <v>1</v>
      </c>
      <c r="DS8" s="171">
        <v>2</v>
      </c>
      <c r="DT8" s="171">
        <v>1</v>
      </c>
      <c r="DU8" s="171">
        <v>2</v>
      </c>
      <c r="DV8" s="171">
        <v>1</v>
      </c>
      <c r="DW8" s="171">
        <v>2</v>
      </c>
      <c r="DX8" s="171">
        <v>1</v>
      </c>
      <c r="DY8" s="171">
        <v>2</v>
      </c>
      <c r="DZ8" s="193"/>
      <c r="EA8" s="171">
        <v>1</v>
      </c>
      <c r="EB8" s="171">
        <v>2</v>
      </c>
      <c r="EC8" s="171">
        <v>1</v>
      </c>
      <c r="ED8" s="171">
        <v>2</v>
      </c>
      <c r="EE8" s="171">
        <v>1</v>
      </c>
      <c r="EF8" s="171">
        <v>2</v>
      </c>
      <c r="EG8" s="171">
        <v>1</v>
      </c>
      <c r="EH8" s="171">
        <v>2</v>
      </c>
      <c r="EI8" s="193"/>
      <c r="EJ8" s="171">
        <v>1</v>
      </c>
      <c r="EK8" s="171">
        <v>2</v>
      </c>
      <c r="EL8" s="171">
        <v>1</v>
      </c>
      <c r="EM8" s="171">
        <v>2</v>
      </c>
      <c r="EN8" s="171">
        <v>1</v>
      </c>
      <c r="EO8" s="171">
        <v>2</v>
      </c>
      <c r="EP8" s="171">
        <v>1</v>
      </c>
      <c r="EQ8" s="171">
        <v>2</v>
      </c>
      <c r="ER8" s="193"/>
      <c r="ES8" s="171">
        <v>1</v>
      </c>
      <c r="ET8" s="171">
        <v>2</v>
      </c>
      <c r="EU8" s="171">
        <v>1</v>
      </c>
      <c r="EV8" s="171">
        <v>2</v>
      </c>
      <c r="EW8" s="171">
        <v>1</v>
      </c>
      <c r="EX8" s="171">
        <v>2</v>
      </c>
      <c r="EY8" s="171">
        <v>1</v>
      </c>
      <c r="EZ8" s="171">
        <v>2</v>
      </c>
      <c r="FA8" s="193"/>
      <c r="FB8" s="171">
        <v>1</v>
      </c>
      <c r="FC8" s="171">
        <v>2</v>
      </c>
      <c r="FD8" s="171">
        <v>1</v>
      </c>
      <c r="FE8" s="171">
        <v>2</v>
      </c>
      <c r="FF8" s="171">
        <v>1</v>
      </c>
      <c r="FG8" s="171">
        <v>2</v>
      </c>
      <c r="FH8" s="171">
        <v>1</v>
      </c>
      <c r="FI8" s="171">
        <v>2</v>
      </c>
      <c r="FJ8" s="193"/>
      <c r="FK8" s="171">
        <v>1</v>
      </c>
      <c r="FL8" s="171">
        <v>2</v>
      </c>
      <c r="FM8" s="171">
        <v>1</v>
      </c>
      <c r="FN8" s="171">
        <v>2</v>
      </c>
      <c r="FO8" s="171">
        <v>1</v>
      </c>
      <c r="FP8" s="171">
        <v>2</v>
      </c>
      <c r="FQ8" s="171">
        <v>1</v>
      </c>
      <c r="FR8" s="171">
        <v>2</v>
      </c>
      <c r="FS8" s="193"/>
      <c r="FT8" s="171">
        <v>1</v>
      </c>
      <c r="FU8" s="171">
        <v>2</v>
      </c>
      <c r="FV8" s="171">
        <v>1</v>
      </c>
      <c r="FW8" s="171">
        <v>2</v>
      </c>
      <c r="FX8" s="171">
        <v>1</v>
      </c>
      <c r="FY8" s="171">
        <v>2</v>
      </c>
      <c r="FZ8" s="171">
        <v>1</v>
      </c>
      <c r="GA8" s="171">
        <v>2</v>
      </c>
      <c r="GB8" s="196"/>
      <c r="GC8" s="217"/>
      <c r="GD8" s="218"/>
      <c r="GE8" s="218"/>
      <c r="GF8" s="206"/>
      <c r="GG8" s="219"/>
      <c r="GH8" s="220"/>
      <c r="GI8" s="221"/>
      <c r="GJ8" s="221"/>
      <c r="GK8" s="221"/>
      <c r="GL8" s="221"/>
      <c r="GM8" s="221"/>
      <c r="GN8" s="221"/>
      <c r="GO8" s="221"/>
      <c r="GP8" s="221"/>
      <c r="GQ8" s="221"/>
      <c r="GR8" s="221"/>
      <c r="GS8" s="221"/>
      <c r="GT8" s="221"/>
      <c r="GU8" s="221"/>
      <c r="GV8" s="221"/>
      <c r="GW8" s="221"/>
      <c r="GX8" s="221"/>
      <c r="GY8" s="221"/>
      <c r="GZ8" s="221"/>
      <c r="HA8" s="221"/>
      <c r="HB8" s="221"/>
      <c r="HC8" s="221"/>
      <c r="HD8" s="221"/>
      <c r="HE8" s="221"/>
      <c r="HF8" s="221"/>
      <c r="HG8" s="221"/>
      <c r="HH8" s="221"/>
      <c r="HI8" s="221"/>
      <c r="HJ8" s="221"/>
      <c r="HK8" s="221"/>
      <c r="HL8" s="221"/>
      <c r="HM8" s="221"/>
      <c r="HN8" s="221"/>
      <c r="HO8" s="221"/>
      <c r="HP8" s="221"/>
      <c r="HQ8" s="221"/>
      <c r="HR8" s="221"/>
      <c r="HS8" s="221"/>
      <c r="HT8" s="221"/>
      <c r="HU8" s="221"/>
      <c r="HV8" s="221"/>
      <c r="HW8" s="221"/>
      <c r="HX8" s="221"/>
      <c r="HY8" s="221"/>
      <c r="HZ8" s="221"/>
      <c r="IA8" s="221"/>
      <c r="IB8" s="221"/>
      <c r="IC8" s="221"/>
      <c r="ID8" s="221"/>
      <c r="IE8" s="221"/>
      <c r="IF8" s="221"/>
      <c r="IG8" s="221"/>
      <c r="IH8" s="221"/>
      <c r="II8" s="221"/>
      <c r="IJ8" s="221"/>
      <c r="IK8" s="221"/>
      <c r="IL8" s="221"/>
      <c r="IM8" s="221"/>
      <c r="IN8" s="221"/>
      <c r="IO8" s="221"/>
      <c r="IP8" s="221"/>
      <c r="IQ8" s="221"/>
      <c r="IR8" s="221"/>
      <c r="IS8" s="221"/>
      <c r="IT8" s="221"/>
      <c r="IU8" s="221"/>
      <c r="IV8" s="221"/>
      <c r="IW8" s="221"/>
      <c r="IX8" s="221"/>
      <c r="IY8" s="221"/>
      <c r="IZ8" s="221"/>
      <c r="JA8" s="221"/>
      <c r="JB8" s="221"/>
      <c r="JC8" s="221"/>
      <c r="JD8" s="221"/>
      <c r="JE8" s="221"/>
      <c r="JF8" s="221"/>
      <c r="JG8" s="221"/>
      <c r="JH8" s="221"/>
      <c r="JJ8" s="134" t="str">
        <f>E6</f>
        <v>memilih jenis, bahan dan teknik pengolahan kerang, kaca, keramik dan botol plastik sesuai dengan potensi daerah setempat</v>
      </c>
      <c r="JK8" s="134" t="str">
        <f>N6</f>
        <v>perancangan pembuatan dan penyajian kerajinan kerang, kaca, keramik dan botol plastik yang kreatif dan inovatif</v>
      </c>
      <c r="JL8" s="134" t="str">
        <f>W6</f>
        <v/>
      </c>
      <c r="JM8" s="134" t="str">
        <f>AF6</f>
        <v/>
      </c>
      <c r="JN8" s="134" t="str">
        <f>AO6</f>
        <v/>
      </c>
      <c r="JO8" s="134" t="str">
        <f>AX6</f>
        <v/>
      </c>
      <c r="JP8" s="134" t="str">
        <f>BG6</f>
        <v/>
      </c>
      <c r="JQ8" s="134" t="str">
        <f>BP6</f>
        <v/>
      </c>
      <c r="JR8" s="134" t="str">
        <f>BY6</f>
        <v/>
      </c>
      <c r="JS8" s="134" t="str">
        <f>CH6</f>
        <v/>
      </c>
      <c r="JT8" s="134" t="str">
        <f>CQ6</f>
        <v/>
      </c>
      <c r="JU8" s="134" t="str">
        <f>CZ6</f>
        <v/>
      </c>
      <c r="JV8" s="134" t="str">
        <f>DI6</f>
        <v/>
      </c>
      <c r="JW8" s="134" t="str">
        <f>DR6</f>
        <v/>
      </c>
      <c r="JX8" s="134" t="str">
        <f>EA6</f>
        <v/>
      </c>
      <c r="JY8" s="134" t="str">
        <f>EJ6</f>
        <v/>
      </c>
      <c r="JZ8" s="134" t="str">
        <f>ES6</f>
        <v/>
      </c>
      <c r="KA8" s="134" t="str">
        <f>FB6</f>
        <v/>
      </c>
      <c r="KB8" s="134" t="str">
        <f>FK6</f>
        <v/>
      </c>
      <c r="KC8" s="134" t="str">
        <f>FT6</f>
        <v/>
      </c>
      <c r="KJ8" s="135" t="str">
        <f>JJ8</f>
        <v>memilih jenis, bahan dan teknik pengolahan kerang, kaca, keramik dan botol plastik sesuai dengan potensi daerah setempat</v>
      </c>
      <c r="KK8" s="135" t="str">
        <f t="shared" ref="KK8:LC8" si="0">JK8</f>
        <v>perancangan pembuatan dan penyajian kerajinan kerang, kaca, keramik dan botol plastik yang kreatif dan inovatif</v>
      </c>
      <c r="KL8" s="135" t="str">
        <f t="shared" si="0"/>
        <v/>
      </c>
      <c r="KM8" s="135" t="str">
        <f t="shared" si="0"/>
        <v/>
      </c>
      <c r="KN8" s="135" t="str">
        <f t="shared" si="0"/>
        <v/>
      </c>
      <c r="KO8" s="135" t="str">
        <f t="shared" si="0"/>
        <v/>
      </c>
      <c r="KP8" s="135" t="str">
        <f t="shared" si="0"/>
        <v/>
      </c>
      <c r="KQ8" s="135" t="str">
        <f t="shared" si="0"/>
        <v/>
      </c>
      <c r="KR8" s="135" t="str">
        <f t="shared" si="0"/>
        <v/>
      </c>
      <c r="KS8" s="135" t="str">
        <f t="shared" si="0"/>
        <v/>
      </c>
      <c r="KT8" s="135" t="str">
        <f t="shared" si="0"/>
        <v/>
      </c>
      <c r="KU8" s="135" t="str">
        <f t="shared" si="0"/>
        <v/>
      </c>
      <c r="KV8" s="135" t="str">
        <f t="shared" si="0"/>
        <v/>
      </c>
      <c r="KW8" s="135" t="str">
        <f t="shared" si="0"/>
        <v/>
      </c>
      <c r="KX8" s="135" t="str">
        <f t="shared" si="0"/>
        <v/>
      </c>
      <c r="KY8" s="135" t="str">
        <f t="shared" si="0"/>
        <v/>
      </c>
      <c r="KZ8" s="135" t="str">
        <f t="shared" si="0"/>
        <v/>
      </c>
      <c r="LA8" s="135" t="str">
        <f t="shared" si="0"/>
        <v/>
      </c>
      <c r="LB8" s="135" t="str">
        <f t="shared" si="0"/>
        <v/>
      </c>
      <c r="LC8" s="135" t="str">
        <f t="shared" si="0"/>
        <v/>
      </c>
      <c r="LX8" s="236" t="s">
        <v>187</v>
      </c>
      <c r="LY8" s="236" t="s">
        <v>188</v>
      </c>
      <c r="MA8" s="135" t="str">
        <f>KJ8</f>
        <v>memilih jenis, bahan dan teknik pengolahan kerang, kaca, keramik dan botol plastik sesuai dengan potensi daerah setempat</v>
      </c>
      <c r="MB8" s="135" t="str">
        <f t="shared" ref="MB8:MT8" si="1">KK8</f>
        <v>perancangan pembuatan dan penyajian kerajinan kerang, kaca, keramik dan botol plastik yang kreatif dan inovatif</v>
      </c>
      <c r="MC8" s="135" t="str">
        <f t="shared" si="1"/>
        <v/>
      </c>
      <c r="MD8" s="135" t="str">
        <f t="shared" si="1"/>
        <v/>
      </c>
      <c r="ME8" s="135" t="str">
        <f t="shared" si="1"/>
        <v/>
      </c>
      <c r="MF8" s="135" t="str">
        <f t="shared" si="1"/>
        <v/>
      </c>
      <c r="MG8" s="135" t="str">
        <f t="shared" si="1"/>
        <v/>
      </c>
      <c r="MH8" s="135" t="str">
        <f t="shared" si="1"/>
        <v/>
      </c>
      <c r="MI8" s="135" t="str">
        <f t="shared" si="1"/>
        <v/>
      </c>
      <c r="MJ8" s="135" t="str">
        <f t="shared" si="1"/>
        <v/>
      </c>
      <c r="MK8" s="135" t="str">
        <f t="shared" si="1"/>
        <v/>
      </c>
      <c r="ML8" s="135" t="str">
        <f t="shared" si="1"/>
        <v/>
      </c>
      <c r="MM8" s="135" t="str">
        <f t="shared" si="1"/>
        <v/>
      </c>
      <c r="MN8" s="135" t="str">
        <f t="shared" si="1"/>
        <v/>
      </c>
      <c r="MO8" s="135" t="str">
        <f t="shared" si="1"/>
        <v/>
      </c>
      <c r="MP8" s="135" t="str">
        <f t="shared" si="1"/>
        <v/>
      </c>
      <c r="MQ8" s="135" t="str">
        <f t="shared" si="1"/>
        <v/>
      </c>
      <c r="MR8" s="135" t="str">
        <f t="shared" si="1"/>
        <v/>
      </c>
      <c r="MS8" s="135" t="str">
        <f t="shared" si="1"/>
        <v/>
      </c>
      <c r="MT8" s="135" t="str">
        <f t="shared" si="1"/>
        <v/>
      </c>
      <c r="NO8" s="236" t="s">
        <v>187</v>
      </c>
      <c r="NP8" s="236" t="s">
        <v>188</v>
      </c>
    </row>
    <row r="9" ht="27.6" customHeight="1" spans="1:382">
      <c r="A9" s="136"/>
      <c r="B9" s="172">
        <v>1</v>
      </c>
      <c r="C9" s="173" t="str">
        <f>siswa!C5</f>
        <v>ADELIA SELVIA</v>
      </c>
      <c r="D9" s="174">
        <f>siswa!D5</f>
        <v>2708</v>
      </c>
      <c r="E9" s="175"/>
      <c r="F9" s="176"/>
      <c r="G9" s="176"/>
      <c r="H9" s="176"/>
      <c r="I9" s="176"/>
      <c r="J9" s="176"/>
      <c r="K9" s="176"/>
      <c r="L9" s="176"/>
      <c r="M9" s="194" t="str">
        <f t="shared" ref="M9:M40" si="2">IFERROR(IF($E$6="","",SUM(GG9:GJ9)/(4-COUNTIF(GG9:GJ9,0))),"")</f>
        <v/>
      </c>
      <c r="N9" s="176"/>
      <c r="O9" s="176"/>
      <c r="P9" s="175"/>
      <c r="Q9" s="176"/>
      <c r="R9" s="176"/>
      <c r="S9" s="176"/>
      <c r="T9" s="176"/>
      <c r="U9" s="176"/>
      <c r="V9" s="194" t="str">
        <f t="shared" ref="V9:V40" si="3">IFERROR(IF($N$6="","",SUM(GK9:GN9)/(4-COUNTIF(GK9:GN9,0))),"")</f>
        <v/>
      </c>
      <c r="W9" s="176"/>
      <c r="X9" s="176"/>
      <c r="Y9" s="176"/>
      <c r="Z9" s="176"/>
      <c r="AA9" s="176"/>
      <c r="AB9" s="176"/>
      <c r="AC9" s="176"/>
      <c r="AD9" s="176"/>
      <c r="AE9" s="194" t="str">
        <f t="shared" ref="AE9:AE40" si="4">IFERROR(IF($W$6="","",SUM(GO9:GR9)/(4-COUNTIF(GO9:GR9,0))),"")</f>
        <v/>
      </c>
      <c r="AF9" s="176"/>
      <c r="AG9" s="176"/>
      <c r="AH9" s="176"/>
      <c r="AI9" s="176"/>
      <c r="AJ9" s="176"/>
      <c r="AK9" s="176"/>
      <c r="AL9" s="176"/>
      <c r="AM9" s="176"/>
      <c r="AN9" s="194" t="str">
        <f t="shared" ref="AN9:AN40" si="5">IFERROR(IF($AF$6="","",SUM(GS9:GV9)/(4-COUNTIF(GS9:GV9,0))),"")</f>
        <v/>
      </c>
      <c r="AO9" s="176"/>
      <c r="AP9" s="176"/>
      <c r="AQ9" s="176"/>
      <c r="AR9" s="176"/>
      <c r="AS9" s="176"/>
      <c r="AT9" s="176"/>
      <c r="AU9" s="176"/>
      <c r="AV9" s="176"/>
      <c r="AW9" s="194" t="str">
        <f>IFERROR(IF($AO$6="","",SUM(GW9:GZ9)/(4-COUNTIF(GW9:GZ9,0))),"")</f>
        <v/>
      </c>
      <c r="AX9" s="176"/>
      <c r="AY9" s="176"/>
      <c r="AZ9" s="176"/>
      <c r="BA9" s="176"/>
      <c r="BB9" s="176"/>
      <c r="BC9" s="176"/>
      <c r="BD9" s="176"/>
      <c r="BE9" s="176"/>
      <c r="BF9" s="194" t="str">
        <f t="shared" ref="BF9:BF40" si="6">IFERROR(IF($AX$6="","",SUM(HA9:HD9)/(4-COUNTIF(HA9:HD9,0))),"")</f>
        <v/>
      </c>
      <c r="BG9" s="176"/>
      <c r="BH9" s="176"/>
      <c r="BI9" s="176"/>
      <c r="BJ9" s="176"/>
      <c r="BK9" s="176"/>
      <c r="BL9" s="176"/>
      <c r="BM9" s="176"/>
      <c r="BN9" s="176"/>
      <c r="BO9" s="194" t="str">
        <f>IFERROR(IF($BG$6="","",SUM(HE9:HH9)/(4-COUNTIF(HE9:HH9,0))),"")</f>
        <v/>
      </c>
      <c r="BP9" s="176"/>
      <c r="BQ9" s="176"/>
      <c r="BR9" s="176"/>
      <c r="BS9" s="176"/>
      <c r="BT9" s="176"/>
      <c r="BU9" s="176"/>
      <c r="BV9" s="176"/>
      <c r="BW9" s="176"/>
      <c r="BX9" s="194" t="str">
        <f>IFERROR(IF($BP$6="","",SUM(HI9:HL9)/(4-COUNTIF(HI9:HL9,0))),"")</f>
        <v/>
      </c>
      <c r="BY9" s="176"/>
      <c r="BZ9" s="176"/>
      <c r="CA9" s="176"/>
      <c r="CB9" s="176"/>
      <c r="CC9" s="176"/>
      <c r="CD9" s="176"/>
      <c r="CE9" s="176"/>
      <c r="CF9" s="176"/>
      <c r="CG9" s="194" t="str">
        <f>IFERROR(IF($BY$6="","",SUM(HM9:HP9)/(4-COUNTIF(HM9:HP9,0))),"")</f>
        <v/>
      </c>
      <c r="CH9" s="176"/>
      <c r="CI9" s="176"/>
      <c r="CJ9" s="176"/>
      <c r="CK9" s="176"/>
      <c r="CL9" s="176"/>
      <c r="CM9" s="176"/>
      <c r="CN9" s="176"/>
      <c r="CO9" s="176"/>
      <c r="CP9" s="194" t="str">
        <f t="shared" ref="CP9:CP40" si="7">IFERROR(IF($CH$6="","",SUM(HQ9:HT9)/(4-COUNTIF(HQ9:HT9,0))),"")</f>
        <v/>
      </c>
      <c r="CQ9" s="176"/>
      <c r="CR9" s="176"/>
      <c r="CS9" s="176"/>
      <c r="CT9" s="176"/>
      <c r="CU9" s="176"/>
      <c r="CV9" s="176"/>
      <c r="CW9" s="176"/>
      <c r="CX9" s="176"/>
      <c r="CY9" s="194" t="str">
        <f>IFERROR(IF($CQ$6="","",SUM(HU9:HX9)/(4-COUNTIF(HU9:HX9,0))),"")</f>
        <v/>
      </c>
      <c r="CZ9" s="176"/>
      <c r="DA9" s="176"/>
      <c r="DB9" s="176"/>
      <c r="DC9" s="176"/>
      <c r="DD9" s="176"/>
      <c r="DE9" s="176"/>
      <c r="DF9" s="176"/>
      <c r="DG9" s="176"/>
      <c r="DH9" s="194" t="str">
        <f t="shared" ref="DH9:DH40" si="8">IFERROR(IF($CZ$6="","",SUM(HY9:IB9)/(4-COUNTIF(HY9:IB9,0))),"")</f>
        <v/>
      </c>
      <c r="DI9" s="176"/>
      <c r="DJ9" s="176"/>
      <c r="DK9" s="176"/>
      <c r="DL9" s="176"/>
      <c r="DM9" s="176"/>
      <c r="DN9" s="176"/>
      <c r="DO9" s="176"/>
      <c r="DP9" s="176"/>
      <c r="DQ9" s="194" t="str">
        <f>IFERROR(IF($DI$6="","",SUM(IC9:IF9)/(4-COUNTIF(IC9:IF9,0))),"")</f>
        <v/>
      </c>
      <c r="DR9" s="176"/>
      <c r="DS9" s="176"/>
      <c r="DT9" s="176"/>
      <c r="DU9" s="176"/>
      <c r="DV9" s="176"/>
      <c r="DW9" s="176"/>
      <c r="DX9" s="176"/>
      <c r="DY9" s="176"/>
      <c r="DZ9" s="194" t="str">
        <f t="shared" ref="DZ9:DZ40" si="9">IFERROR(IF($DR$6="","",SUM(IG9:IJ9)/(4-COUNTIF(IG9:IJ9,0))),"")</f>
        <v/>
      </c>
      <c r="EA9" s="176"/>
      <c r="EB9" s="176"/>
      <c r="EC9" s="176"/>
      <c r="ED9" s="176"/>
      <c r="EE9" s="176"/>
      <c r="EF9" s="176"/>
      <c r="EG9" s="176"/>
      <c r="EH9" s="176"/>
      <c r="EI9" s="194" t="str">
        <f t="shared" ref="EI9:EI40" si="10">IFERROR(IF($EA$6="","",SUM(IK9:IN9)/(4-COUNTIF(IK9:IN9,0))),"")</f>
        <v/>
      </c>
      <c r="EJ9" s="176"/>
      <c r="EK9" s="176"/>
      <c r="EL9" s="176"/>
      <c r="EM9" s="176"/>
      <c r="EN9" s="176"/>
      <c r="EO9" s="176"/>
      <c r="EP9" s="176"/>
      <c r="EQ9" s="176"/>
      <c r="ER9" s="194" t="str">
        <f t="shared" ref="ER9:ER40" si="11">IFERROR(IF($EJ$6="","",SUM(IO9:IR9)/(4-COUNTIF(IO9:IR9,0))),"")</f>
        <v/>
      </c>
      <c r="ES9" s="176"/>
      <c r="ET9" s="176"/>
      <c r="EU9" s="176"/>
      <c r="EV9" s="176"/>
      <c r="EW9" s="176"/>
      <c r="EX9" s="176"/>
      <c r="EY9" s="176"/>
      <c r="EZ9" s="176"/>
      <c r="FA9" s="194" t="str">
        <f t="shared" ref="FA9:FA40" si="12">IFERROR(IF($ES$6="","",SUM(IS9:IV9)/(4-COUNTIF(IS9:IV9,0))),"")</f>
        <v/>
      </c>
      <c r="FB9" s="176"/>
      <c r="FC9" s="176"/>
      <c r="FD9" s="176"/>
      <c r="FE9" s="176"/>
      <c r="FF9" s="176"/>
      <c r="FG9" s="176"/>
      <c r="FH9" s="176"/>
      <c r="FI9" s="176"/>
      <c r="FJ9" s="194" t="str">
        <f t="shared" ref="FJ9:FJ40" si="13">IFERROR(IF($FB$6="","",SUM(IW9:IZ9)/(4-COUNTIF(IW9:IZ9,0))),"")</f>
        <v/>
      </c>
      <c r="FK9" s="176"/>
      <c r="FL9" s="176"/>
      <c r="FM9" s="176"/>
      <c r="FN9" s="176"/>
      <c r="FO9" s="176"/>
      <c r="FP9" s="176"/>
      <c r="FQ9" s="176"/>
      <c r="FR9" s="176"/>
      <c r="FS9" s="194" t="str">
        <f t="shared" ref="FS9:FS40" si="14">IFERROR(IF($FK$6="","",SUM(JA9:JD9)/(4-COUNTIF(JA9:JD9,0))),"")</f>
        <v/>
      </c>
      <c r="FT9" s="176"/>
      <c r="FU9" s="176"/>
      <c r="FV9" s="176"/>
      <c r="FW9" s="176"/>
      <c r="FX9" s="176"/>
      <c r="FY9" s="176"/>
      <c r="FZ9" s="176"/>
      <c r="GA9" s="176"/>
      <c r="GB9" s="194" t="str">
        <f>IFERROR(IF($FT$6="","",SUM(JE9:JH9)/(4-COUNTIF(JE9:JH9,0))),"")</f>
        <v/>
      </c>
      <c r="GC9" s="194" t="str">
        <f>IFERROR(ROUND(SUM(GG9:JH9)/(80-COUNTIF(GG9:JH9,0)),0),"")</f>
        <v/>
      </c>
      <c r="GD9" s="194" t="str">
        <f>IF(GC9="","",IF(GC9&gt;=KONVERSI!$A$5,KONVERSI!$D$5,IF(GC9&gt;=KONVERSI!$A$6,KONVERSI!$D$6,IF(GC9&gt;=KONVERSI!$A$7,KONVERSI!$D$7,KONVERSI!$D$8))))</f>
        <v/>
      </c>
      <c r="GE9" s="194" t="str">
        <f>IF(GC9="","",IF(GC9&gt;=$GD$3,"Tuntas","Belum Tuntas"))</f>
        <v/>
      </c>
      <c r="GF9" s="222"/>
      <c r="GG9" s="194">
        <f t="shared" ref="GG9:GG40" si="15">MAX(E9:F9)</f>
        <v>0</v>
      </c>
      <c r="GH9" s="194">
        <f t="shared" ref="GH9:GH40" si="16">MAX(G9:H9)</f>
        <v>0</v>
      </c>
      <c r="GI9" s="194">
        <f t="shared" ref="GI9:GI40" si="17">MAX(I9:J9)</f>
        <v>0</v>
      </c>
      <c r="GJ9" s="194">
        <f t="shared" ref="GJ9:GJ40" si="18">MAX(K9:L9)</f>
        <v>0</v>
      </c>
      <c r="GK9" s="194">
        <f t="shared" ref="GK9:GK40" si="19">MAX(N9:O9)</f>
        <v>0</v>
      </c>
      <c r="GL9" s="194">
        <f t="shared" ref="GL9:GL40" si="20">MAX(P9:Q9)</f>
        <v>0</v>
      </c>
      <c r="GM9" s="194">
        <f t="shared" ref="GM9:GM40" si="21">MAX(R9:S9)</f>
        <v>0</v>
      </c>
      <c r="GN9" s="194">
        <f t="shared" ref="GN9:GN40" si="22">MAX(T9:U9)</f>
        <v>0</v>
      </c>
      <c r="GO9" s="194">
        <f t="shared" ref="GO9:GO40" si="23">MAX(W9:X9)</f>
        <v>0</v>
      </c>
      <c r="GP9" s="194">
        <f t="shared" ref="GP9:GP40" si="24">MAX(Y9:Z9)</f>
        <v>0</v>
      </c>
      <c r="GQ9" s="194">
        <f t="shared" ref="GQ9:GQ40" si="25">MAX(AA9:AB9)</f>
        <v>0</v>
      </c>
      <c r="GR9" s="194">
        <f t="shared" ref="GR9:GR40" si="26">MAX(AC9:AD9)</f>
        <v>0</v>
      </c>
      <c r="GS9" s="194">
        <f t="shared" ref="GS9:GS40" si="27">MAX(AF9:AG9)</f>
        <v>0</v>
      </c>
      <c r="GT9" s="194">
        <f t="shared" ref="GT9:GT40" si="28">MAX(AH9:AI9)</f>
        <v>0</v>
      </c>
      <c r="GU9" s="194">
        <f t="shared" ref="GU9:GU40" si="29">MAX(AJ9:AK9)</f>
        <v>0</v>
      </c>
      <c r="GV9" s="194">
        <f t="shared" ref="GV9:GV40" si="30">MAX(AL9:AM9)</f>
        <v>0</v>
      </c>
      <c r="GW9" s="194">
        <f t="shared" ref="GW9:GW40" si="31">MAX(AO9:AP9)</f>
        <v>0</v>
      </c>
      <c r="GX9" s="194">
        <f t="shared" ref="GX9:GX40" si="32">MAX(AQ9:AR9)</f>
        <v>0</v>
      </c>
      <c r="GY9" s="194">
        <f t="shared" ref="GY9:GY40" si="33">MAX(AS9:AT9)</f>
        <v>0</v>
      </c>
      <c r="GZ9" s="194">
        <f t="shared" ref="GZ9:GZ40" si="34">MAX(AU9:AV9)</f>
        <v>0</v>
      </c>
      <c r="HA9" s="194">
        <f t="shared" ref="HA9:HA40" si="35">MAX(AX9:AY9)</f>
        <v>0</v>
      </c>
      <c r="HB9" s="194">
        <f t="shared" ref="HB9:HB40" si="36">MAX(AZ9:BA9)</f>
        <v>0</v>
      </c>
      <c r="HC9" s="194">
        <f t="shared" ref="HC9:HC40" si="37">MAX(BB9:BC9)</f>
        <v>0</v>
      </c>
      <c r="HD9" s="194">
        <f t="shared" ref="HD9:HD40" si="38">MAX(BD9:BE9)</f>
        <v>0</v>
      </c>
      <c r="HE9" s="194">
        <f t="shared" ref="HE9:HE40" si="39">MAX(BG9:BH9)</f>
        <v>0</v>
      </c>
      <c r="HF9" s="194">
        <f t="shared" ref="HF9:HF40" si="40">MAX(BI9:BJ9)</f>
        <v>0</v>
      </c>
      <c r="HG9" s="194">
        <f t="shared" ref="HG9:HG40" si="41">MAX(BK9:BL9)</f>
        <v>0</v>
      </c>
      <c r="HH9" s="194">
        <f t="shared" ref="HH9:HH40" si="42">MAX(BM9:BN9)</f>
        <v>0</v>
      </c>
      <c r="HI9" s="194">
        <f t="shared" ref="HI9:HI40" si="43">MAX(BP9:BQ9)</f>
        <v>0</v>
      </c>
      <c r="HJ9" s="194">
        <f t="shared" ref="HJ9:HJ40" si="44">MAX(BR9:BS9)</f>
        <v>0</v>
      </c>
      <c r="HK9" s="194">
        <f t="shared" ref="HK9:HK40" si="45">MAX(BT9:BU9)</f>
        <v>0</v>
      </c>
      <c r="HL9" s="194">
        <f t="shared" ref="HL9:HL40" si="46">MAX(BV9:BW9)</f>
        <v>0</v>
      </c>
      <c r="HM9" s="194">
        <f t="shared" ref="HM9:HM40" si="47">MAX(BY9:BZ9)</f>
        <v>0</v>
      </c>
      <c r="HN9" s="194">
        <f t="shared" ref="HN9:HN40" si="48">MAX(CA9:CB9)</f>
        <v>0</v>
      </c>
      <c r="HO9" s="194">
        <f t="shared" ref="HO9:HO40" si="49">MAX(CC9:CD9)</f>
        <v>0</v>
      </c>
      <c r="HP9" s="194">
        <f t="shared" ref="HP9:HP40" si="50">MAX(CE9:CF9)</f>
        <v>0</v>
      </c>
      <c r="HQ9" s="194">
        <f t="shared" ref="HQ9:HQ40" si="51">MAX(CH9:CI9)</f>
        <v>0</v>
      </c>
      <c r="HR9" s="194">
        <f t="shared" ref="HR9:HR40" si="52">MAX(CJ9:CK9)</f>
        <v>0</v>
      </c>
      <c r="HS9" s="194">
        <f t="shared" ref="HS9:HS40" si="53">MAX(CL9:CM9)</f>
        <v>0</v>
      </c>
      <c r="HT9" s="194">
        <f t="shared" ref="HT9:HT40" si="54">MAX(CN9:CO9)</f>
        <v>0</v>
      </c>
      <c r="HU9" s="194">
        <f t="shared" ref="HU9:HU40" si="55">MAX(CQ9:CR9)</f>
        <v>0</v>
      </c>
      <c r="HV9" s="194">
        <f t="shared" ref="HV9:HV40" si="56">MAX(CS9:CT9)</f>
        <v>0</v>
      </c>
      <c r="HW9" s="194">
        <f t="shared" ref="HW9:HW40" si="57">MAX(CU9:CV9)</f>
        <v>0</v>
      </c>
      <c r="HX9" s="194">
        <f t="shared" ref="HX9:HX40" si="58">MAX(CW9:CX9)</f>
        <v>0</v>
      </c>
      <c r="HY9" s="194">
        <f t="shared" ref="HY9:HY40" si="59">MAX(CZ9:DA9)</f>
        <v>0</v>
      </c>
      <c r="HZ9" s="194">
        <f t="shared" ref="HZ9:HZ40" si="60">MAX(DB9:DC9)</f>
        <v>0</v>
      </c>
      <c r="IA9" s="194">
        <f t="shared" ref="IA9:IA40" si="61">MAX(DD9:DE9)</f>
        <v>0</v>
      </c>
      <c r="IB9" s="194">
        <f t="shared" ref="IB9:IB40" si="62">MAX(DF9:DG9)</f>
        <v>0</v>
      </c>
      <c r="IC9" s="194">
        <f t="shared" ref="IC9:IC40" si="63">MAX(DI9:DJ9)</f>
        <v>0</v>
      </c>
      <c r="ID9" s="194">
        <f t="shared" ref="ID9:ID40" si="64">MAX(DK9:DL9)</f>
        <v>0</v>
      </c>
      <c r="IE9" s="194">
        <f t="shared" ref="IE9:IE40" si="65">MAX(DM9:DN9)</f>
        <v>0</v>
      </c>
      <c r="IF9" s="194">
        <f t="shared" ref="IF9:IF40" si="66">MAX(DO9:DP9)</f>
        <v>0</v>
      </c>
      <c r="IG9" s="194">
        <f t="shared" ref="IG9:IG40" si="67">MAX(DR9:DS9)</f>
        <v>0</v>
      </c>
      <c r="IH9" s="194">
        <f t="shared" ref="IH9:IH40" si="68">MAX(DT9:DU9)</f>
        <v>0</v>
      </c>
      <c r="II9" s="194">
        <f t="shared" ref="II9:II40" si="69">MAX(DV9:DW9)</f>
        <v>0</v>
      </c>
      <c r="IJ9" s="194">
        <f t="shared" ref="IJ9:IJ40" si="70">MAX(DX9:DY9)</f>
        <v>0</v>
      </c>
      <c r="IK9" s="194">
        <f t="shared" ref="IK9:IK40" si="71">MAX(EA9:EB9)</f>
        <v>0</v>
      </c>
      <c r="IL9" s="194">
        <f t="shared" ref="IL9:IL40" si="72">MAX(EC9:ED9)</f>
        <v>0</v>
      </c>
      <c r="IM9" s="194">
        <f t="shared" ref="IM9:IM40" si="73">MAX(EE9:EF9)</f>
        <v>0</v>
      </c>
      <c r="IN9" s="194">
        <f t="shared" ref="IN9:IN40" si="74">MAX(EG9:EH9)</f>
        <v>0</v>
      </c>
      <c r="IO9" s="194">
        <f t="shared" ref="IO9:IO40" si="75">MAX(EJ9:EK9)</f>
        <v>0</v>
      </c>
      <c r="IP9" s="194">
        <f t="shared" ref="IP9:IP40" si="76">MAX(EL9:EM9)</f>
        <v>0</v>
      </c>
      <c r="IQ9" s="194">
        <f t="shared" ref="IQ9:IQ40" si="77">MAX(EN9:EO9)</f>
        <v>0</v>
      </c>
      <c r="IR9" s="194">
        <f t="shared" ref="IR9:IR40" si="78">MAX(EP9:EQ9)</f>
        <v>0</v>
      </c>
      <c r="IS9" s="194">
        <f t="shared" ref="IS9:IS40" si="79">MAX(ES9:ET9)</f>
        <v>0</v>
      </c>
      <c r="IT9" s="194">
        <f t="shared" ref="IT9:IT40" si="80">MAX(EU9:EV9)</f>
        <v>0</v>
      </c>
      <c r="IU9" s="194">
        <f t="shared" ref="IU9:IU40" si="81">MAX(EW9:EX9)</f>
        <v>0</v>
      </c>
      <c r="IV9" s="194">
        <f t="shared" ref="IV9:IV40" si="82">MAX(EY9:EZ9)</f>
        <v>0</v>
      </c>
      <c r="IW9" s="194">
        <f t="shared" ref="IW9:IW40" si="83">MAX(FB9:FC9)</f>
        <v>0</v>
      </c>
      <c r="IX9" s="194">
        <f t="shared" ref="IX9:IX40" si="84">MAX(FD9:FE9)</f>
        <v>0</v>
      </c>
      <c r="IY9" s="194">
        <f t="shared" ref="IY9:IY40" si="85">MAX(FF9:FG9)</f>
        <v>0</v>
      </c>
      <c r="IZ9" s="194">
        <f t="shared" ref="IZ9:IZ40" si="86">MAX(FH9:FI9)</f>
        <v>0</v>
      </c>
      <c r="JA9" s="194">
        <f t="shared" ref="JA9:JA40" si="87">MAX(FK9:FL9)</f>
        <v>0</v>
      </c>
      <c r="JB9" s="194">
        <f t="shared" ref="JB9:JB40" si="88">MAX(FM9:FN9)</f>
        <v>0</v>
      </c>
      <c r="JC9" s="194">
        <f t="shared" ref="JC9:JC40" si="89">MAX(FO9:FP9)</f>
        <v>0</v>
      </c>
      <c r="JD9" s="194">
        <f t="shared" ref="JD9:JD40" si="90">MAX(FQ9:FR9)</f>
        <v>0</v>
      </c>
      <c r="JE9" s="194">
        <f t="shared" ref="JE9:JE40" si="91">MAX(FT9:FU9)</f>
        <v>0</v>
      </c>
      <c r="JF9" s="194">
        <f t="shared" ref="JF9:JF40" si="92">MAX(FV9:FW9)</f>
        <v>0</v>
      </c>
      <c r="JG9" s="194">
        <f t="shared" ref="JG9:JG40" si="93">MAX(FX9:FY9)</f>
        <v>0</v>
      </c>
      <c r="JH9" s="194">
        <f t="shared" ref="JH9:JH40" si="94">MAX(FZ9:GA9)</f>
        <v>0</v>
      </c>
      <c r="JI9" s="228">
        <v>1</v>
      </c>
      <c r="JJ9" s="229" t="str">
        <f>M9</f>
        <v/>
      </c>
      <c r="JK9" s="229" t="str">
        <f>V9</f>
        <v/>
      </c>
      <c r="JL9" s="229" t="str">
        <f>AE9</f>
        <v/>
      </c>
      <c r="JM9" s="229" t="str">
        <f>AN9</f>
        <v/>
      </c>
      <c r="JN9" s="229" t="str">
        <f>AW9</f>
        <v/>
      </c>
      <c r="JO9" s="229" t="str">
        <f>BF9</f>
        <v/>
      </c>
      <c r="JP9" s="229" t="str">
        <f>BO9</f>
        <v/>
      </c>
      <c r="JQ9" s="229" t="str">
        <f>BX9</f>
        <v/>
      </c>
      <c r="JR9" s="229" t="str">
        <f>CG9</f>
        <v/>
      </c>
      <c r="JS9" s="229" t="str">
        <f>CP9</f>
        <v/>
      </c>
      <c r="JT9" s="229" t="str">
        <f>CY9</f>
        <v/>
      </c>
      <c r="JU9" s="229" t="str">
        <f>DH9</f>
        <v/>
      </c>
      <c r="JV9" s="229" t="str">
        <f>DQ9</f>
        <v/>
      </c>
      <c r="JW9" s="229" t="str">
        <f>DZ9</f>
        <v/>
      </c>
      <c r="JX9" s="229" t="str">
        <f>EI9</f>
        <v/>
      </c>
      <c r="JY9" s="229" t="str">
        <f>ER9</f>
        <v/>
      </c>
      <c r="JZ9" s="229" t="str">
        <f>FA9</f>
        <v/>
      </c>
      <c r="KA9" s="229" t="str">
        <f>FJ9</f>
        <v/>
      </c>
      <c r="KB9" s="229" t="str">
        <f>FS9</f>
        <v/>
      </c>
      <c r="KC9" s="229" t="str">
        <f>GB9</f>
        <v/>
      </c>
      <c r="KD9" s="231" t="str">
        <f>IF(MAX(JJ9:KC9)=0,"",MAX(JJ9:KC9))</f>
        <v/>
      </c>
      <c r="KE9" s="232" t="str">
        <f>IF(KD9="","",IF(KD9&gt;=KONVERSI!$A$5,KONVERSI!$E$12,IF(KD9&gt;=KONVERSI!$A$6,KONVERSI!$E$13,IF(KD9&gt;=KONVERSI!$A$7,KONVERSI!$E$14,KONVERSI!$E$15))))</f>
        <v/>
      </c>
      <c r="KF9" s="233" t="str">
        <f>IF(KD9="","",IF(GC9&gt;=$GD$3,KE9&amp;" dalam"&amp;INDEX($JJ$8:$KC$8,MATCH(KD9,JJ9:KC9,0)),""))</f>
        <v/>
      </c>
      <c r="KG9" s="234" t="str">
        <f>IF(MIN(JJ9:KC9)=0,"",MIN(JJ9:KC9))</f>
        <v/>
      </c>
      <c r="KH9" s="232" t="str">
        <f>IF(KG9="","",IF(KG9&gt;=KONVERSI!$A$5,KONVERSI!$E$12,IF(KG9&gt;=KONVERSI!$A$6,KONVERSI!$E$13,IF(KG9&gt;=KONVERSI!$A$7,KONVERSI!$E$14,KONVERSI!$E$15))))</f>
        <v/>
      </c>
      <c r="KI9" s="134" t="str">
        <f>IF(GC9="","",IF(GC9&lt;$GD$3," "&amp;KONVERSI!$C$19&amp;INDEX($JJ$8:$KC$8,MATCH(KG10,JJ10:KC10,0))&amp;".",IF(GC9=0,"",IF(KG9&lt;&gt;0,KF9&amp;KH9&amp;".",KF9&amp;"."))))</f>
        <v/>
      </c>
      <c r="KJ9" s="235" t="str">
        <f>IF(JJ9="","",IF(JJ9=$KD9,"OK","NO"))</f>
        <v/>
      </c>
      <c r="KK9" s="235" t="str">
        <f t="shared" ref="KK9:LC9" si="95">IF(JK9="","",IF(JK9=$KD9,"OK","NO"))</f>
        <v/>
      </c>
      <c r="KL9" s="235" t="str">
        <f t="shared" si="95"/>
        <v/>
      </c>
      <c r="KM9" s="235" t="str">
        <f t="shared" si="95"/>
        <v/>
      </c>
      <c r="KN9" s="235" t="str">
        <f t="shared" si="95"/>
        <v/>
      </c>
      <c r="KO9" s="235" t="str">
        <f t="shared" si="95"/>
        <v/>
      </c>
      <c r="KP9" s="235" t="str">
        <f t="shared" si="95"/>
        <v/>
      </c>
      <c r="KQ9" s="235" t="str">
        <f t="shared" si="95"/>
        <v/>
      </c>
      <c r="KR9" s="235" t="str">
        <f t="shared" si="95"/>
        <v/>
      </c>
      <c r="KS9" s="235" t="str">
        <f t="shared" si="95"/>
        <v/>
      </c>
      <c r="KT9" s="235" t="str">
        <f t="shared" si="95"/>
        <v/>
      </c>
      <c r="KU9" s="235" t="str">
        <f t="shared" si="95"/>
        <v/>
      </c>
      <c r="KV9" s="235" t="str">
        <f t="shared" si="95"/>
        <v/>
      </c>
      <c r="KW9" s="235" t="str">
        <f t="shared" si="95"/>
        <v/>
      </c>
      <c r="KX9" s="235" t="str">
        <f t="shared" si="95"/>
        <v/>
      </c>
      <c r="KY9" s="235" t="str">
        <f t="shared" si="95"/>
        <v/>
      </c>
      <c r="KZ9" s="235" t="str">
        <f t="shared" si="95"/>
        <v/>
      </c>
      <c r="LA9" s="235" t="str">
        <f t="shared" si="95"/>
        <v/>
      </c>
      <c r="LB9" s="235" t="str">
        <f t="shared" si="95"/>
        <v/>
      </c>
      <c r="LC9" s="235" t="str">
        <f t="shared" si="95"/>
        <v/>
      </c>
      <c r="LD9" s="134" t="str">
        <f>IF(KJ9="OK",KJ$8,"")</f>
        <v/>
      </c>
      <c r="LE9" s="134" t="str">
        <f t="shared" ref="LE9:LW22" si="96">IF(KK9="OK",KK$8,"")</f>
        <v/>
      </c>
      <c r="LF9" s="134" t="str">
        <f t="shared" si="96"/>
        <v/>
      </c>
      <c r="LG9" s="134" t="str">
        <f t="shared" si="96"/>
        <v/>
      </c>
      <c r="LH9" s="134" t="str">
        <f t="shared" si="96"/>
        <v/>
      </c>
      <c r="LI9" s="134" t="str">
        <f t="shared" si="96"/>
        <v/>
      </c>
      <c r="LJ9" s="134" t="str">
        <f t="shared" si="96"/>
        <v/>
      </c>
      <c r="LK9" s="134" t="str">
        <f t="shared" si="96"/>
        <v/>
      </c>
      <c r="LL9" s="134" t="str">
        <f t="shared" si="96"/>
        <v/>
      </c>
      <c r="LM9" s="134" t="str">
        <f t="shared" si="96"/>
        <v/>
      </c>
      <c r="LN9" s="134" t="str">
        <f t="shared" si="96"/>
        <v/>
      </c>
      <c r="LO9" s="134" t="str">
        <f t="shared" si="96"/>
        <v/>
      </c>
      <c r="LP9" s="134" t="str">
        <f t="shared" si="96"/>
        <v/>
      </c>
      <c r="LQ9" s="134" t="str">
        <f t="shared" si="96"/>
        <v/>
      </c>
      <c r="LR9" s="134" t="str">
        <f t="shared" si="96"/>
        <v/>
      </c>
      <c r="LS9" s="134" t="str">
        <f t="shared" si="96"/>
        <v/>
      </c>
      <c r="LT9" s="134" t="str">
        <f t="shared" si="96"/>
        <v/>
      </c>
      <c r="LU9" s="134" t="str">
        <f t="shared" si="96"/>
        <v/>
      </c>
      <c r="LV9" s="134" t="str">
        <f t="shared" si="96"/>
        <v/>
      </c>
      <c r="LW9" s="134" t="str">
        <f t="shared" si="96"/>
        <v/>
      </c>
      <c r="LX9" s="134" t="str">
        <f>IF(KD9="","",KE9&amp;" dalam "&amp;LD9&amp;LE9&amp;LF9&amp;LG9&amp;LH9&amp;LI9&amp;LJ9&amp;LK9&amp;LL9&amp;LM9&amp;LN9&amp;LO9&amp;LP9&amp;LQ9&amp;LR9&amp;LS9&amp;LT9&amp;LU9&amp;LV9&amp;LW9)</f>
        <v/>
      </c>
      <c r="LY9" s="134" t="str">
        <f>IF(LX9="","",REPLACE(LX9,LEN(LX9),1,"."))&amp;"  "</f>
        <v>  </v>
      </c>
      <c r="LZ9" s="236">
        <f t="shared" ref="LZ9:LZ40" si="97">COUNTIF(KJ9:LC9,"OK")</f>
        <v>0</v>
      </c>
      <c r="MA9" s="235" t="str">
        <f>IF(JJ9="","",IF(JJ9=$KG9,"OK","NO"))</f>
        <v/>
      </c>
      <c r="MB9" s="235" t="str">
        <f t="shared" ref="MB9:MD9" si="98">IF(JK9="","",IF(JK9=$KG9,"OK","NO"))</f>
        <v/>
      </c>
      <c r="MC9" s="235" t="str">
        <f t="shared" si="98"/>
        <v/>
      </c>
      <c r="MD9" s="235" t="str">
        <f t="shared" si="98"/>
        <v/>
      </c>
      <c r="ME9" s="235" t="str">
        <f t="shared" ref="ME9" si="99">IF(JN9="","",IF(JN9=$KG9,"OK","NO"))</f>
        <v/>
      </c>
      <c r="MF9" s="235" t="str">
        <f t="shared" ref="MF9:MG9" si="100">IF(JO9="","",IF(JO9=$KG9,"OK","NO"))</f>
        <v/>
      </c>
      <c r="MG9" s="235" t="str">
        <f t="shared" si="100"/>
        <v/>
      </c>
      <c r="MH9" s="235" t="str">
        <f t="shared" ref="MH9" si="101">IF(JQ9="","",IF(JQ9=$KG9,"OK","NO"))</f>
        <v/>
      </c>
      <c r="MI9" s="235" t="str">
        <f t="shared" ref="MI9:MJ9" si="102">IF(JR9="","",IF(JR9=$KG9,"OK","NO"))</f>
        <v/>
      </c>
      <c r="MJ9" s="235" t="str">
        <f t="shared" si="102"/>
        <v/>
      </c>
      <c r="MK9" s="235" t="str">
        <f t="shared" ref="MK9" si="103">IF(JT9="","",IF(JT9=$KG9,"OK","NO"))</f>
        <v/>
      </c>
      <c r="ML9" s="235" t="str">
        <f t="shared" ref="ML9:MM9" si="104">IF(JU9="","",IF(JU9=$KG9,"OK","NO"))</f>
        <v/>
      </c>
      <c r="MM9" s="235" t="str">
        <f t="shared" si="104"/>
        <v/>
      </c>
      <c r="MN9" s="235" t="str">
        <f t="shared" ref="MN9" si="105">IF(JW9="","",IF(JW9=$KG9,"OK","NO"))</f>
        <v/>
      </c>
      <c r="MO9" s="235" t="str">
        <f t="shared" ref="MO9:MP9" si="106">IF(JX9="","",IF(JX9=$KG9,"OK","NO"))</f>
        <v/>
      </c>
      <c r="MP9" s="235" t="str">
        <f t="shared" si="106"/>
        <v/>
      </c>
      <c r="MQ9" s="235" t="str">
        <f t="shared" ref="MQ9" si="107">IF(JZ9="","",IF(JZ9=$KG9,"OK","NO"))</f>
        <v/>
      </c>
      <c r="MR9" s="235" t="str">
        <f t="shared" ref="MR9:MS9" si="108">IF(KA9="","",IF(KA9=$KG9,"OK","NO"))</f>
        <v/>
      </c>
      <c r="MS9" s="235" t="str">
        <f t="shared" si="108"/>
        <v/>
      </c>
      <c r="MT9" s="235" t="str">
        <f t="shared" ref="MT9" si="109">IF(KC9="","",IF(KC9=$KG9,"OK","NO"))</f>
        <v/>
      </c>
      <c r="MU9" s="134" t="str">
        <f>IF(MA9="OK",MA$8,"")</f>
        <v/>
      </c>
      <c r="MV9" s="134" t="str">
        <f t="shared" ref="MV9:NN22" si="110">IF(MB9="OK",MB$8,"")</f>
        <v/>
      </c>
      <c r="MW9" s="134" t="str">
        <f t="shared" si="110"/>
        <v/>
      </c>
      <c r="MX9" s="134" t="str">
        <f t="shared" si="110"/>
        <v/>
      </c>
      <c r="MY9" s="134" t="str">
        <f t="shared" si="110"/>
        <v/>
      </c>
      <c r="MZ9" s="134" t="str">
        <f t="shared" si="110"/>
        <v/>
      </c>
      <c r="NA9" s="134" t="str">
        <f t="shared" si="110"/>
        <v/>
      </c>
      <c r="NB9" s="134" t="str">
        <f t="shared" si="110"/>
        <v/>
      </c>
      <c r="NC9" s="134" t="str">
        <f t="shared" si="110"/>
        <v/>
      </c>
      <c r="ND9" s="134" t="str">
        <f t="shared" si="110"/>
        <v/>
      </c>
      <c r="NE9" s="134" t="str">
        <f t="shared" si="110"/>
        <v/>
      </c>
      <c r="NF9" s="134" t="str">
        <f t="shared" si="110"/>
        <v/>
      </c>
      <c r="NG9" s="134" t="str">
        <f t="shared" si="110"/>
        <v/>
      </c>
      <c r="NH9" s="134" t="str">
        <f t="shared" si="110"/>
        <v/>
      </c>
      <c r="NI9" s="134" t="str">
        <f t="shared" si="110"/>
        <v/>
      </c>
      <c r="NJ9" s="134" t="str">
        <f t="shared" si="110"/>
        <v/>
      </c>
      <c r="NK9" s="134" t="str">
        <f t="shared" si="110"/>
        <v/>
      </c>
      <c r="NL9" s="134" t="str">
        <f t="shared" si="110"/>
        <v/>
      </c>
      <c r="NM9" s="134" t="str">
        <f t="shared" si="110"/>
        <v/>
      </c>
      <c r="NN9" s="134" t="str">
        <f t="shared" si="110"/>
        <v/>
      </c>
      <c r="NO9" s="134" t="str">
        <f>IF(KE9=KH9,"",IF(KG9="","",IF(KG9&gt;=KONVERSI!$A$14,'KI4'!KH9&amp;" dalam"&amp;MU9&amp;MV9&amp;MW9&amp;MX9&amp;MY9&amp;MZ9&amp;NA9&amp;NB9&amp;NC9&amp;ND9&amp;NE9&amp;NF9&amp;NG9&amp;NH9&amp;NI9&amp;NJ9&amp;NK9&amp;NL9&amp;NM9&amp;NN9,KONVERSI!$C$19&amp;" dalam"&amp;MU9&amp;MV9&amp;MW9&amp;MX9&amp;MY9&amp;MZ9&amp;NA9&amp;NB9&amp;NC9&amp;ND9&amp;NE9&amp;NF9&amp;NG9&amp;NH9&amp;NI9&amp;NJ9&amp;NK9&amp;NL9&amp;NM9&amp;NN9)))</f>
        <v/>
      </c>
      <c r="NP9" s="134" t="str">
        <f>IF(NO9="","",REPLACE(NO9,LEN(NO9),1,"."))</f>
        <v/>
      </c>
      <c r="NQ9" s="236">
        <f t="shared" ref="NQ9:NQ40" si="111">COUNTIF(MA9:MT9,"OK")</f>
        <v>0</v>
      </c>
      <c r="NR9" s="134" t="str">
        <f>IF(GC9="","",LY9&amp;IF(NQ9=0,"",NP9))</f>
        <v/>
      </c>
    </row>
    <row r="10" ht="27.6" customHeight="1" spans="1:382">
      <c r="A10" s="136"/>
      <c r="B10" s="177">
        <v>2</v>
      </c>
      <c r="C10" s="178" t="str">
        <f>siswa!C6</f>
        <v>AMBRESIUS NERI ELYANTO LUBIS</v>
      </c>
      <c r="D10" s="174">
        <f>siswa!D6</f>
        <v>2717</v>
      </c>
      <c r="E10" s="175"/>
      <c r="F10" s="176"/>
      <c r="G10" s="176"/>
      <c r="H10" s="176"/>
      <c r="I10" s="176"/>
      <c r="J10" s="176"/>
      <c r="K10" s="176"/>
      <c r="L10" s="176"/>
      <c r="M10" s="194" t="str">
        <f t="shared" si="2"/>
        <v/>
      </c>
      <c r="N10" s="176"/>
      <c r="O10" s="176"/>
      <c r="P10" s="175"/>
      <c r="Q10" s="176"/>
      <c r="R10" s="176"/>
      <c r="S10" s="176"/>
      <c r="T10" s="176"/>
      <c r="U10" s="176"/>
      <c r="V10" s="194" t="str">
        <f t="shared" si="3"/>
        <v/>
      </c>
      <c r="W10" s="176"/>
      <c r="X10" s="176"/>
      <c r="Y10" s="176"/>
      <c r="Z10" s="176"/>
      <c r="AA10" s="176"/>
      <c r="AB10" s="176"/>
      <c r="AC10" s="176"/>
      <c r="AD10" s="176"/>
      <c r="AE10" s="194" t="str">
        <f t="shared" si="4"/>
        <v/>
      </c>
      <c r="AF10" s="176"/>
      <c r="AG10" s="176"/>
      <c r="AH10" s="176"/>
      <c r="AI10" s="176"/>
      <c r="AJ10" s="176"/>
      <c r="AK10" s="176"/>
      <c r="AL10" s="176"/>
      <c r="AM10" s="176"/>
      <c r="AN10" s="194" t="str">
        <f t="shared" si="5"/>
        <v/>
      </c>
      <c r="AO10" s="181"/>
      <c r="AP10" s="176"/>
      <c r="AQ10" s="176"/>
      <c r="AR10" s="176"/>
      <c r="AS10" s="176"/>
      <c r="AT10" s="176"/>
      <c r="AU10" s="176"/>
      <c r="AV10" s="176"/>
      <c r="AW10" s="194" t="str">
        <f t="shared" ref="AW10:AW58" si="112">IFERROR(IF($AO$6="","",SUM(GW10:GZ10)/(4-COUNTIF(GW10:GZ10,0))),"")</f>
        <v/>
      </c>
      <c r="AX10" s="181"/>
      <c r="AY10" s="176"/>
      <c r="AZ10" s="176"/>
      <c r="BA10" s="176"/>
      <c r="BB10" s="176"/>
      <c r="BC10" s="176"/>
      <c r="BD10" s="176"/>
      <c r="BE10" s="176"/>
      <c r="BF10" s="194" t="str">
        <f t="shared" si="6"/>
        <v/>
      </c>
      <c r="BG10" s="181"/>
      <c r="BH10" s="176"/>
      <c r="BI10" s="176"/>
      <c r="BJ10" s="176"/>
      <c r="BK10" s="176"/>
      <c r="BL10" s="176"/>
      <c r="BM10" s="176"/>
      <c r="BN10" s="176"/>
      <c r="BO10" s="194" t="str">
        <f t="shared" ref="BO10:BO58" si="113">IFERROR(IF($BG$6="","",SUM(HE10:HH10)/(4-COUNTIF(HE10:HH10,0))),"")</f>
        <v/>
      </c>
      <c r="BP10" s="181"/>
      <c r="BQ10" s="176"/>
      <c r="BR10" s="176"/>
      <c r="BS10" s="176"/>
      <c r="BT10" s="176"/>
      <c r="BU10" s="176"/>
      <c r="BV10" s="176"/>
      <c r="BW10" s="176"/>
      <c r="BX10" s="194" t="str">
        <f t="shared" ref="BX10:BX58" si="114">IFERROR(IF($BP$6="","",SUM(HI10:HL10)/(4-COUNTIF(HI10:HL10,0))),"")</f>
        <v/>
      </c>
      <c r="BY10" s="181"/>
      <c r="BZ10" s="176"/>
      <c r="CA10" s="176"/>
      <c r="CB10" s="176"/>
      <c r="CC10" s="176"/>
      <c r="CD10" s="176"/>
      <c r="CE10" s="176"/>
      <c r="CF10" s="176"/>
      <c r="CG10" s="194" t="str">
        <f t="shared" ref="CG10:CG58" si="115">IFERROR(IF($BY$6="","",SUM(HM10:HP10)/(4-COUNTIF(HM10:HP10,0))),"")</f>
        <v/>
      </c>
      <c r="CH10" s="181"/>
      <c r="CI10" s="176"/>
      <c r="CJ10" s="176"/>
      <c r="CK10" s="176"/>
      <c r="CL10" s="176"/>
      <c r="CM10" s="176"/>
      <c r="CN10" s="176"/>
      <c r="CO10" s="176"/>
      <c r="CP10" s="194" t="str">
        <f t="shared" si="7"/>
        <v/>
      </c>
      <c r="CQ10" s="181"/>
      <c r="CR10" s="176"/>
      <c r="CS10" s="176"/>
      <c r="CT10" s="176"/>
      <c r="CU10" s="176"/>
      <c r="CV10" s="176"/>
      <c r="CW10" s="176"/>
      <c r="CX10" s="176"/>
      <c r="CY10" s="194" t="str">
        <f t="shared" ref="CY10:CY58" si="116">IFERROR(IF($CQ$6="","",SUM(HU10:HX10)/(4-COUNTIF(HU10:HX10,0))),"")</f>
        <v/>
      </c>
      <c r="CZ10" s="181"/>
      <c r="DA10" s="176"/>
      <c r="DB10" s="176"/>
      <c r="DC10" s="176"/>
      <c r="DD10" s="176"/>
      <c r="DE10" s="176"/>
      <c r="DF10" s="176"/>
      <c r="DG10" s="176"/>
      <c r="DH10" s="194" t="str">
        <f t="shared" si="8"/>
        <v/>
      </c>
      <c r="DI10" s="181"/>
      <c r="DJ10" s="176"/>
      <c r="DK10" s="176"/>
      <c r="DL10" s="176"/>
      <c r="DM10" s="176"/>
      <c r="DN10" s="176"/>
      <c r="DO10" s="176"/>
      <c r="DP10" s="176"/>
      <c r="DQ10" s="194" t="str">
        <f t="shared" ref="DQ10:DQ58" si="117">IFERROR(IF($DI$6="","",SUM(IC10:IF10)/(4-COUNTIF(IC10:IF10,0))),"")</f>
        <v/>
      </c>
      <c r="DR10" s="181"/>
      <c r="DS10" s="176"/>
      <c r="DT10" s="176"/>
      <c r="DU10" s="176"/>
      <c r="DV10" s="176"/>
      <c r="DW10" s="176"/>
      <c r="DX10" s="176"/>
      <c r="DY10" s="176"/>
      <c r="DZ10" s="194" t="str">
        <f t="shared" si="9"/>
        <v/>
      </c>
      <c r="EA10" s="181"/>
      <c r="EB10" s="176"/>
      <c r="EC10" s="176"/>
      <c r="ED10" s="176"/>
      <c r="EE10" s="176"/>
      <c r="EF10" s="176"/>
      <c r="EG10" s="176"/>
      <c r="EH10" s="176"/>
      <c r="EI10" s="194" t="str">
        <f t="shared" si="10"/>
        <v/>
      </c>
      <c r="EJ10" s="181"/>
      <c r="EK10" s="176"/>
      <c r="EL10" s="176"/>
      <c r="EM10" s="176"/>
      <c r="EN10" s="176"/>
      <c r="EO10" s="176"/>
      <c r="EP10" s="176"/>
      <c r="EQ10" s="176"/>
      <c r="ER10" s="194" t="str">
        <f t="shared" si="11"/>
        <v/>
      </c>
      <c r="ES10" s="181"/>
      <c r="ET10" s="176"/>
      <c r="EU10" s="176"/>
      <c r="EV10" s="176"/>
      <c r="EW10" s="176"/>
      <c r="EX10" s="176"/>
      <c r="EY10" s="176"/>
      <c r="EZ10" s="176"/>
      <c r="FA10" s="194" t="str">
        <f t="shared" si="12"/>
        <v/>
      </c>
      <c r="FB10" s="181"/>
      <c r="FC10" s="176"/>
      <c r="FD10" s="176"/>
      <c r="FE10" s="176"/>
      <c r="FF10" s="176"/>
      <c r="FG10" s="176"/>
      <c r="FH10" s="176"/>
      <c r="FI10" s="176"/>
      <c r="FJ10" s="194" t="str">
        <f t="shared" si="13"/>
        <v/>
      </c>
      <c r="FK10" s="181"/>
      <c r="FL10" s="176"/>
      <c r="FM10" s="176"/>
      <c r="FN10" s="176"/>
      <c r="FO10" s="176"/>
      <c r="FP10" s="176"/>
      <c r="FQ10" s="176"/>
      <c r="FR10" s="176"/>
      <c r="FS10" s="194" t="str">
        <f t="shared" si="14"/>
        <v/>
      </c>
      <c r="FT10" s="181"/>
      <c r="FU10" s="176"/>
      <c r="FV10" s="176"/>
      <c r="FW10" s="176"/>
      <c r="FX10" s="176"/>
      <c r="FY10" s="176"/>
      <c r="FZ10" s="176"/>
      <c r="GA10" s="176"/>
      <c r="GB10" s="194" t="str">
        <f t="shared" ref="GB10:GB58" si="118">IFERROR(IF($FT$6="","",SUM(JE10:JH10)/(4-COUNTIF(JE10:JH10,0))),"")</f>
        <v/>
      </c>
      <c r="GC10" s="194" t="str">
        <f t="shared" ref="GC10:GC58" si="119">IFERROR(ROUND(SUM(GG10:JH10)/(80-COUNTIF(GG10:JH10,0)),0),"")</f>
        <v/>
      </c>
      <c r="GD10" s="194" t="str">
        <f>IF(GC10="","",IF(GC10&gt;=KONVERSI!$A$5,KONVERSI!$D$5,IF(GC10&gt;=KONVERSI!$A$6,KONVERSI!$D$6,IF(GC10&gt;=KONVERSI!$A$7,KONVERSI!$D$7,KONVERSI!$D$8))))</f>
        <v/>
      </c>
      <c r="GE10" s="194" t="str">
        <f t="shared" ref="GE10:GE58" si="120">IF(GC10="","",IF(GC10&gt;=$GD$3,"Tuntas","Belum Tuntas"))</f>
        <v/>
      </c>
      <c r="GF10" s="222"/>
      <c r="GG10" s="223">
        <f t="shared" si="15"/>
        <v>0</v>
      </c>
      <c r="GH10" s="194">
        <f t="shared" si="16"/>
        <v>0</v>
      </c>
      <c r="GI10" s="194">
        <f t="shared" si="17"/>
        <v>0</v>
      </c>
      <c r="GJ10" s="194">
        <f t="shared" si="18"/>
        <v>0</v>
      </c>
      <c r="GK10" s="194">
        <f t="shared" si="19"/>
        <v>0</v>
      </c>
      <c r="GL10" s="194">
        <f t="shared" si="20"/>
        <v>0</v>
      </c>
      <c r="GM10" s="194">
        <f t="shared" si="21"/>
        <v>0</v>
      </c>
      <c r="GN10" s="194">
        <f t="shared" si="22"/>
        <v>0</v>
      </c>
      <c r="GO10" s="194">
        <f t="shared" si="23"/>
        <v>0</v>
      </c>
      <c r="GP10" s="194">
        <f t="shared" si="24"/>
        <v>0</v>
      </c>
      <c r="GQ10" s="194">
        <f t="shared" si="25"/>
        <v>0</v>
      </c>
      <c r="GR10" s="194">
        <f t="shared" si="26"/>
        <v>0</v>
      </c>
      <c r="GS10" s="194">
        <f t="shared" si="27"/>
        <v>0</v>
      </c>
      <c r="GT10" s="194">
        <f t="shared" si="28"/>
        <v>0</v>
      </c>
      <c r="GU10" s="194">
        <f t="shared" si="29"/>
        <v>0</v>
      </c>
      <c r="GV10" s="194">
        <f t="shared" si="30"/>
        <v>0</v>
      </c>
      <c r="GW10" s="194">
        <f t="shared" si="31"/>
        <v>0</v>
      </c>
      <c r="GX10" s="194">
        <f t="shared" si="32"/>
        <v>0</v>
      </c>
      <c r="GY10" s="194">
        <f t="shared" si="33"/>
        <v>0</v>
      </c>
      <c r="GZ10" s="194">
        <f t="shared" si="34"/>
        <v>0</v>
      </c>
      <c r="HA10" s="194">
        <f t="shared" si="35"/>
        <v>0</v>
      </c>
      <c r="HB10" s="194">
        <f t="shared" si="36"/>
        <v>0</v>
      </c>
      <c r="HC10" s="194">
        <f t="shared" si="37"/>
        <v>0</v>
      </c>
      <c r="HD10" s="194">
        <f t="shared" si="38"/>
        <v>0</v>
      </c>
      <c r="HE10" s="194">
        <f t="shared" si="39"/>
        <v>0</v>
      </c>
      <c r="HF10" s="194">
        <f t="shared" si="40"/>
        <v>0</v>
      </c>
      <c r="HG10" s="194">
        <f t="shared" si="41"/>
        <v>0</v>
      </c>
      <c r="HH10" s="194">
        <f t="shared" si="42"/>
        <v>0</v>
      </c>
      <c r="HI10" s="194">
        <f t="shared" si="43"/>
        <v>0</v>
      </c>
      <c r="HJ10" s="194">
        <f t="shared" si="44"/>
        <v>0</v>
      </c>
      <c r="HK10" s="194">
        <f t="shared" si="45"/>
        <v>0</v>
      </c>
      <c r="HL10" s="194">
        <f t="shared" si="46"/>
        <v>0</v>
      </c>
      <c r="HM10" s="194">
        <f t="shared" si="47"/>
        <v>0</v>
      </c>
      <c r="HN10" s="194">
        <f t="shared" si="48"/>
        <v>0</v>
      </c>
      <c r="HO10" s="194">
        <f t="shared" si="49"/>
        <v>0</v>
      </c>
      <c r="HP10" s="194">
        <f t="shared" si="50"/>
        <v>0</v>
      </c>
      <c r="HQ10" s="194">
        <f t="shared" si="51"/>
        <v>0</v>
      </c>
      <c r="HR10" s="194">
        <f t="shared" si="52"/>
        <v>0</v>
      </c>
      <c r="HS10" s="194">
        <f t="shared" si="53"/>
        <v>0</v>
      </c>
      <c r="HT10" s="194">
        <f t="shared" si="54"/>
        <v>0</v>
      </c>
      <c r="HU10" s="194">
        <f t="shared" si="55"/>
        <v>0</v>
      </c>
      <c r="HV10" s="194">
        <f t="shared" si="56"/>
        <v>0</v>
      </c>
      <c r="HW10" s="194">
        <f t="shared" si="57"/>
        <v>0</v>
      </c>
      <c r="HX10" s="194">
        <f t="shared" si="58"/>
        <v>0</v>
      </c>
      <c r="HY10" s="194">
        <f t="shared" si="59"/>
        <v>0</v>
      </c>
      <c r="HZ10" s="194">
        <f t="shared" si="60"/>
        <v>0</v>
      </c>
      <c r="IA10" s="194">
        <f t="shared" si="61"/>
        <v>0</v>
      </c>
      <c r="IB10" s="194">
        <f t="shared" si="62"/>
        <v>0</v>
      </c>
      <c r="IC10" s="194">
        <f t="shared" si="63"/>
        <v>0</v>
      </c>
      <c r="ID10" s="194">
        <f t="shared" si="64"/>
        <v>0</v>
      </c>
      <c r="IE10" s="194">
        <f t="shared" si="65"/>
        <v>0</v>
      </c>
      <c r="IF10" s="194">
        <f t="shared" si="66"/>
        <v>0</v>
      </c>
      <c r="IG10" s="194">
        <f t="shared" si="67"/>
        <v>0</v>
      </c>
      <c r="IH10" s="194">
        <f t="shared" si="68"/>
        <v>0</v>
      </c>
      <c r="II10" s="194">
        <f t="shared" si="69"/>
        <v>0</v>
      </c>
      <c r="IJ10" s="194">
        <f t="shared" si="70"/>
        <v>0</v>
      </c>
      <c r="IK10" s="194">
        <f t="shared" si="71"/>
        <v>0</v>
      </c>
      <c r="IL10" s="194">
        <f t="shared" si="72"/>
        <v>0</v>
      </c>
      <c r="IM10" s="194">
        <f t="shared" si="73"/>
        <v>0</v>
      </c>
      <c r="IN10" s="194">
        <f t="shared" si="74"/>
        <v>0</v>
      </c>
      <c r="IO10" s="194">
        <f t="shared" si="75"/>
        <v>0</v>
      </c>
      <c r="IP10" s="194">
        <f t="shared" si="76"/>
        <v>0</v>
      </c>
      <c r="IQ10" s="194">
        <f t="shared" si="77"/>
        <v>0</v>
      </c>
      <c r="IR10" s="194">
        <f t="shared" si="78"/>
        <v>0</v>
      </c>
      <c r="IS10" s="194">
        <f t="shared" si="79"/>
        <v>0</v>
      </c>
      <c r="IT10" s="194">
        <f t="shared" si="80"/>
        <v>0</v>
      </c>
      <c r="IU10" s="194">
        <f t="shared" si="81"/>
        <v>0</v>
      </c>
      <c r="IV10" s="194">
        <f t="shared" si="82"/>
        <v>0</v>
      </c>
      <c r="IW10" s="194">
        <f t="shared" si="83"/>
        <v>0</v>
      </c>
      <c r="IX10" s="194">
        <f t="shared" si="84"/>
        <v>0</v>
      </c>
      <c r="IY10" s="194">
        <f t="shared" si="85"/>
        <v>0</v>
      </c>
      <c r="IZ10" s="194">
        <f t="shared" si="86"/>
        <v>0</v>
      </c>
      <c r="JA10" s="194">
        <f t="shared" si="87"/>
        <v>0</v>
      </c>
      <c r="JB10" s="194">
        <f t="shared" si="88"/>
        <v>0</v>
      </c>
      <c r="JC10" s="194">
        <f t="shared" si="89"/>
        <v>0</v>
      </c>
      <c r="JD10" s="194">
        <f t="shared" si="90"/>
        <v>0</v>
      </c>
      <c r="JE10" s="194">
        <f t="shared" si="91"/>
        <v>0</v>
      </c>
      <c r="JF10" s="194">
        <f t="shared" si="92"/>
        <v>0</v>
      </c>
      <c r="JG10" s="194">
        <f t="shared" si="93"/>
        <v>0</v>
      </c>
      <c r="JH10" s="194">
        <f t="shared" si="94"/>
        <v>0</v>
      </c>
      <c r="JI10" s="228">
        <v>2</v>
      </c>
      <c r="JJ10" s="229" t="str">
        <f t="shared" ref="JJ10:JJ58" si="121">M10</f>
        <v/>
      </c>
      <c r="JK10" s="229" t="str">
        <f t="shared" ref="JK10:JK58" si="122">V10</f>
        <v/>
      </c>
      <c r="JL10" s="229" t="str">
        <f t="shared" ref="JL10:JL58" si="123">AE10</f>
        <v/>
      </c>
      <c r="JM10" s="229" t="str">
        <f t="shared" ref="JM10:JM58" si="124">AN10</f>
        <v/>
      </c>
      <c r="JN10" s="229" t="str">
        <f t="shared" ref="JN10:JN58" si="125">AW10</f>
        <v/>
      </c>
      <c r="JO10" s="229" t="str">
        <f t="shared" ref="JO10:JO58" si="126">BF10</f>
        <v/>
      </c>
      <c r="JP10" s="229" t="str">
        <f t="shared" ref="JP10:JP58" si="127">BO10</f>
        <v/>
      </c>
      <c r="JQ10" s="229" t="str">
        <f t="shared" ref="JQ10:JQ58" si="128">BX10</f>
        <v/>
      </c>
      <c r="JR10" s="229" t="str">
        <f t="shared" ref="JR10:JR58" si="129">CG10</f>
        <v/>
      </c>
      <c r="JS10" s="229" t="str">
        <f t="shared" ref="JS10:JS58" si="130">CP10</f>
        <v/>
      </c>
      <c r="JT10" s="229" t="str">
        <f t="shared" ref="JT10:JT58" si="131">CY10</f>
        <v/>
      </c>
      <c r="JU10" s="229" t="str">
        <f t="shared" ref="JU10:JU58" si="132">DH10</f>
        <v/>
      </c>
      <c r="JV10" s="229" t="str">
        <f t="shared" ref="JV10:JV58" si="133">DQ10</f>
        <v/>
      </c>
      <c r="JW10" s="229" t="str">
        <f t="shared" ref="JW10:JW58" si="134">DZ10</f>
        <v/>
      </c>
      <c r="JX10" s="229" t="str">
        <f t="shared" ref="JX10:JX58" si="135">EI10</f>
        <v/>
      </c>
      <c r="JY10" s="229" t="str">
        <f t="shared" ref="JY10:JY58" si="136">ER10</f>
        <v/>
      </c>
      <c r="JZ10" s="229" t="str">
        <f t="shared" ref="JZ10:JZ58" si="137">FA10</f>
        <v/>
      </c>
      <c r="KA10" s="229" t="str">
        <f t="shared" ref="KA10:KA58" si="138">FJ10</f>
        <v/>
      </c>
      <c r="KB10" s="229" t="str">
        <f t="shared" ref="KB10:KB58" si="139">FS10</f>
        <v/>
      </c>
      <c r="KC10" s="229" t="str">
        <f t="shared" ref="KC10:KC58" si="140">GB10</f>
        <v/>
      </c>
      <c r="KD10" s="231" t="str">
        <f t="shared" ref="KD10:KD58" si="141">IF(MAX(JJ10:KC10)=0,"",MAX(JJ10:KC10))</f>
        <v/>
      </c>
      <c r="KE10" s="232" t="str">
        <f>IF(KD10="","",IF(KD10&gt;=KONVERSI!$A$5,KONVERSI!$E$12,IF(KD10&gt;=KONVERSI!$A$6,KONVERSI!$E$13,IF(KD10&gt;=KONVERSI!$A$7,KONVERSI!$E$14,KONVERSI!$E$15))))</f>
        <v/>
      </c>
      <c r="KF10" s="233" t="str">
        <f t="shared" ref="KF10:KF58" si="142">IF(KD10="","",IF(GC10&gt;=$GD$3,KE10&amp;" dalam"&amp;INDEX($JJ$8:$KC$8,MATCH(KD10,JJ10:KC10,0)),""))</f>
        <v/>
      </c>
      <c r="KG10" s="234" t="str">
        <f t="shared" ref="KG10:KG58" si="143">IF(MIN(JJ10:KC10)=0,"",MIN(JJ10:KC10))</f>
        <v/>
      </c>
      <c r="KH10" s="232" t="str">
        <f>IF(KG10="","",IF(KG10&gt;=KONVERSI!$A$5,KONVERSI!$E$12,IF(KG10&gt;=KONVERSI!$A$6,KONVERSI!$E$13,IF(KG10&gt;=KONVERSI!$A$7,KONVERSI!$E$14,KONVERSI!$E$15))))</f>
        <v/>
      </c>
      <c r="KI10" s="134" t="str">
        <f>IF(GC10="","",IF(GC10&lt;$GD$3," "&amp;KONVERSI!$C$19&amp;INDEX($JJ$8:$KC$8,MATCH(KG11,JJ11:KC11,0))&amp;".",IF(GC10=0,"",IF(KG10&lt;&gt;0,KF10&amp;KH10&amp;".",KF10&amp;"."))))</f>
        <v/>
      </c>
      <c r="KJ10" s="235" t="str">
        <f t="shared" ref="KJ10:KJ58" si="144">IF(JJ10="","",IF(JJ10=$KD10,"OK","NO"))</f>
        <v/>
      </c>
      <c r="KK10" s="235" t="str">
        <f t="shared" ref="KK10:KK58" si="145">IF(JK10="","",IF(JK10=$KD10,"OK","NO"))</f>
        <v/>
      </c>
      <c r="KL10" s="235" t="str">
        <f t="shared" ref="KL10:KL58" si="146">IF(JL10="","",IF(JL10=$KD10,"OK","NO"))</f>
        <v/>
      </c>
      <c r="KM10" s="235" t="str">
        <f t="shared" ref="KM10:KM58" si="147">IF(JM10="","",IF(JM10=$KD10,"OK","NO"))</f>
        <v/>
      </c>
      <c r="KN10" s="235" t="str">
        <f t="shared" ref="KN10:KN58" si="148">IF(JN10="","",IF(JN10=$KD10,"OK","NO"))</f>
        <v/>
      </c>
      <c r="KO10" s="235" t="str">
        <f t="shared" ref="KO10:KO58" si="149">IF(JO10="","",IF(JO10=$KD10,"OK","NO"))</f>
        <v/>
      </c>
      <c r="KP10" s="235" t="str">
        <f t="shared" ref="KP10:KP58" si="150">IF(JP10="","",IF(JP10=$KD10,"OK","NO"))</f>
        <v/>
      </c>
      <c r="KQ10" s="235" t="str">
        <f t="shared" ref="KQ10:KQ58" si="151">IF(JQ10="","",IF(JQ10=$KD10,"OK","NO"))</f>
        <v/>
      </c>
      <c r="KR10" s="235" t="str">
        <f t="shared" ref="KR10:KR58" si="152">IF(JR10="","",IF(JR10=$KD10,"OK","NO"))</f>
        <v/>
      </c>
      <c r="KS10" s="235" t="str">
        <f t="shared" ref="KS10:KS58" si="153">IF(JS10="","",IF(JS10=$KD10,"OK","NO"))</f>
        <v/>
      </c>
      <c r="KT10" s="235" t="str">
        <f t="shared" ref="KT10:KT58" si="154">IF(JT10="","",IF(JT10=$KD10,"OK","NO"))</f>
        <v/>
      </c>
      <c r="KU10" s="235" t="str">
        <f t="shared" ref="KU10:KU58" si="155">IF(JU10="","",IF(JU10=$KD10,"OK","NO"))</f>
        <v/>
      </c>
      <c r="KV10" s="235" t="str">
        <f t="shared" ref="KV10:KV58" si="156">IF(JV10="","",IF(JV10=$KD10,"OK","NO"))</f>
        <v/>
      </c>
      <c r="KW10" s="235" t="str">
        <f t="shared" ref="KW10:KW58" si="157">IF(JW10="","",IF(JW10=$KD10,"OK","NO"))</f>
        <v/>
      </c>
      <c r="KX10" s="235" t="str">
        <f t="shared" ref="KX10:KX58" si="158">IF(JX10="","",IF(JX10=$KD10,"OK","NO"))</f>
        <v/>
      </c>
      <c r="KY10" s="235" t="str">
        <f t="shared" ref="KY10:KY58" si="159">IF(JY10="","",IF(JY10=$KD10,"OK","NO"))</f>
        <v/>
      </c>
      <c r="KZ10" s="235" t="str">
        <f t="shared" ref="KZ10:KZ58" si="160">IF(JZ10="","",IF(JZ10=$KD10,"OK","NO"))</f>
        <v/>
      </c>
      <c r="LA10" s="235" t="str">
        <f t="shared" ref="LA10:LA58" si="161">IF(KA10="","",IF(KA10=$KD10,"OK","NO"))</f>
        <v/>
      </c>
      <c r="LB10" s="235" t="str">
        <f t="shared" ref="LB10:LB58" si="162">IF(KB10="","",IF(KB10=$KD10,"OK","NO"))</f>
        <v/>
      </c>
      <c r="LC10" s="235" t="str">
        <f t="shared" ref="LC10:LC58" si="163">IF(KC10="","",IF(KC10=$KD10,"OK","NO"))</f>
        <v/>
      </c>
      <c r="LD10" s="134" t="str">
        <f t="shared" ref="LD10:LN49" si="164">IF(KJ10="OK",KJ$8,"")</f>
        <v/>
      </c>
      <c r="LE10" s="134" t="str">
        <f t="shared" si="96"/>
        <v/>
      </c>
      <c r="LF10" s="134" t="str">
        <f t="shared" si="96"/>
        <v/>
      </c>
      <c r="LG10" s="134" t="str">
        <f t="shared" si="96"/>
        <v/>
      </c>
      <c r="LH10" s="134" t="str">
        <f t="shared" si="96"/>
        <v/>
      </c>
      <c r="LI10" s="134" t="str">
        <f t="shared" si="96"/>
        <v/>
      </c>
      <c r="LJ10" s="134" t="str">
        <f t="shared" si="96"/>
        <v/>
      </c>
      <c r="LK10" s="134" t="str">
        <f t="shared" si="96"/>
        <v/>
      </c>
      <c r="LL10" s="134" t="str">
        <f t="shared" si="96"/>
        <v/>
      </c>
      <c r="LM10" s="134" t="str">
        <f t="shared" si="96"/>
        <v/>
      </c>
      <c r="LN10" s="134" t="str">
        <f t="shared" si="96"/>
        <v/>
      </c>
      <c r="LO10" s="134" t="str">
        <f t="shared" si="96"/>
        <v/>
      </c>
      <c r="LP10" s="134" t="str">
        <f t="shared" si="96"/>
        <v/>
      </c>
      <c r="LQ10" s="134" t="str">
        <f t="shared" si="96"/>
        <v/>
      </c>
      <c r="LR10" s="134" t="str">
        <f t="shared" si="96"/>
        <v/>
      </c>
      <c r="LS10" s="134" t="str">
        <f t="shared" si="96"/>
        <v/>
      </c>
      <c r="LT10" s="134" t="str">
        <f t="shared" si="96"/>
        <v/>
      </c>
      <c r="LU10" s="134" t="str">
        <f t="shared" si="96"/>
        <v/>
      </c>
      <c r="LV10" s="134" t="str">
        <f t="shared" si="96"/>
        <v/>
      </c>
      <c r="LW10" s="134" t="str">
        <f t="shared" si="96"/>
        <v/>
      </c>
      <c r="LX10" s="134" t="str">
        <f t="shared" ref="LX10:LX58" si="165">IF(KD10="","",KE10&amp;" dalam "&amp;LD10&amp;LE10&amp;LF10&amp;LG10&amp;LH10&amp;LI10&amp;LJ10&amp;LK10&amp;LL10&amp;LM10&amp;LN10&amp;LO10&amp;LP10&amp;LQ10&amp;LR10&amp;LS10&amp;LT10&amp;LU10&amp;LV10&amp;LW10)</f>
        <v/>
      </c>
      <c r="LY10" s="134" t="str">
        <f t="shared" ref="LY10:LY58" si="166">IF(LX10="","",REPLACE(LX10,LEN(LX10),1,"."))&amp;"  "</f>
        <v>  </v>
      </c>
      <c r="LZ10" s="236">
        <f t="shared" si="97"/>
        <v>0</v>
      </c>
      <c r="MA10" s="235" t="str">
        <f t="shared" ref="MA10:MA58" si="167">IF(JJ10="","",IF(JJ10=$KG10,"OK","NO"))</f>
        <v/>
      </c>
      <c r="MB10" s="235" t="str">
        <f t="shared" ref="MB10:MB58" si="168">IF(JK10="","",IF(JK10=$KG10,"OK","NO"))</f>
        <v/>
      </c>
      <c r="MC10" s="235" t="str">
        <f t="shared" ref="MC10:MC58" si="169">IF(JL10="","",IF(JL10=$KG10,"OK","NO"))</f>
        <v/>
      </c>
      <c r="MD10" s="235" t="str">
        <f t="shared" ref="MD10:MD58" si="170">IF(JM10="","",IF(JM10=$KG10,"OK","NO"))</f>
        <v/>
      </c>
      <c r="ME10" s="235" t="str">
        <f t="shared" ref="ME10:ME58" si="171">IF(JN10="","",IF(JN10=$KG10,"OK","NO"))</f>
        <v/>
      </c>
      <c r="MF10" s="235" t="str">
        <f t="shared" ref="MF10:MF58" si="172">IF(JO10="","",IF(JO10=$KG10,"OK","NO"))</f>
        <v/>
      </c>
      <c r="MG10" s="235" t="str">
        <f t="shared" ref="MG10:MG58" si="173">IF(JP10="","",IF(JP10=$KG10,"OK","NO"))</f>
        <v/>
      </c>
      <c r="MH10" s="235" t="str">
        <f t="shared" ref="MH10:MH58" si="174">IF(JQ10="","",IF(JQ10=$KG10,"OK","NO"))</f>
        <v/>
      </c>
      <c r="MI10" s="235" t="str">
        <f t="shared" ref="MI10:MI58" si="175">IF(JR10="","",IF(JR10=$KG10,"OK","NO"))</f>
        <v/>
      </c>
      <c r="MJ10" s="235" t="str">
        <f t="shared" ref="MJ10:MJ58" si="176">IF(JS10="","",IF(JS10=$KG10,"OK","NO"))</f>
        <v/>
      </c>
      <c r="MK10" s="235" t="str">
        <f t="shared" ref="MK10:MK58" si="177">IF(JT10="","",IF(JT10=$KG10,"OK","NO"))</f>
        <v/>
      </c>
      <c r="ML10" s="235" t="str">
        <f t="shared" ref="ML10:ML58" si="178">IF(JU10="","",IF(JU10=$KG10,"OK","NO"))</f>
        <v/>
      </c>
      <c r="MM10" s="235" t="str">
        <f t="shared" ref="MM10:MM58" si="179">IF(JV10="","",IF(JV10=$KG10,"OK","NO"))</f>
        <v/>
      </c>
      <c r="MN10" s="235" t="str">
        <f t="shared" ref="MN10:MN58" si="180">IF(JW10="","",IF(JW10=$KG10,"OK","NO"))</f>
        <v/>
      </c>
      <c r="MO10" s="235" t="str">
        <f t="shared" ref="MO10:MO58" si="181">IF(JX10="","",IF(JX10=$KG10,"OK","NO"))</f>
        <v/>
      </c>
      <c r="MP10" s="235" t="str">
        <f t="shared" ref="MP10:MP58" si="182">IF(JY10="","",IF(JY10=$KG10,"OK","NO"))</f>
        <v/>
      </c>
      <c r="MQ10" s="235" t="str">
        <f t="shared" ref="MQ10:MQ58" si="183">IF(JZ10="","",IF(JZ10=$KG10,"OK","NO"))</f>
        <v/>
      </c>
      <c r="MR10" s="235" t="str">
        <f t="shared" ref="MR10:MR58" si="184">IF(KA10="","",IF(KA10=$KG10,"OK","NO"))</f>
        <v/>
      </c>
      <c r="MS10" s="235" t="str">
        <f t="shared" ref="MS10:MS58" si="185">IF(KB10="","",IF(KB10=$KG10,"OK","NO"))</f>
        <v/>
      </c>
      <c r="MT10" s="235" t="str">
        <f t="shared" ref="MT10:MT58" si="186">IF(KC10="","",IF(KC10=$KG10,"OK","NO"))</f>
        <v/>
      </c>
      <c r="MU10" s="134" t="str">
        <f t="shared" ref="MU10:NE49" si="187">IF(MA10="OK",MA$8,"")</f>
        <v/>
      </c>
      <c r="MV10" s="134" t="str">
        <f t="shared" si="110"/>
        <v/>
      </c>
      <c r="MW10" s="134" t="str">
        <f t="shared" si="110"/>
        <v/>
      </c>
      <c r="MX10" s="134" t="str">
        <f t="shared" si="110"/>
        <v/>
      </c>
      <c r="MY10" s="134" t="str">
        <f t="shared" si="110"/>
        <v/>
      </c>
      <c r="MZ10" s="134" t="str">
        <f t="shared" si="110"/>
        <v/>
      </c>
      <c r="NA10" s="134" t="str">
        <f t="shared" si="110"/>
        <v/>
      </c>
      <c r="NB10" s="134" t="str">
        <f t="shared" si="110"/>
        <v/>
      </c>
      <c r="NC10" s="134" t="str">
        <f t="shared" si="110"/>
        <v/>
      </c>
      <c r="ND10" s="134" t="str">
        <f t="shared" si="110"/>
        <v/>
      </c>
      <c r="NE10" s="134" t="str">
        <f t="shared" si="110"/>
        <v/>
      </c>
      <c r="NF10" s="134" t="str">
        <f t="shared" si="110"/>
        <v/>
      </c>
      <c r="NG10" s="134" t="str">
        <f t="shared" si="110"/>
        <v/>
      </c>
      <c r="NH10" s="134" t="str">
        <f t="shared" si="110"/>
        <v/>
      </c>
      <c r="NI10" s="134" t="str">
        <f t="shared" si="110"/>
        <v/>
      </c>
      <c r="NJ10" s="134" t="str">
        <f t="shared" si="110"/>
        <v/>
      </c>
      <c r="NK10" s="134" t="str">
        <f t="shared" si="110"/>
        <v/>
      </c>
      <c r="NL10" s="134" t="str">
        <f t="shared" si="110"/>
        <v/>
      </c>
      <c r="NM10" s="134" t="str">
        <f t="shared" si="110"/>
        <v/>
      </c>
      <c r="NN10" s="134" t="str">
        <f t="shared" si="110"/>
        <v/>
      </c>
      <c r="NO10" s="134" t="str">
        <f>IF(KE10=KH10,"",IF(KG10="","",IF(KG10&gt;=KONVERSI!$A$14,'KI4'!KH10&amp;" dalam"&amp;MU10&amp;MV10&amp;MW10&amp;MX10&amp;MY10&amp;MZ10&amp;NA10&amp;NB10&amp;NC10&amp;ND10&amp;NE10&amp;NF10&amp;NG10&amp;NH10&amp;NI10&amp;NJ10&amp;NK10&amp;NL10&amp;NM10&amp;NN10,KONVERSI!$C$19&amp;" dalam"&amp;MU10&amp;MV10&amp;MW10&amp;MX10&amp;MY10&amp;MZ10&amp;NA10&amp;NB10&amp;NC10&amp;ND10&amp;NE10&amp;NF10&amp;NG10&amp;NH10&amp;NI10&amp;NJ10&amp;NK10&amp;NL10&amp;NM10&amp;NN10)))</f>
        <v/>
      </c>
      <c r="NP10" s="134" t="str">
        <f t="shared" ref="NP10:NP58" si="188">IF(NO10="","",REPLACE(NO10,LEN(NO10),1,"."))</f>
        <v/>
      </c>
      <c r="NQ10" s="236">
        <f t="shared" si="111"/>
        <v>0</v>
      </c>
      <c r="NR10" s="134" t="str">
        <f t="shared" ref="NR10:NR58" si="189">IF(GC10="","",LY10&amp;IF(NQ10=0,"",NP10))</f>
        <v/>
      </c>
    </row>
    <row r="11" ht="27.6" customHeight="1" spans="1:382">
      <c r="A11" s="136"/>
      <c r="B11" s="177">
        <v>3</v>
      </c>
      <c r="C11" s="178" t="str">
        <f>siswa!C7</f>
        <v>AQELA FIRDAUSI AHLA</v>
      </c>
      <c r="D11" s="174">
        <f>siswa!D7</f>
        <v>2724</v>
      </c>
      <c r="E11" s="175">
        <v>90</v>
      </c>
      <c r="F11" s="176"/>
      <c r="G11" s="176"/>
      <c r="H11" s="176"/>
      <c r="I11" s="176"/>
      <c r="J11" s="176"/>
      <c r="K11" s="176"/>
      <c r="L11" s="176"/>
      <c r="M11" s="194">
        <f t="shared" si="2"/>
        <v>90</v>
      </c>
      <c r="N11" s="176"/>
      <c r="O11" s="176"/>
      <c r="P11" s="175">
        <v>90</v>
      </c>
      <c r="Q11" s="176"/>
      <c r="R11" s="176"/>
      <c r="S11" s="176"/>
      <c r="T11" s="176"/>
      <c r="U11" s="176"/>
      <c r="V11" s="194">
        <f t="shared" si="3"/>
        <v>90</v>
      </c>
      <c r="W11" s="176"/>
      <c r="X11" s="176"/>
      <c r="Y11" s="176"/>
      <c r="Z11" s="176"/>
      <c r="AA11" s="176"/>
      <c r="AB11" s="176"/>
      <c r="AC11" s="176"/>
      <c r="AD11" s="176"/>
      <c r="AE11" s="194" t="str">
        <f t="shared" si="4"/>
        <v/>
      </c>
      <c r="AF11" s="176"/>
      <c r="AG11" s="176"/>
      <c r="AH11" s="176"/>
      <c r="AI11" s="176"/>
      <c r="AJ11" s="176"/>
      <c r="AK11" s="176"/>
      <c r="AL11" s="176"/>
      <c r="AM11" s="176"/>
      <c r="AN11" s="194" t="str">
        <f t="shared" si="5"/>
        <v/>
      </c>
      <c r="AO11" s="181"/>
      <c r="AP11" s="176"/>
      <c r="AQ11" s="176"/>
      <c r="AR11" s="176"/>
      <c r="AS11" s="176"/>
      <c r="AT11" s="176"/>
      <c r="AU11" s="176"/>
      <c r="AV11" s="176"/>
      <c r="AW11" s="194" t="str">
        <f t="shared" si="112"/>
        <v/>
      </c>
      <c r="AX11" s="181"/>
      <c r="AY11" s="176"/>
      <c r="AZ11" s="176"/>
      <c r="BA11" s="176"/>
      <c r="BB11" s="176"/>
      <c r="BC11" s="176"/>
      <c r="BD11" s="176"/>
      <c r="BE11" s="176"/>
      <c r="BF11" s="194" t="str">
        <f t="shared" si="6"/>
        <v/>
      </c>
      <c r="BG11" s="181"/>
      <c r="BH11" s="176"/>
      <c r="BI11" s="176"/>
      <c r="BJ11" s="176"/>
      <c r="BK11" s="176"/>
      <c r="BL11" s="176"/>
      <c r="BM11" s="176"/>
      <c r="BN11" s="176"/>
      <c r="BO11" s="194" t="str">
        <f t="shared" si="113"/>
        <v/>
      </c>
      <c r="BP11" s="181"/>
      <c r="BQ11" s="176"/>
      <c r="BR11" s="176"/>
      <c r="BS11" s="176"/>
      <c r="BT11" s="176"/>
      <c r="BU11" s="176"/>
      <c r="BV11" s="176"/>
      <c r="BW11" s="176"/>
      <c r="BX11" s="194" t="str">
        <f t="shared" si="114"/>
        <v/>
      </c>
      <c r="BY11" s="181"/>
      <c r="BZ11" s="176"/>
      <c r="CA11" s="176"/>
      <c r="CB11" s="176"/>
      <c r="CC11" s="176"/>
      <c r="CD11" s="176"/>
      <c r="CE11" s="176"/>
      <c r="CF11" s="176"/>
      <c r="CG11" s="194" t="str">
        <f t="shared" si="115"/>
        <v/>
      </c>
      <c r="CH11" s="181"/>
      <c r="CI11" s="176"/>
      <c r="CJ11" s="176"/>
      <c r="CK11" s="176"/>
      <c r="CL11" s="176"/>
      <c r="CM11" s="176"/>
      <c r="CN11" s="176"/>
      <c r="CO11" s="176"/>
      <c r="CP11" s="194" t="str">
        <f t="shared" si="7"/>
        <v/>
      </c>
      <c r="CQ11" s="181"/>
      <c r="CR11" s="176"/>
      <c r="CS11" s="176"/>
      <c r="CT11" s="176"/>
      <c r="CU11" s="176"/>
      <c r="CV11" s="176"/>
      <c r="CW11" s="176"/>
      <c r="CX11" s="176"/>
      <c r="CY11" s="194" t="str">
        <f t="shared" si="116"/>
        <v/>
      </c>
      <c r="CZ11" s="181"/>
      <c r="DA11" s="176"/>
      <c r="DB11" s="176"/>
      <c r="DC11" s="176"/>
      <c r="DD11" s="176"/>
      <c r="DE11" s="176"/>
      <c r="DF11" s="176"/>
      <c r="DG11" s="176"/>
      <c r="DH11" s="194" t="str">
        <f t="shared" si="8"/>
        <v/>
      </c>
      <c r="DI11" s="181"/>
      <c r="DJ11" s="176"/>
      <c r="DK11" s="176"/>
      <c r="DL11" s="176"/>
      <c r="DM11" s="176"/>
      <c r="DN11" s="176"/>
      <c r="DO11" s="176"/>
      <c r="DP11" s="176"/>
      <c r="DQ11" s="194" t="str">
        <f t="shared" si="117"/>
        <v/>
      </c>
      <c r="DR11" s="181"/>
      <c r="DS11" s="176"/>
      <c r="DT11" s="176"/>
      <c r="DU11" s="176"/>
      <c r="DV11" s="176"/>
      <c r="DW11" s="176"/>
      <c r="DX11" s="176"/>
      <c r="DY11" s="176"/>
      <c r="DZ11" s="194" t="str">
        <f t="shared" si="9"/>
        <v/>
      </c>
      <c r="EA11" s="181"/>
      <c r="EB11" s="176"/>
      <c r="EC11" s="176"/>
      <c r="ED11" s="176"/>
      <c r="EE11" s="176"/>
      <c r="EF11" s="176"/>
      <c r="EG11" s="176"/>
      <c r="EH11" s="176"/>
      <c r="EI11" s="194" t="str">
        <f t="shared" si="10"/>
        <v/>
      </c>
      <c r="EJ11" s="181"/>
      <c r="EK11" s="176"/>
      <c r="EL11" s="176"/>
      <c r="EM11" s="176"/>
      <c r="EN11" s="176"/>
      <c r="EO11" s="176"/>
      <c r="EP11" s="176"/>
      <c r="EQ11" s="176"/>
      <c r="ER11" s="194" t="str">
        <f t="shared" si="11"/>
        <v/>
      </c>
      <c r="ES11" s="181"/>
      <c r="ET11" s="176"/>
      <c r="EU11" s="176"/>
      <c r="EV11" s="176"/>
      <c r="EW11" s="176"/>
      <c r="EX11" s="176"/>
      <c r="EY11" s="176"/>
      <c r="EZ11" s="176"/>
      <c r="FA11" s="194" t="str">
        <f t="shared" si="12"/>
        <v/>
      </c>
      <c r="FB11" s="181"/>
      <c r="FC11" s="176"/>
      <c r="FD11" s="176"/>
      <c r="FE11" s="176"/>
      <c r="FF11" s="176"/>
      <c r="FG11" s="176"/>
      <c r="FH11" s="176"/>
      <c r="FI11" s="176"/>
      <c r="FJ11" s="194" t="str">
        <f t="shared" si="13"/>
        <v/>
      </c>
      <c r="FK11" s="181"/>
      <c r="FL11" s="176"/>
      <c r="FM11" s="176"/>
      <c r="FN11" s="176"/>
      <c r="FO11" s="176"/>
      <c r="FP11" s="176"/>
      <c r="FQ11" s="176"/>
      <c r="FR11" s="176"/>
      <c r="FS11" s="194" t="str">
        <f t="shared" si="14"/>
        <v/>
      </c>
      <c r="FT11" s="181"/>
      <c r="FU11" s="176"/>
      <c r="FV11" s="176"/>
      <c r="FW11" s="176"/>
      <c r="FX11" s="176"/>
      <c r="FY11" s="176"/>
      <c r="FZ11" s="176"/>
      <c r="GA11" s="176"/>
      <c r="GB11" s="194" t="str">
        <f t="shared" si="118"/>
        <v/>
      </c>
      <c r="GC11" s="194">
        <f t="shared" si="119"/>
        <v>90</v>
      </c>
      <c r="GD11" s="194" t="str">
        <f>IF(GC11="","",IF(GC11&gt;=KONVERSI!$A$5,KONVERSI!$D$5,IF(GC11&gt;=KONVERSI!$A$6,KONVERSI!$D$6,IF(GC11&gt;=KONVERSI!$A$7,KONVERSI!$D$7,KONVERSI!$D$8))))</f>
        <v>B</v>
      </c>
      <c r="GE11" s="194" t="str">
        <f t="shared" si="120"/>
        <v>Tuntas</v>
      </c>
      <c r="GF11" s="222"/>
      <c r="GG11" s="223">
        <f t="shared" si="15"/>
        <v>90</v>
      </c>
      <c r="GH11" s="194">
        <f t="shared" si="16"/>
        <v>0</v>
      </c>
      <c r="GI11" s="194">
        <f t="shared" si="17"/>
        <v>0</v>
      </c>
      <c r="GJ11" s="194">
        <f t="shared" si="18"/>
        <v>0</v>
      </c>
      <c r="GK11" s="194">
        <f t="shared" si="19"/>
        <v>0</v>
      </c>
      <c r="GL11" s="194">
        <f t="shared" si="20"/>
        <v>90</v>
      </c>
      <c r="GM11" s="194">
        <f t="shared" si="21"/>
        <v>0</v>
      </c>
      <c r="GN11" s="194">
        <f t="shared" si="22"/>
        <v>0</v>
      </c>
      <c r="GO11" s="194">
        <f t="shared" si="23"/>
        <v>0</v>
      </c>
      <c r="GP11" s="194">
        <f t="shared" si="24"/>
        <v>0</v>
      </c>
      <c r="GQ11" s="194">
        <f t="shared" si="25"/>
        <v>0</v>
      </c>
      <c r="GR11" s="194">
        <f t="shared" si="26"/>
        <v>0</v>
      </c>
      <c r="GS11" s="194">
        <f t="shared" si="27"/>
        <v>0</v>
      </c>
      <c r="GT11" s="194">
        <f t="shared" si="28"/>
        <v>0</v>
      </c>
      <c r="GU11" s="194">
        <f t="shared" si="29"/>
        <v>0</v>
      </c>
      <c r="GV11" s="194">
        <f t="shared" si="30"/>
        <v>0</v>
      </c>
      <c r="GW11" s="194">
        <f t="shared" si="31"/>
        <v>0</v>
      </c>
      <c r="GX11" s="194">
        <f t="shared" si="32"/>
        <v>0</v>
      </c>
      <c r="GY11" s="194">
        <f t="shared" si="33"/>
        <v>0</v>
      </c>
      <c r="GZ11" s="194">
        <f t="shared" si="34"/>
        <v>0</v>
      </c>
      <c r="HA11" s="194">
        <f t="shared" si="35"/>
        <v>0</v>
      </c>
      <c r="HB11" s="194">
        <f t="shared" si="36"/>
        <v>0</v>
      </c>
      <c r="HC11" s="194">
        <f t="shared" si="37"/>
        <v>0</v>
      </c>
      <c r="HD11" s="194">
        <f t="shared" si="38"/>
        <v>0</v>
      </c>
      <c r="HE11" s="194">
        <f t="shared" si="39"/>
        <v>0</v>
      </c>
      <c r="HF11" s="194">
        <f t="shared" si="40"/>
        <v>0</v>
      </c>
      <c r="HG11" s="194">
        <f t="shared" si="41"/>
        <v>0</v>
      </c>
      <c r="HH11" s="194">
        <f t="shared" si="42"/>
        <v>0</v>
      </c>
      <c r="HI11" s="194">
        <f t="shared" si="43"/>
        <v>0</v>
      </c>
      <c r="HJ11" s="194">
        <f t="shared" si="44"/>
        <v>0</v>
      </c>
      <c r="HK11" s="194">
        <f t="shared" si="45"/>
        <v>0</v>
      </c>
      <c r="HL11" s="194">
        <f t="shared" si="46"/>
        <v>0</v>
      </c>
      <c r="HM11" s="194">
        <f t="shared" si="47"/>
        <v>0</v>
      </c>
      <c r="HN11" s="194">
        <f t="shared" si="48"/>
        <v>0</v>
      </c>
      <c r="HO11" s="194">
        <f t="shared" si="49"/>
        <v>0</v>
      </c>
      <c r="HP11" s="194">
        <f t="shared" si="50"/>
        <v>0</v>
      </c>
      <c r="HQ11" s="194">
        <f t="shared" si="51"/>
        <v>0</v>
      </c>
      <c r="HR11" s="194">
        <f t="shared" si="52"/>
        <v>0</v>
      </c>
      <c r="HS11" s="194">
        <f t="shared" si="53"/>
        <v>0</v>
      </c>
      <c r="HT11" s="194">
        <f t="shared" si="54"/>
        <v>0</v>
      </c>
      <c r="HU11" s="194">
        <f t="shared" si="55"/>
        <v>0</v>
      </c>
      <c r="HV11" s="194">
        <f t="shared" si="56"/>
        <v>0</v>
      </c>
      <c r="HW11" s="194">
        <f t="shared" si="57"/>
        <v>0</v>
      </c>
      <c r="HX11" s="194">
        <f t="shared" si="58"/>
        <v>0</v>
      </c>
      <c r="HY11" s="194">
        <f t="shared" si="59"/>
        <v>0</v>
      </c>
      <c r="HZ11" s="194">
        <f t="shared" si="60"/>
        <v>0</v>
      </c>
      <c r="IA11" s="194">
        <f t="shared" si="61"/>
        <v>0</v>
      </c>
      <c r="IB11" s="194">
        <f t="shared" si="62"/>
        <v>0</v>
      </c>
      <c r="IC11" s="194">
        <f t="shared" si="63"/>
        <v>0</v>
      </c>
      <c r="ID11" s="194">
        <f t="shared" si="64"/>
        <v>0</v>
      </c>
      <c r="IE11" s="194">
        <f t="shared" si="65"/>
        <v>0</v>
      </c>
      <c r="IF11" s="194">
        <f t="shared" si="66"/>
        <v>0</v>
      </c>
      <c r="IG11" s="194">
        <f t="shared" si="67"/>
        <v>0</v>
      </c>
      <c r="IH11" s="194">
        <f t="shared" si="68"/>
        <v>0</v>
      </c>
      <c r="II11" s="194">
        <f t="shared" si="69"/>
        <v>0</v>
      </c>
      <c r="IJ11" s="194">
        <f t="shared" si="70"/>
        <v>0</v>
      </c>
      <c r="IK11" s="194">
        <f t="shared" si="71"/>
        <v>0</v>
      </c>
      <c r="IL11" s="194">
        <f t="shared" si="72"/>
        <v>0</v>
      </c>
      <c r="IM11" s="194">
        <f t="shared" si="73"/>
        <v>0</v>
      </c>
      <c r="IN11" s="194">
        <f t="shared" si="74"/>
        <v>0</v>
      </c>
      <c r="IO11" s="194">
        <f t="shared" si="75"/>
        <v>0</v>
      </c>
      <c r="IP11" s="194">
        <f t="shared" si="76"/>
        <v>0</v>
      </c>
      <c r="IQ11" s="194">
        <f t="shared" si="77"/>
        <v>0</v>
      </c>
      <c r="IR11" s="194">
        <f t="shared" si="78"/>
        <v>0</v>
      </c>
      <c r="IS11" s="194">
        <f t="shared" si="79"/>
        <v>0</v>
      </c>
      <c r="IT11" s="194">
        <f t="shared" si="80"/>
        <v>0</v>
      </c>
      <c r="IU11" s="194">
        <f t="shared" si="81"/>
        <v>0</v>
      </c>
      <c r="IV11" s="194">
        <f t="shared" si="82"/>
        <v>0</v>
      </c>
      <c r="IW11" s="194">
        <f t="shared" si="83"/>
        <v>0</v>
      </c>
      <c r="IX11" s="194">
        <f t="shared" si="84"/>
        <v>0</v>
      </c>
      <c r="IY11" s="194">
        <f t="shared" si="85"/>
        <v>0</v>
      </c>
      <c r="IZ11" s="194">
        <f t="shared" si="86"/>
        <v>0</v>
      </c>
      <c r="JA11" s="194">
        <f t="shared" si="87"/>
        <v>0</v>
      </c>
      <c r="JB11" s="194">
        <f t="shared" si="88"/>
        <v>0</v>
      </c>
      <c r="JC11" s="194">
        <f t="shared" si="89"/>
        <v>0</v>
      </c>
      <c r="JD11" s="194">
        <f t="shared" si="90"/>
        <v>0</v>
      </c>
      <c r="JE11" s="194">
        <f t="shared" si="91"/>
        <v>0</v>
      </c>
      <c r="JF11" s="194">
        <f t="shared" si="92"/>
        <v>0</v>
      </c>
      <c r="JG11" s="194">
        <f t="shared" si="93"/>
        <v>0</v>
      </c>
      <c r="JH11" s="194">
        <f t="shared" si="94"/>
        <v>0</v>
      </c>
      <c r="JI11" s="228">
        <v>3</v>
      </c>
      <c r="JJ11" s="229">
        <f t="shared" si="121"/>
        <v>90</v>
      </c>
      <c r="JK11" s="229">
        <f t="shared" si="122"/>
        <v>90</v>
      </c>
      <c r="JL11" s="229" t="str">
        <f t="shared" si="123"/>
        <v/>
      </c>
      <c r="JM11" s="229" t="str">
        <f t="shared" si="124"/>
        <v/>
      </c>
      <c r="JN11" s="229" t="str">
        <f t="shared" si="125"/>
        <v/>
      </c>
      <c r="JO11" s="229" t="str">
        <f t="shared" si="126"/>
        <v/>
      </c>
      <c r="JP11" s="229" t="str">
        <f t="shared" si="127"/>
        <v/>
      </c>
      <c r="JQ11" s="229" t="str">
        <f t="shared" si="128"/>
        <v/>
      </c>
      <c r="JR11" s="229" t="str">
        <f t="shared" si="129"/>
        <v/>
      </c>
      <c r="JS11" s="229" t="str">
        <f t="shared" si="130"/>
        <v/>
      </c>
      <c r="JT11" s="229" t="str">
        <f t="shared" si="131"/>
        <v/>
      </c>
      <c r="JU11" s="229" t="str">
        <f t="shared" si="132"/>
        <v/>
      </c>
      <c r="JV11" s="229" t="str">
        <f t="shared" si="133"/>
        <v/>
      </c>
      <c r="JW11" s="229" t="str">
        <f t="shared" si="134"/>
        <v/>
      </c>
      <c r="JX11" s="229" t="str">
        <f t="shared" si="135"/>
        <v/>
      </c>
      <c r="JY11" s="229" t="str">
        <f t="shared" si="136"/>
        <v/>
      </c>
      <c r="JZ11" s="229" t="str">
        <f t="shared" si="137"/>
        <v/>
      </c>
      <c r="KA11" s="229" t="str">
        <f t="shared" si="138"/>
        <v/>
      </c>
      <c r="KB11" s="229" t="str">
        <f t="shared" si="139"/>
        <v/>
      </c>
      <c r="KC11" s="229" t="str">
        <f t="shared" si="140"/>
        <v/>
      </c>
      <c r="KD11" s="231">
        <f t="shared" si="141"/>
        <v>90</v>
      </c>
      <c r="KE11" s="232" t="str">
        <f>IF(KD11="","",IF(KD11&gt;=KONVERSI!$A$5,KONVERSI!$E$12,IF(KD11&gt;=KONVERSI!$A$6,KONVERSI!$E$13,IF(KD11&gt;=KONVERSI!$A$7,KONVERSI!$E$14,KONVERSI!$E$15))))</f>
        <v>Terampil</v>
      </c>
      <c r="KF11" s="233" t="str">
        <f t="shared" si="142"/>
        <v>Terampil dalammemilih jenis, bahan dan teknik pengolahan kerang, kaca, keramik dan botol plastik sesuai dengan potensi daerah setempat</v>
      </c>
      <c r="KG11" s="234">
        <f t="shared" si="143"/>
        <v>90</v>
      </c>
      <c r="KH11" s="232" t="str">
        <f>IF(KG11="","",IF(KG11&gt;=KONVERSI!$A$5,KONVERSI!$E$12,IF(KG11&gt;=KONVERSI!$A$6,KONVERSI!$E$13,IF(KG11&gt;=KONVERSI!$A$7,KONVERSI!$E$14,KONVERSI!$E$15))))</f>
        <v>Terampil</v>
      </c>
      <c r="KI11" s="134" t="str">
        <f>IF(GC11="","",IF(GC11&lt;$GD$3," "&amp;KONVERSI!$C$19&amp;INDEX($JJ$8:$KC$8,MATCH(KG12,JJ12:KC12,0))&amp;".",IF(GC11=0,"",IF(KG11&lt;&gt;0,KF11&amp;KH11&amp;".",KF11&amp;"."))))</f>
        <v>Terampil dalammemilih jenis, bahan dan teknik pengolahan kerang, kaca, keramik dan botol plastik sesuai dengan potensi daerah setempatTerampil.</v>
      </c>
      <c r="KJ11" s="235" t="str">
        <f t="shared" si="144"/>
        <v>OK</v>
      </c>
      <c r="KK11" s="235" t="str">
        <f t="shared" si="145"/>
        <v>OK</v>
      </c>
      <c r="KL11" s="235" t="str">
        <f t="shared" si="146"/>
        <v/>
      </c>
      <c r="KM11" s="235" t="str">
        <f t="shared" si="147"/>
        <v/>
      </c>
      <c r="KN11" s="235" t="str">
        <f t="shared" si="148"/>
        <v/>
      </c>
      <c r="KO11" s="235" t="str">
        <f t="shared" si="149"/>
        <v/>
      </c>
      <c r="KP11" s="235" t="str">
        <f t="shared" si="150"/>
        <v/>
      </c>
      <c r="KQ11" s="235" t="str">
        <f t="shared" si="151"/>
        <v/>
      </c>
      <c r="KR11" s="235" t="str">
        <f t="shared" si="152"/>
        <v/>
      </c>
      <c r="KS11" s="235" t="str">
        <f t="shared" si="153"/>
        <v/>
      </c>
      <c r="KT11" s="235" t="str">
        <f t="shared" si="154"/>
        <v/>
      </c>
      <c r="KU11" s="235" t="str">
        <f t="shared" si="155"/>
        <v/>
      </c>
      <c r="KV11" s="235" t="str">
        <f t="shared" si="156"/>
        <v/>
      </c>
      <c r="KW11" s="235" t="str">
        <f t="shared" si="157"/>
        <v/>
      </c>
      <c r="KX11" s="235" t="str">
        <f t="shared" si="158"/>
        <v/>
      </c>
      <c r="KY11" s="235" t="str">
        <f t="shared" si="159"/>
        <v/>
      </c>
      <c r="KZ11" s="235" t="str">
        <f t="shared" si="160"/>
        <v/>
      </c>
      <c r="LA11" s="235" t="str">
        <f t="shared" si="161"/>
        <v/>
      </c>
      <c r="LB11" s="235" t="str">
        <f t="shared" si="162"/>
        <v/>
      </c>
      <c r="LC11" s="235" t="str">
        <f t="shared" si="163"/>
        <v/>
      </c>
      <c r="LD11" s="134" t="str">
        <f t="shared" si="164"/>
        <v>memilih jenis, bahan dan teknik pengolahan kerang, kaca, keramik dan botol plastik sesuai dengan potensi daerah setempat</v>
      </c>
      <c r="LE11" s="134" t="str">
        <f t="shared" si="96"/>
        <v>perancangan pembuatan dan penyajian kerajinan kerang, kaca, keramik dan botol plastik yang kreatif dan inovatif</v>
      </c>
      <c r="LF11" s="134" t="str">
        <f t="shared" si="96"/>
        <v/>
      </c>
      <c r="LG11" s="134" t="str">
        <f t="shared" si="96"/>
        <v/>
      </c>
      <c r="LH11" s="134" t="str">
        <f t="shared" si="96"/>
        <v/>
      </c>
      <c r="LI11" s="134" t="str">
        <f t="shared" si="96"/>
        <v/>
      </c>
      <c r="LJ11" s="134" t="str">
        <f t="shared" si="96"/>
        <v/>
      </c>
      <c r="LK11" s="134" t="str">
        <f t="shared" si="96"/>
        <v/>
      </c>
      <c r="LL11" s="134" t="str">
        <f t="shared" si="96"/>
        <v/>
      </c>
      <c r="LM11" s="134" t="str">
        <f t="shared" si="96"/>
        <v/>
      </c>
      <c r="LN11" s="134" t="str">
        <f t="shared" si="96"/>
        <v/>
      </c>
      <c r="LO11" s="134" t="str">
        <f t="shared" si="96"/>
        <v/>
      </c>
      <c r="LP11" s="134" t="str">
        <f t="shared" si="96"/>
        <v/>
      </c>
      <c r="LQ11" s="134" t="str">
        <f t="shared" si="96"/>
        <v/>
      </c>
      <c r="LR11" s="134" t="str">
        <f t="shared" si="96"/>
        <v/>
      </c>
      <c r="LS11" s="134" t="str">
        <f t="shared" si="96"/>
        <v/>
      </c>
      <c r="LT11" s="134" t="str">
        <f t="shared" si="96"/>
        <v/>
      </c>
      <c r="LU11" s="134" t="str">
        <f t="shared" si="96"/>
        <v/>
      </c>
      <c r="LV11" s="134" t="str">
        <f t="shared" si="96"/>
        <v/>
      </c>
      <c r="LW11" s="134" t="str">
        <f t="shared" si="96"/>
        <v/>
      </c>
      <c r="LX11" s="134" t="str">
        <f t="shared" si="165"/>
        <v>Terampil dalam memilih jenis, bahan dan teknik pengolahan kerang, kaca, keramik dan botol plastik sesuai dengan potensi daerah setempatperancangan pembuatan dan penyajian kerajinan kerang, kaca, keramik dan botol plastik yang kreatif dan inovatif</v>
      </c>
      <c r="LY11" s="134" t="str">
        <f t="shared" si="166"/>
        <v>Terampil dalam memilih jenis, bahan dan teknik pengolahan kerang, kaca, keramik dan botol plastik sesuai dengan potensi daerah setempatperancangan pembuatan dan penyajian kerajinan kerang, kaca, keramik dan botol plastik yang kreatif dan inovati.  </v>
      </c>
      <c r="LZ11" s="236">
        <f t="shared" si="97"/>
        <v>2</v>
      </c>
      <c r="MA11" s="235" t="str">
        <f t="shared" si="167"/>
        <v>OK</v>
      </c>
      <c r="MB11" s="235" t="str">
        <f t="shared" si="168"/>
        <v>OK</v>
      </c>
      <c r="MC11" s="235" t="str">
        <f t="shared" si="169"/>
        <v/>
      </c>
      <c r="MD11" s="235" t="str">
        <f t="shared" si="170"/>
        <v/>
      </c>
      <c r="ME11" s="235" t="str">
        <f t="shared" si="171"/>
        <v/>
      </c>
      <c r="MF11" s="235" t="str">
        <f t="shared" si="172"/>
        <v/>
      </c>
      <c r="MG11" s="235" t="str">
        <f t="shared" si="173"/>
        <v/>
      </c>
      <c r="MH11" s="235" t="str">
        <f t="shared" si="174"/>
        <v/>
      </c>
      <c r="MI11" s="235" t="str">
        <f t="shared" si="175"/>
        <v/>
      </c>
      <c r="MJ11" s="235" t="str">
        <f t="shared" si="176"/>
        <v/>
      </c>
      <c r="MK11" s="235" t="str">
        <f t="shared" si="177"/>
        <v/>
      </c>
      <c r="ML11" s="235" t="str">
        <f t="shared" si="178"/>
        <v/>
      </c>
      <c r="MM11" s="235" t="str">
        <f t="shared" si="179"/>
        <v/>
      </c>
      <c r="MN11" s="235" t="str">
        <f t="shared" si="180"/>
        <v/>
      </c>
      <c r="MO11" s="235" t="str">
        <f t="shared" si="181"/>
        <v/>
      </c>
      <c r="MP11" s="235" t="str">
        <f t="shared" si="182"/>
        <v/>
      </c>
      <c r="MQ11" s="235" t="str">
        <f t="shared" si="183"/>
        <v/>
      </c>
      <c r="MR11" s="235" t="str">
        <f t="shared" si="184"/>
        <v/>
      </c>
      <c r="MS11" s="235" t="str">
        <f t="shared" si="185"/>
        <v/>
      </c>
      <c r="MT11" s="235" t="str">
        <f t="shared" si="186"/>
        <v/>
      </c>
      <c r="MU11" s="134" t="str">
        <f t="shared" si="187"/>
        <v>memilih jenis, bahan dan teknik pengolahan kerang, kaca, keramik dan botol plastik sesuai dengan potensi daerah setempat</v>
      </c>
      <c r="MV11" s="134" t="str">
        <f t="shared" si="110"/>
        <v>perancangan pembuatan dan penyajian kerajinan kerang, kaca, keramik dan botol plastik yang kreatif dan inovatif</v>
      </c>
      <c r="MW11" s="134" t="str">
        <f t="shared" si="110"/>
        <v/>
      </c>
      <c r="MX11" s="134" t="str">
        <f t="shared" si="110"/>
        <v/>
      </c>
      <c r="MY11" s="134" t="str">
        <f t="shared" si="110"/>
        <v/>
      </c>
      <c r="MZ11" s="134" t="str">
        <f t="shared" si="110"/>
        <v/>
      </c>
      <c r="NA11" s="134" t="str">
        <f t="shared" si="110"/>
        <v/>
      </c>
      <c r="NB11" s="134" t="str">
        <f t="shared" si="110"/>
        <v/>
      </c>
      <c r="NC11" s="134" t="str">
        <f t="shared" si="110"/>
        <v/>
      </c>
      <c r="ND11" s="134" t="str">
        <f t="shared" si="110"/>
        <v/>
      </c>
      <c r="NE11" s="134" t="str">
        <f t="shared" si="110"/>
        <v/>
      </c>
      <c r="NF11" s="134" t="str">
        <f t="shared" si="110"/>
        <v/>
      </c>
      <c r="NG11" s="134" t="str">
        <f t="shared" si="110"/>
        <v/>
      </c>
      <c r="NH11" s="134" t="str">
        <f t="shared" si="110"/>
        <v/>
      </c>
      <c r="NI11" s="134" t="str">
        <f t="shared" si="110"/>
        <v/>
      </c>
      <c r="NJ11" s="134" t="str">
        <f t="shared" si="110"/>
        <v/>
      </c>
      <c r="NK11" s="134" t="str">
        <f t="shared" si="110"/>
        <v/>
      </c>
      <c r="NL11" s="134" t="str">
        <f t="shared" si="110"/>
        <v/>
      </c>
      <c r="NM11" s="134" t="str">
        <f t="shared" si="110"/>
        <v/>
      </c>
      <c r="NN11" s="134" t="str">
        <f t="shared" si="110"/>
        <v/>
      </c>
      <c r="NO11" s="134" t="str">
        <f>IF(KE11=KH11,"",IF(KG11="","",IF(KG11&gt;=KONVERSI!$A$14,'KI4'!KH11&amp;" dalam"&amp;MU11&amp;MV11&amp;MW11&amp;MX11&amp;MY11&amp;MZ11&amp;NA11&amp;NB11&amp;NC11&amp;ND11&amp;NE11&amp;NF11&amp;NG11&amp;NH11&amp;NI11&amp;NJ11&amp;NK11&amp;NL11&amp;NM11&amp;NN11,KONVERSI!$C$19&amp;" dalam"&amp;MU11&amp;MV11&amp;MW11&amp;MX11&amp;MY11&amp;MZ11&amp;NA11&amp;NB11&amp;NC11&amp;ND11&amp;NE11&amp;NF11&amp;NG11&amp;NH11&amp;NI11&amp;NJ11&amp;NK11&amp;NL11&amp;NM11&amp;NN11)))</f>
        <v/>
      </c>
      <c r="NP11" s="134" t="str">
        <f t="shared" si="188"/>
        <v/>
      </c>
      <c r="NQ11" s="236">
        <f t="shared" si="111"/>
        <v>2</v>
      </c>
      <c r="NR11" s="134" t="str">
        <f t="shared" si="189"/>
        <v>Terampil dalam memilih jenis, bahan dan teknik pengolahan kerang, kaca, keramik dan botol plastik sesuai dengan potensi daerah setempatperancangan pembuatan dan penyajian kerajinan kerang, kaca, keramik dan botol plastik yang kreatif dan inovati.  </v>
      </c>
    </row>
    <row r="12" ht="27.6" customHeight="1" spans="1:382">
      <c r="A12" s="136"/>
      <c r="B12" s="177">
        <v>4</v>
      </c>
      <c r="C12" s="178" t="str">
        <f>siswa!C8</f>
        <v>DAVINA MOZHA HARIYANTO</v>
      </c>
      <c r="D12" s="174">
        <f>siswa!D8</f>
        <v>2740</v>
      </c>
      <c r="E12" s="175">
        <v>88</v>
      </c>
      <c r="F12" s="176"/>
      <c r="G12" s="176"/>
      <c r="H12" s="176"/>
      <c r="I12" s="176"/>
      <c r="J12" s="176"/>
      <c r="K12" s="176"/>
      <c r="L12" s="176"/>
      <c r="M12" s="194">
        <f t="shared" si="2"/>
        <v>88</v>
      </c>
      <c r="N12" s="176"/>
      <c r="O12" s="176"/>
      <c r="P12" s="175">
        <v>88</v>
      </c>
      <c r="Q12" s="176"/>
      <c r="R12" s="176"/>
      <c r="S12" s="176"/>
      <c r="T12" s="176"/>
      <c r="U12" s="176"/>
      <c r="V12" s="194">
        <f t="shared" si="3"/>
        <v>88</v>
      </c>
      <c r="W12" s="176"/>
      <c r="X12" s="176"/>
      <c r="Y12" s="176"/>
      <c r="Z12" s="176"/>
      <c r="AA12" s="176"/>
      <c r="AB12" s="176"/>
      <c r="AC12" s="176"/>
      <c r="AD12" s="176"/>
      <c r="AE12" s="194" t="str">
        <f t="shared" si="4"/>
        <v/>
      </c>
      <c r="AF12" s="176"/>
      <c r="AG12" s="176"/>
      <c r="AH12" s="176"/>
      <c r="AI12" s="176"/>
      <c r="AJ12" s="176"/>
      <c r="AK12" s="176"/>
      <c r="AL12" s="176"/>
      <c r="AM12" s="176"/>
      <c r="AN12" s="194" t="str">
        <f t="shared" si="5"/>
        <v/>
      </c>
      <c r="AO12" s="181"/>
      <c r="AP12" s="176"/>
      <c r="AQ12" s="176"/>
      <c r="AR12" s="176"/>
      <c r="AS12" s="176"/>
      <c r="AT12" s="176"/>
      <c r="AU12" s="176"/>
      <c r="AV12" s="176"/>
      <c r="AW12" s="194" t="str">
        <f t="shared" si="112"/>
        <v/>
      </c>
      <c r="AX12" s="181"/>
      <c r="AY12" s="176"/>
      <c r="AZ12" s="176"/>
      <c r="BA12" s="176"/>
      <c r="BB12" s="176"/>
      <c r="BC12" s="176"/>
      <c r="BD12" s="176"/>
      <c r="BE12" s="176"/>
      <c r="BF12" s="194" t="str">
        <f t="shared" si="6"/>
        <v/>
      </c>
      <c r="BG12" s="181"/>
      <c r="BH12" s="176"/>
      <c r="BI12" s="176"/>
      <c r="BJ12" s="176"/>
      <c r="BK12" s="176"/>
      <c r="BL12" s="176"/>
      <c r="BM12" s="176"/>
      <c r="BN12" s="176"/>
      <c r="BO12" s="194" t="str">
        <f t="shared" si="113"/>
        <v/>
      </c>
      <c r="BP12" s="181"/>
      <c r="BQ12" s="176"/>
      <c r="BR12" s="176"/>
      <c r="BS12" s="176"/>
      <c r="BT12" s="176"/>
      <c r="BU12" s="176"/>
      <c r="BV12" s="176"/>
      <c r="BW12" s="176"/>
      <c r="BX12" s="194" t="str">
        <f t="shared" si="114"/>
        <v/>
      </c>
      <c r="BY12" s="181"/>
      <c r="BZ12" s="176"/>
      <c r="CA12" s="176"/>
      <c r="CB12" s="176"/>
      <c r="CC12" s="176"/>
      <c r="CD12" s="176"/>
      <c r="CE12" s="176"/>
      <c r="CF12" s="176"/>
      <c r="CG12" s="194" t="str">
        <f t="shared" si="115"/>
        <v/>
      </c>
      <c r="CH12" s="181"/>
      <c r="CI12" s="176"/>
      <c r="CJ12" s="176"/>
      <c r="CK12" s="176"/>
      <c r="CL12" s="176"/>
      <c r="CM12" s="176"/>
      <c r="CN12" s="176"/>
      <c r="CO12" s="176"/>
      <c r="CP12" s="194" t="str">
        <f t="shared" si="7"/>
        <v/>
      </c>
      <c r="CQ12" s="181"/>
      <c r="CR12" s="176"/>
      <c r="CS12" s="176"/>
      <c r="CT12" s="176"/>
      <c r="CU12" s="176"/>
      <c r="CV12" s="176"/>
      <c r="CW12" s="176"/>
      <c r="CX12" s="176"/>
      <c r="CY12" s="194" t="str">
        <f t="shared" si="116"/>
        <v/>
      </c>
      <c r="CZ12" s="181"/>
      <c r="DA12" s="176"/>
      <c r="DB12" s="176"/>
      <c r="DC12" s="176"/>
      <c r="DD12" s="176"/>
      <c r="DE12" s="176"/>
      <c r="DF12" s="176"/>
      <c r="DG12" s="176"/>
      <c r="DH12" s="194" t="str">
        <f t="shared" si="8"/>
        <v/>
      </c>
      <c r="DI12" s="181"/>
      <c r="DJ12" s="176"/>
      <c r="DK12" s="176"/>
      <c r="DL12" s="176"/>
      <c r="DM12" s="176"/>
      <c r="DN12" s="176"/>
      <c r="DO12" s="176"/>
      <c r="DP12" s="176"/>
      <c r="DQ12" s="194" t="str">
        <f t="shared" si="117"/>
        <v/>
      </c>
      <c r="DR12" s="181"/>
      <c r="DS12" s="176"/>
      <c r="DT12" s="176"/>
      <c r="DU12" s="176"/>
      <c r="DV12" s="176"/>
      <c r="DW12" s="176"/>
      <c r="DX12" s="176"/>
      <c r="DY12" s="176"/>
      <c r="DZ12" s="194" t="str">
        <f t="shared" si="9"/>
        <v/>
      </c>
      <c r="EA12" s="181"/>
      <c r="EB12" s="176"/>
      <c r="EC12" s="176"/>
      <c r="ED12" s="176"/>
      <c r="EE12" s="176"/>
      <c r="EF12" s="176"/>
      <c r="EG12" s="176"/>
      <c r="EH12" s="176"/>
      <c r="EI12" s="194" t="str">
        <f t="shared" si="10"/>
        <v/>
      </c>
      <c r="EJ12" s="181"/>
      <c r="EK12" s="176"/>
      <c r="EL12" s="176"/>
      <c r="EM12" s="176"/>
      <c r="EN12" s="176"/>
      <c r="EO12" s="176"/>
      <c r="EP12" s="176"/>
      <c r="EQ12" s="176"/>
      <c r="ER12" s="194" t="str">
        <f t="shared" si="11"/>
        <v/>
      </c>
      <c r="ES12" s="181"/>
      <c r="ET12" s="176"/>
      <c r="EU12" s="176"/>
      <c r="EV12" s="176"/>
      <c r="EW12" s="176"/>
      <c r="EX12" s="176"/>
      <c r="EY12" s="176"/>
      <c r="EZ12" s="176"/>
      <c r="FA12" s="194" t="str">
        <f t="shared" si="12"/>
        <v/>
      </c>
      <c r="FB12" s="181"/>
      <c r="FC12" s="176"/>
      <c r="FD12" s="176"/>
      <c r="FE12" s="176"/>
      <c r="FF12" s="176"/>
      <c r="FG12" s="176"/>
      <c r="FH12" s="176"/>
      <c r="FI12" s="176"/>
      <c r="FJ12" s="194" t="str">
        <f t="shared" si="13"/>
        <v/>
      </c>
      <c r="FK12" s="181"/>
      <c r="FL12" s="176"/>
      <c r="FM12" s="176"/>
      <c r="FN12" s="176"/>
      <c r="FO12" s="176"/>
      <c r="FP12" s="176"/>
      <c r="FQ12" s="176"/>
      <c r="FR12" s="176"/>
      <c r="FS12" s="194" t="str">
        <f t="shared" si="14"/>
        <v/>
      </c>
      <c r="FT12" s="181"/>
      <c r="FU12" s="176"/>
      <c r="FV12" s="176"/>
      <c r="FW12" s="176"/>
      <c r="FX12" s="176"/>
      <c r="FY12" s="176"/>
      <c r="FZ12" s="176"/>
      <c r="GA12" s="176"/>
      <c r="GB12" s="194" t="str">
        <f t="shared" si="118"/>
        <v/>
      </c>
      <c r="GC12" s="194">
        <f t="shared" si="119"/>
        <v>88</v>
      </c>
      <c r="GD12" s="194" t="str">
        <f>IF(GC12="","",IF(GC12&gt;=KONVERSI!$A$5,KONVERSI!$D$5,IF(GC12&gt;=KONVERSI!$A$6,KONVERSI!$D$6,IF(GC12&gt;=KONVERSI!$A$7,KONVERSI!$D$7,KONVERSI!$D$8))))</f>
        <v>B</v>
      </c>
      <c r="GE12" s="194" t="str">
        <f t="shared" si="120"/>
        <v>Tuntas</v>
      </c>
      <c r="GF12" s="222"/>
      <c r="GG12" s="223">
        <f t="shared" si="15"/>
        <v>88</v>
      </c>
      <c r="GH12" s="194">
        <f t="shared" si="16"/>
        <v>0</v>
      </c>
      <c r="GI12" s="194">
        <f t="shared" si="17"/>
        <v>0</v>
      </c>
      <c r="GJ12" s="194">
        <f t="shared" si="18"/>
        <v>0</v>
      </c>
      <c r="GK12" s="194">
        <f t="shared" si="19"/>
        <v>0</v>
      </c>
      <c r="GL12" s="194">
        <f t="shared" si="20"/>
        <v>88</v>
      </c>
      <c r="GM12" s="194">
        <f t="shared" si="21"/>
        <v>0</v>
      </c>
      <c r="GN12" s="194">
        <f t="shared" si="22"/>
        <v>0</v>
      </c>
      <c r="GO12" s="194">
        <f t="shared" si="23"/>
        <v>0</v>
      </c>
      <c r="GP12" s="194">
        <f t="shared" si="24"/>
        <v>0</v>
      </c>
      <c r="GQ12" s="194">
        <f t="shared" si="25"/>
        <v>0</v>
      </c>
      <c r="GR12" s="194">
        <f t="shared" si="26"/>
        <v>0</v>
      </c>
      <c r="GS12" s="194">
        <f t="shared" si="27"/>
        <v>0</v>
      </c>
      <c r="GT12" s="194">
        <f t="shared" si="28"/>
        <v>0</v>
      </c>
      <c r="GU12" s="194">
        <f t="shared" si="29"/>
        <v>0</v>
      </c>
      <c r="GV12" s="194">
        <f t="shared" si="30"/>
        <v>0</v>
      </c>
      <c r="GW12" s="194">
        <f t="shared" si="31"/>
        <v>0</v>
      </c>
      <c r="GX12" s="194">
        <f t="shared" si="32"/>
        <v>0</v>
      </c>
      <c r="GY12" s="194">
        <f t="shared" si="33"/>
        <v>0</v>
      </c>
      <c r="GZ12" s="194">
        <f t="shared" si="34"/>
        <v>0</v>
      </c>
      <c r="HA12" s="194">
        <f t="shared" si="35"/>
        <v>0</v>
      </c>
      <c r="HB12" s="194">
        <f t="shared" si="36"/>
        <v>0</v>
      </c>
      <c r="HC12" s="194">
        <f t="shared" si="37"/>
        <v>0</v>
      </c>
      <c r="HD12" s="194">
        <f t="shared" si="38"/>
        <v>0</v>
      </c>
      <c r="HE12" s="194">
        <f t="shared" si="39"/>
        <v>0</v>
      </c>
      <c r="HF12" s="194">
        <f t="shared" si="40"/>
        <v>0</v>
      </c>
      <c r="HG12" s="194">
        <f t="shared" si="41"/>
        <v>0</v>
      </c>
      <c r="HH12" s="194">
        <f t="shared" si="42"/>
        <v>0</v>
      </c>
      <c r="HI12" s="194">
        <f t="shared" si="43"/>
        <v>0</v>
      </c>
      <c r="HJ12" s="194">
        <f t="shared" si="44"/>
        <v>0</v>
      </c>
      <c r="HK12" s="194">
        <f t="shared" si="45"/>
        <v>0</v>
      </c>
      <c r="HL12" s="194">
        <f t="shared" si="46"/>
        <v>0</v>
      </c>
      <c r="HM12" s="194">
        <f t="shared" si="47"/>
        <v>0</v>
      </c>
      <c r="HN12" s="194">
        <f t="shared" si="48"/>
        <v>0</v>
      </c>
      <c r="HO12" s="194">
        <f t="shared" si="49"/>
        <v>0</v>
      </c>
      <c r="HP12" s="194">
        <f t="shared" si="50"/>
        <v>0</v>
      </c>
      <c r="HQ12" s="194">
        <f t="shared" si="51"/>
        <v>0</v>
      </c>
      <c r="HR12" s="194">
        <f t="shared" si="52"/>
        <v>0</v>
      </c>
      <c r="HS12" s="194">
        <f t="shared" si="53"/>
        <v>0</v>
      </c>
      <c r="HT12" s="194">
        <f t="shared" si="54"/>
        <v>0</v>
      </c>
      <c r="HU12" s="194">
        <f t="shared" si="55"/>
        <v>0</v>
      </c>
      <c r="HV12" s="194">
        <f t="shared" si="56"/>
        <v>0</v>
      </c>
      <c r="HW12" s="194">
        <f t="shared" si="57"/>
        <v>0</v>
      </c>
      <c r="HX12" s="194">
        <f t="shared" si="58"/>
        <v>0</v>
      </c>
      <c r="HY12" s="194">
        <f t="shared" si="59"/>
        <v>0</v>
      </c>
      <c r="HZ12" s="194">
        <f t="shared" si="60"/>
        <v>0</v>
      </c>
      <c r="IA12" s="194">
        <f t="shared" si="61"/>
        <v>0</v>
      </c>
      <c r="IB12" s="194">
        <f t="shared" si="62"/>
        <v>0</v>
      </c>
      <c r="IC12" s="194">
        <f t="shared" si="63"/>
        <v>0</v>
      </c>
      <c r="ID12" s="194">
        <f t="shared" si="64"/>
        <v>0</v>
      </c>
      <c r="IE12" s="194">
        <f t="shared" si="65"/>
        <v>0</v>
      </c>
      <c r="IF12" s="194">
        <f t="shared" si="66"/>
        <v>0</v>
      </c>
      <c r="IG12" s="194">
        <f t="shared" si="67"/>
        <v>0</v>
      </c>
      <c r="IH12" s="194">
        <f t="shared" si="68"/>
        <v>0</v>
      </c>
      <c r="II12" s="194">
        <f t="shared" si="69"/>
        <v>0</v>
      </c>
      <c r="IJ12" s="194">
        <f t="shared" si="70"/>
        <v>0</v>
      </c>
      <c r="IK12" s="194">
        <f t="shared" si="71"/>
        <v>0</v>
      </c>
      <c r="IL12" s="194">
        <f t="shared" si="72"/>
        <v>0</v>
      </c>
      <c r="IM12" s="194">
        <f t="shared" si="73"/>
        <v>0</v>
      </c>
      <c r="IN12" s="194">
        <f t="shared" si="74"/>
        <v>0</v>
      </c>
      <c r="IO12" s="194">
        <f t="shared" si="75"/>
        <v>0</v>
      </c>
      <c r="IP12" s="194">
        <f t="shared" si="76"/>
        <v>0</v>
      </c>
      <c r="IQ12" s="194">
        <f t="shared" si="77"/>
        <v>0</v>
      </c>
      <c r="IR12" s="194">
        <f t="shared" si="78"/>
        <v>0</v>
      </c>
      <c r="IS12" s="194">
        <f t="shared" si="79"/>
        <v>0</v>
      </c>
      <c r="IT12" s="194">
        <f t="shared" si="80"/>
        <v>0</v>
      </c>
      <c r="IU12" s="194">
        <f t="shared" si="81"/>
        <v>0</v>
      </c>
      <c r="IV12" s="194">
        <f t="shared" si="82"/>
        <v>0</v>
      </c>
      <c r="IW12" s="194">
        <f t="shared" si="83"/>
        <v>0</v>
      </c>
      <c r="IX12" s="194">
        <f t="shared" si="84"/>
        <v>0</v>
      </c>
      <c r="IY12" s="194">
        <f t="shared" si="85"/>
        <v>0</v>
      </c>
      <c r="IZ12" s="194">
        <f t="shared" si="86"/>
        <v>0</v>
      </c>
      <c r="JA12" s="194">
        <f t="shared" si="87"/>
        <v>0</v>
      </c>
      <c r="JB12" s="194">
        <f t="shared" si="88"/>
        <v>0</v>
      </c>
      <c r="JC12" s="194">
        <f t="shared" si="89"/>
        <v>0</v>
      </c>
      <c r="JD12" s="194">
        <f t="shared" si="90"/>
        <v>0</v>
      </c>
      <c r="JE12" s="194">
        <f t="shared" si="91"/>
        <v>0</v>
      </c>
      <c r="JF12" s="194">
        <f t="shared" si="92"/>
        <v>0</v>
      </c>
      <c r="JG12" s="194">
        <f t="shared" si="93"/>
        <v>0</v>
      </c>
      <c r="JH12" s="194">
        <f t="shared" si="94"/>
        <v>0</v>
      </c>
      <c r="JI12" s="228">
        <v>4</v>
      </c>
      <c r="JJ12" s="229">
        <f t="shared" si="121"/>
        <v>88</v>
      </c>
      <c r="JK12" s="229">
        <f t="shared" si="122"/>
        <v>88</v>
      </c>
      <c r="JL12" s="229" t="str">
        <f t="shared" si="123"/>
        <v/>
      </c>
      <c r="JM12" s="229" t="str">
        <f t="shared" si="124"/>
        <v/>
      </c>
      <c r="JN12" s="229" t="str">
        <f t="shared" si="125"/>
        <v/>
      </c>
      <c r="JO12" s="229" t="str">
        <f t="shared" si="126"/>
        <v/>
      </c>
      <c r="JP12" s="229" t="str">
        <f t="shared" si="127"/>
        <v/>
      </c>
      <c r="JQ12" s="229" t="str">
        <f t="shared" si="128"/>
        <v/>
      </c>
      <c r="JR12" s="229" t="str">
        <f t="shared" si="129"/>
        <v/>
      </c>
      <c r="JS12" s="229" t="str">
        <f t="shared" si="130"/>
        <v/>
      </c>
      <c r="JT12" s="229" t="str">
        <f t="shared" si="131"/>
        <v/>
      </c>
      <c r="JU12" s="229" t="str">
        <f t="shared" si="132"/>
        <v/>
      </c>
      <c r="JV12" s="229" t="str">
        <f t="shared" si="133"/>
        <v/>
      </c>
      <c r="JW12" s="229" t="str">
        <f t="shared" si="134"/>
        <v/>
      </c>
      <c r="JX12" s="229" t="str">
        <f t="shared" si="135"/>
        <v/>
      </c>
      <c r="JY12" s="229" t="str">
        <f t="shared" si="136"/>
        <v/>
      </c>
      <c r="JZ12" s="229" t="str">
        <f t="shared" si="137"/>
        <v/>
      </c>
      <c r="KA12" s="229" t="str">
        <f t="shared" si="138"/>
        <v/>
      </c>
      <c r="KB12" s="229" t="str">
        <f t="shared" si="139"/>
        <v/>
      </c>
      <c r="KC12" s="229" t="str">
        <f t="shared" si="140"/>
        <v/>
      </c>
      <c r="KD12" s="231">
        <f t="shared" si="141"/>
        <v>88</v>
      </c>
      <c r="KE12" s="232" t="str">
        <f>IF(KD12="","",IF(KD12&gt;=KONVERSI!$A$5,KONVERSI!$E$12,IF(KD12&gt;=KONVERSI!$A$6,KONVERSI!$E$13,IF(KD12&gt;=KONVERSI!$A$7,KONVERSI!$E$14,KONVERSI!$E$15))))</f>
        <v>Terampil</v>
      </c>
      <c r="KF12" s="233" t="str">
        <f t="shared" si="142"/>
        <v>Terampil dalammemilih jenis, bahan dan teknik pengolahan kerang, kaca, keramik dan botol plastik sesuai dengan potensi daerah setempat</v>
      </c>
      <c r="KG12" s="234">
        <f t="shared" si="143"/>
        <v>88</v>
      </c>
      <c r="KH12" s="232" t="str">
        <f>IF(KG12="","",IF(KG12&gt;=KONVERSI!$A$5,KONVERSI!$E$12,IF(KG12&gt;=KONVERSI!$A$6,KONVERSI!$E$13,IF(KG12&gt;=KONVERSI!$A$7,KONVERSI!$E$14,KONVERSI!$E$15))))</f>
        <v>Terampil</v>
      </c>
      <c r="KI12" s="134" t="str">
        <f>IF(GC12="","",IF(GC12&lt;$GD$3," "&amp;KONVERSI!$C$19&amp;INDEX($JJ$8:$KC$8,MATCH(KG13,JJ13:KC13,0))&amp;".",IF(GC12=0,"",IF(KG12&lt;&gt;0,KF12&amp;KH12&amp;".",KF12&amp;"."))))</f>
        <v>Terampil dalammemilih jenis, bahan dan teknik pengolahan kerang, kaca, keramik dan botol plastik sesuai dengan potensi daerah setempatTerampil.</v>
      </c>
      <c r="KJ12" s="235" t="str">
        <f t="shared" si="144"/>
        <v>OK</v>
      </c>
      <c r="KK12" s="235" t="str">
        <f t="shared" si="145"/>
        <v>OK</v>
      </c>
      <c r="KL12" s="235" t="str">
        <f t="shared" si="146"/>
        <v/>
      </c>
      <c r="KM12" s="235" t="str">
        <f t="shared" si="147"/>
        <v/>
      </c>
      <c r="KN12" s="235" t="str">
        <f t="shared" si="148"/>
        <v/>
      </c>
      <c r="KO12" s="235" t="str">
        <f t="shared" si="149"/>
        <v/>
      </c>
      <c r="KP12" s="235" t="str">
        <f t="shared" si="150"/>
        <v/>
      </c>
      <c r="KQ12" s="235" t="str">
        <f t="shared" si="151"/>
        <v/>
      </c>
      <c r="KR12" s="235" t="str">
        <f t="shared" si="152"/>
        <v/>
      </c>
      <c r="KS12" s="235" t="str">
        <f t="shared" si="153"/>
        <v/>
      </c>
      <c r="KT12" s="235" t="str">
        <f t="shared" si="154"/>
        <v/>
      </c>
      <c r="KU12" s="235" t="str">
        <f t="shared" si="155"/>
        <v/>
      </c>
      <c r="KV12" s="235" t="str">
        <f t="shared" si="156"/>
        <v/>
      </c>
      <c r="KW12" s="235" t="str">
        <f t="shared" si="157"/>
        <v/>
      </c>
      <c r="KX12" s="235" t="str">
        <f t="shared" si="158"/>
        <v/>
      </c>
      <c r="KY12" s="235" t="str">
        <f t="shared" si="159"/>
        <v/>
      </c>
      <c r="KZ12" s="235" t="str">
        <f t="shared" si="160"/>
        <v/>
      </c>
      <c r="LA12" s="235" t="str">
        <f t="shared" si="161"/>
        <v/>
      </c>
      <c r="LB12" s="235" t="str">
        <f t="shared" si="162"/>
        <v/>
      </c>
      <c r="LC12" s="235" t="str">
        <f t="shared" si="163"/>
        <v/>
      </c>
      <c r="LD12" s="134" t="str">
        <f t="shared" si="164"/>
        <v>memilih jenis, bahan dan teknik pengolahan kerang, kaca, keramik dan botol plastik sesuai dengan potensi daerah setempat</v>
      </c>
      <c r="LE12" s="134" t="str">
        <f t="shared" si="96"/>
        <v>perancangan pembuatan dan penyajian kerajinan kerang, kaca, keramik dan botol plastik yang kreatif dan inovatif</v>
      </c>
      <c r="LF12" s="134" t="str">
        <f t="shared" si="96"/>
        <v/>
      </c>
      <c r="LG12" s="134" t="str">
        <f t="shared" si="96"/>
        <v/>
      </c>
      <c r="LH12" s="134" t="str">
        <f t="shared" si="96"/>
        <v/>
      </c>
      <c r="LI12" s="134" t="str">
        <f t="shared" si="96"/>
        <v/>
      </c>
      <c r="LJ12" s="134" t="str">
        <f t="shared" si="96"/>
        <v/>
      </c>
      <c r="LK12" s="134" t="str">
        <f t="shared" si="96"/>
        <v/>
      </c>
      <c r="LL12" s="134" t="str">
        <f t="shared" si="96"/>
        <v/>
      </c>
      <c r="LM12" s="134" t="str">
        <f t="shared" si="96"/>
        <v/>
      </c>
      <c r="LN12" s="134" t="str">
        <f t="shared" si="96"/>
        <v/>
      </c>
      <c r="LO12" s="134" t="str">
        <f t="shared" si="96"/>
        <v/>
      </c>
      <c r="LP12" s="134" t="str">
        <f t="shared" si="96"/>
        <v/>
      </c>
      <c r="LQ12" s="134" t="str">
        <f t="shared" si="96"/>
        <v/>
      </c>
      <c r="LR12" s="134" t="str">
        <f t="shared" si="96"/>
        <v/>
      </c>
      <c r="LS12" s="134" t="str">
        <f t="shared" si="96"/>
        <v/>
      </c>
      <c r="LT12" s="134" t="str">
        <f t="shared" si="96"/>
        <v/>
      </c>
      <c r="LU12" s="134" t="str">
        <f t="shared" si="96"/>
        <v/>
      </c>
      <c r="LV12" s="134" t="str">
        <f t="shared" si="96"/>
        <v/>
      </c>
      <c r="LW12" s="134" t="str">
        <f t="shared" si="96"/>
        <v/>
      </c>
      <c r="LX12" s="134" t="str">
        <f t="shared" si="165"/>
        <v>Terampil dalam memilih jenis, bahan dan teknik pengolahan kerang, kaca, keramik dan botol plastik sesuai dengan potensi daerah setempatperancangan pembuatan dan penyajian kerajinan kerang, kaca, keramik dan botol plastik yang kreatif dan inovatif</v>
      </c>
      <c r="LY12" s="134" t="str">
        <f t="shared" si="166"/>
        <v>Terampil dalam memilih jenis, bahan dan teknik pengolahan kerang, kaca, keramik dan botol plastik sesuai dengan potensi daerah setempatperancangan pembuatan dan penyajian kerajinan kerang, kaca, keramik dan botol plastik yang kreatif dan inovati.  </v>
      </c>
      <c r="LZ12" s="236">
        <f t="shared" si="97"/>
        <v>2</v>
      </c>
      <c r="MA12" s="235" t="str">
        <f t="shared" si="167"/>
        <v>OK</v>
      </c>
      <c r="MB12" s="235" t="str">
        <f t="shared" si="168"/>
        <v>OK</v>
      </c>
      <c r="MC12" s="235" t="str">
        <f t="shared" si="169"/>
        <v/>
      </c>
      <c r="MD12" s="235" t="str">
        <f t="shared" si="170"/>
        <v/>
      </c>
      <c r="ME12" s="235" t="str">
        <f t="shared" si="171"/>
        <v/>
      </c>
      <c r="MF12" s="235" t="str">
        <f t="shared" si="172"/>
        <v/>
      </c>
      <c r="MG12" s="235" t="str">
        <f t="shared" si="173"/>
        <v/>
      </c>
      <c r="MH12" s="235" t="str">
        <f t="shared" si="174"/>
        <v/>
      </c>
      <c r="MI12" s="235" t="str">
        <f t="shared" si="175"/>
        <v/>
      </c>
      <c r="MJ12" s="235" t="str">
        <f t="shared" si="176"/>
        <v/>
      </c>
      <c r="MK12" s="235" t="str">
        <f t="shared" si="177"/>
        <v/>
      </c>
      <c r="ML12" s="235" t="str">
        <f t="shared" si="178"/>
        <v/>
      </c>
      <c r="MM12" s="235" t="str">
        <f t="shared" si="179"/>
        <v/>
      </c>
      <c r="MN12" s="235" t="str">
        <f t="shared" si="180"/>
        <v/>
      </c>
      <c r="MO12" s="235" t="str">
        <f t="shared" si="181"/>
        <v/>
      </c>
      <c r="MP12" s="235" t="str">
        <f t="shared" si="182"/>
        <v/>
      </c>
      <c r="MQ12" s="235" t="str">
        <f t="shared" si="183"/>
        <v/>
      </c>
      <c r="MR12" s="235" t="str">
        <f t="shared" si="184"/>
        <v/>
      </c>
      <c r="MS12" s="235" t="str">
        <f t="shared" si="185"/>
        <v/>
      </c>
      <c r="MT12" s="235" t="str">
        <f t="shared" si="186"/>
        <v/>
      </c>
      <c r="MU12" s="134" t="str">
        <f t="shared" si="187"/>
        <v>memilih jenis, bahan dan teknik pengolahan kerang, kaca, keramik dan botol plastik sesuai dengan potensi daerah setempat</v>
      </c>
      <c r="MV12" s="134" t="str">
        <f t="shared" si="110"/>
        <v>perancangan pembuatan dan penyajian kerajinan kerang, kaca, keramik dan botol plastik yang kreatif dan inovatif</v>
      </c>
      <c r="MW12" s="134" t="str">
        <f t="shared" si="110"/>
        <v/>
      </c>
      <c r="MX12" s="134" t="str">
        <f t="shared" si="110"/>
        <v/>
      </c>
      <c r="MY12" s="134" t="str">
        <f t="shared" si="110"/>
        <v/>
      </c>
      <c r="MZ12" s="134" t="str">
        <f t="shared" si="110"/>
        <v/>
      </c>
      <c r="NA12" s="134" t="str">
        <f t="shared" si="110"/>
        <v/>
      </c>
      <c r="NB12" s="134" t="str">
        <f t="shared" si="110"/>
        <v/>
      </c>
      <c r="NC12" s="134" t="str">
        <f t="shared" si="110"/>
        <v/>
      </c>
      <c r="ND12" s="134" t="str">
        <f t="shared" si="110"/>
        <v/>
      </c>
      <c r="NE12" s="134" t="str">
        <f t="shared" si="110"/>
        <v/>
      </c>
      <c r="NF12" s="134" t="str">
        <f t="shared" si="110"/>
        <v/>
      </c>
      <c r="NG12" s="134" t="str">
        <f t="shared" si="110"/>
        <v/>
      </c>
      <c r="NH12" s="134" t="str">
        <f t="shared" si="110"/>
        <v/>
      </c>
      <c r="NI12" s="134" t="str">
        <f t="shared" si="110"/>
        <v/>
      </c>
      <c r="NJ12" s="134" t="str">
        <f t="shared" si="110"/>
        <v/>
      </c>
      <c r="NK12" s="134" t="str">
        <f t="shared" si="110"/>
        <v/>
      </c>
      <c r="NL12" s="134" t="str">
        <f t="shared" si="110"/>
        <v/>
      </c>
      <c r="NM12" s="134" t="str">
        <f t="shared" si="110"/>
        <v/>
      </c>
      <c r="NN12" s="134" t="str">
        <f t="shared" si="110"/>
        <v/>
      </c>
      <c r="NO12" s="134" t="str">
        <f>IF(KE12=KH12,"",IF(KG12="","",IF(KG12&gt;=KONVERSI!$A$14,'KI4'!KH12&amp;" dalam"&amp;MU12&amp;MV12&amp;MW12&amp;MX12&amp;MY12&amp;MZ12&amp;NA12&amp;NB12&amp;NC12&amp;ND12&amp;NE12&amp;NF12&amp;NG12&amp;NH12&amp;NI12&amp;NJ12&amp;NK12&amp;NL12&amp;NM12&amp;NN12,KONVERSI!$C$19&amp;" dalam"&amp;MU12&amp;MV12&amp;MW12&amp;MX12&amp;MY12&amp;MZ12&amp;NA12&amp;NB12&amp;NC12&amp;ND12&amp;NE12&amp;NF12&amp;NG12&amp;NH12&amp;NI12&amp;NJ12&amp;NK12&amp;NL12&amp;NM12&amp;NN12)))</f>
        <v/>
      </c>
      <c r="NP12" s="134" t="str">
        <f t="shared" si="188"/>
        <v/>
      </c>
      <c r="NQ12" s="236">
        <f t="shared" si="111"/>
        <v>2</v>
      </c>
      <c r="NR12" s="134" t="str">
        <f t="shared" si="189"/>
        <v>Terampil dalam memilih jenis, bahan dan teknik pengolahan kerang, kaca, keramik dan botol plastik sesuai dengan potensi daerah setempatperancangan pembuatan dan penyajian kerajinan kerang, kaca, keramik dan botol plastik yang kreatif dan inovati.  </v>
      </c>
    </row>
    <row r="13" ht="27.6" customHeight="1" spans="1:382">
      <c r="A13" s="136"/>
      <c r="B13" s="177">
        <v>5</v>
      </c>
      <c r="C13" s="178" t="str">
        <f>siswa!C9</f>
        <v>DEWI PUSPITA</v>
      </c>
      <c r="D13" s="174">
        <f>siswa!D9</f>
        <v>2746</v>
      </c>
      <c r="E13" s="175">
        <v>98</v>
      </c>
      <c r="F13" s="176"/>
      <c r="G13" s="176"/>
      <c r="H13" s="176"/>
      <c r="I13" s="176"/>
      <c r="J13" s="176"/>
      <c r="K13" s="176"/>
      <c r="L13" s="176"/>
      <c r="M13" s="194">
        <f t="shared" si="2"/>
        <v>98</v>
      </c>
      <c r="N13" s="176"/>
      <c r="O13" s="176"/>
      <c r="P13" s="175">
        <v>98</v>
      </c>
      <c r="Q13" s="176"/>
      <c r="R13" s="176"/>
      <c r="S13" s="176"/>
      <c r="T13" s="176"/>
      <c r="U13" s="176"/>
      <c r="V13" s="194">
        <f t="shared" si="3"/>
        <v>98</v>
      </c>
      <c r="W13" s="176"/>
      <c r="X13" s="176"/>
      <c r="Y13" s="176"/>
      <c r="Z13" s="176"/>
      <c r="AA13" s="176"/>
      <c r="AB13" s="176"/>
      <c r="AC13" s="176"/>
      <c r="AD13" s="176"/>
      <c r="AE13" s="194" t="str">
        <f t="shared" si="4"/>
        <v/>
      </c>
      <c r="AF13" s="176"/>
      <c r="AG13" s="176"/>
      <c r="AH13" s="176"/>
      <c r="AI13" s="176"/>
      <c r="AJ13" s="176"/>
      <c r="AK13" s="176"/>
      <c r="AL13" s="176"/>
      <c r="AM13" s="176"/>
      <c r="AN13" s="194" t="str">
        <f t="shared" si="5"/>
        <v/>
      </c>
      <c r="AO13" s="181"/>
      <c r="AP13" s="176"/>
      <c r="AQ13" s="176"/>
      <c r="AR13" s="176"/>
      <c r="AS13" s="176"/>
      <c r="AT13" s="176"/>
      <c r="AU13" s="176"/>
      <c r="AV13" s="176"/>
      <c r="AW13" s="194" t="str">
        <f t="shared" si="112"/>
        <v/>
      </c>
      <c r="AX13" s="181"/>
      <c r="AY13" s="176"/>
      <c r="AZ13" s="176"/>
      <c r="BA13" s="176"/>
      <c r="BB13" s="176"/>
      <c r="BC13" s="176"/>
      <c r="BD13" s="176"/>
      <c r="BE13" s="176"/>
      <c r="BF13" s="194" t="str">
        <f t="shared" si="6"/>
        <v/>
      </c>
      <c r="BG13" s="181"/>
      <c r="BH13" s="176"/>
      <c r="BI13" s="176"/>
      <c r="BJ13" s="176"/>
      <c r="BK13" s="176"/>
      <c r="BL13" s="176"/>
      <c r="BM13" s="176"/>
      <c r="BN13" s="176"/>
      <c r="BO13" s="194" t="str">
        <f t="shared" si="113"/>
        <v/>
      </c>
      <c r="BP13" s="181"/>
      <c r="BQ13" s="176"/>
      <c r="BR13" s="176"/>
      <c r="BS13" s="176"/>
      <c r="BT13" s="176"/>
      <c r="BU13" s="176"/>
      <c r="BV13" s="176"/>
      <c r="BW13" s="176"/>
      <c r="BX13" s="194" t="str">
        <f t="shared" si="114"/>
        <v/>
      </c>
      <c r="BY13" s="181"/>
      <c r="BZ13" s="176"/>
      <c r="CA13" s="176"/>
      <c r="CB13" s="176"/>
      <c r="CC13" s="176"/>
      <c r="CD13" s="176"/>
      <c r="CE13" s="176"/>
      <c r="CF13" s="176"/>
      <c r="CG13" s="194" t="str">
        <f t="shared" si="115"/>
        <v/>
      </c>
      <c r="CH13" s="181"/>
      <c r="CI13" s="176"/>
      <c r="CJ13" s="176"/>
      <c r="CK13" s="176"/>
      <c r="CL13" s="176"/>
      <c r="CM13" s="176"/>
      <c r="CN13" s="176"/>
      <c r="CO13" s="176"/>
      <c r="CP13" s="194" t="str">
        <f t="shared" si="7"/>
        <v/>
      </c>
      <c r="CQ13" s="181"/>
      <c r="CR13" s="176"/>
      <c r="CS13" s="176"/>
      <c r="CT13" s="176"/>
      <c r="CU13" s="176"/>
      <c r="CV13" s="176"/>
      <c r="CW13" s="176"/>
      <c r="CX13" s="176"/>
      <c r="CY13" s="194" t="str">
        <f t="shared" si="116"/>
        <v/>
      </c>
      <c r="CZ13" s="181"/>
      <c r="DA13" s="176"/>
      <c r="DB13" s="176"/>
      <c r="DC13" s="176"/>
      <c r="DD13" s="176"/>
      <c r="DE13" s="176"/>
      <c r="DF13" s="176"/>
      <c r="DG13" s="176"/>
      <c r="DH13" s="194" t="str">
        <f t="shared" si="8"/>
        <v/>
      </c>
      <c r="DI13" s="181"/>
      <c r="DJ13" s="176"/>
      <c r="DK13" s="176"/>
      <c r="DL13" s="176"/>
      <c r="DM13" s="176"/>
      <c r="DN13" s="176"/>
      <c r="DO13" s="176"/>
      <c r="DP13" s="176"/>
      <c r="DQ13" s="194" t="str">
        <f t="shared" si="117"/>
        <v/>
      </c>
      <c r="DR13" s="181"/>
      <c r="DS13" s="176"/>
      <c r="DT13" s="176"/>
      <c r="DU13" s="176"/>
      <c r="DV13" s="176"/>
      <c r="DW13" s="176"/>
      <c r="DX13" s="176"/>
      <c r="DY13" s="176"/>
      <c r="DZ13" s="194" t="str">
        <f t="shared" si="9"/>
        <v/>
      </c>
      <c r="EA13" s="181"/>
      <c r="EB13" s="176"/>
      <c r="EC13" s="176"/>
      <c r="ED13" s="176"/>
      <c r="EE13" s="176"/>
      <c r="EF13" s="176"/>
      <c r="EG13" s="176"/>
      <c r="EH13" s="176"/>
      <c r="EI13" s="194" t="str">
        <f t="shared" si="10"/>
        <v/>
      </c>
      <c r="EJ13" s="181"/>
      <c r="EK13" s="176"/>
      <c r="EL13" s="176"/>
      <c r="EM13" s="176"/>
      <c r="EN13" s="176"/>
      <c r="EO13" s="176"/>
      <c r="EP13" s="176"/>
      <c r="EQ13" s="176"/>
      <c r="ER13" s="194" t="str">
        <f t="shared" si="11"/>
        <v/>
      </c>
      <c r="ES13" s="181"/>
      <c r="ET13" s="176"/>
      <c r="EU13" s="176"/>
      <c r="EV13" s="176"/>
      <c r="EW13" s="176"/>
      <c r="EX13" s="176"/>
      <c r="EY13" s="176"/>
      <c r="EZ13" s="176"/>
      <c r="FA13" s="194" t="str">
        <f t="shared" si="12"/>
        <v/>
      </c>
      <c r="FB13" s="181"/>
      <c r="FC13" s="176"/>
      <c r="FD13" s="176"/>
      <c r="FE13" s="176"/>
      <c r="FF13" s="176"/>
      <c r="FG13" s="176"/>
      <c r="FH13" s="176"/>
      <c r="FI13" s="176"/>
      <c r="FJ13" s="194" t="str">
        <f t="shared" si="13"/>
        <v/>
      </c>
      <c r="FK13" s="181"/>
      <c r="FL13" s="176"/>
      <c r="FM13" s="176"/>
      <c r="FN13" s="176"/>
      <c r="FO13" s="176"/>
      <c r="FP13" s="176"/>
      <c r="FQ13" s="176"/>
      <c r="FR13" s="176"/>
      <c r="FS13" s="194" t="str">
        <f t="shared" si="14"/>
        <v/>
      </c>
      <c r="FT13" s="181"/>
      <c r="FU13" s="176"/>
      <c r="FV13" s="176"/>
      <c r="FW13" s="176"/>
      <c r="FX13" s="176"/>
      <c r="FY13" s="176"/>
      <c r="FZ13" s="176"/>
      <c r="GA13" s="176"/>
      <c r="GB13" s="194" t="str">
        <f t="shared" si="118"/>
        <v/>
      </c>
      <c r="GC13" s="194">
        <f t="shared" si="119"/>
        <v>98</v>
      </c>
      <c r="GD13" s="194" t="str">
        <f>IF(GC13="","",IF(GC13&gt;=KONVERSI!$A$5,KONVERSI!$D$5,IF(GC13&gt;=KONVERSI!$A$6,KONVERSI!$D$6,IF(GC13&gt;=KONVERSI!$A$7,KONVERSI!$D$7,KONVERSI!$D$8))))</f>
        <v>A</v>
      </c>
      <c r="GE13" s="194" t="str">
        <f t="shared" si="120"/>
        <v>Tuntas</v>
      </c>
      <c r="GF13" s="222"/>
      <c r="GG13" s="223">
        <f t="shared" si="15"/>
        <v>98</v>
      </c>
      <c r="GH13" s="194">
        <f t="shared" si="16"/>
        <v>0</v>
      </c>
      <c r="GI13" s="194">
        <f t="shared" si="17"/>
        <v>0</v>
      </c>
      <c r="GJ13" s="194">
        <f t="shared" si="18"/>
        <v>0</v>
      </c>
      <c r="GK13" s="194">
        <f t="shared" si="19"/>
        <v>0</v>
      </c>
      <c r="GL13" s="194">
        <f t="shared" si="20"/>
        <v>98</v>
      </c>
      <c r="GM13" s="194">
        <f t="shared" si="21"/>
        <v>0</v>
      </c>
      <c r="GN13" s="194">
        <f t="shared" si="22"/>
        <v>0</v>
      </c>
      <c r="GO13" s="194">
        <f t="shared" si="23"/>
        <v>0</v>
      </c>
      <c r="GP13" s="194">
        <f t="shared" si="24"/>
        <v>0</v>
      </c>
      <c r="GQ13" s="194">
        <f t="shared" si="25"/>
        <v>0</v>
      </c>
      <c r="GR13" s="194">
        <f t="shared" si="26"/>
        <v>0</v>
      </c>
      <c r="GS13" s="194">
        <f t="shared" si="27"/>
        <v>0</v>
      </c>
      <c r="GT13" s="194">
        <f t="shared" si="28"/>
        <v>0</v>
      </c>
      <c r="GU13" s="194">
        <f t="shared" si="29"/>
        <v>0</v>
      </c>
      <c r="GV13" s="194">
        <f t="shared" si="30"/>
        <v>0</v>
      </c>
      <c r="GW13" s="194">
        <f t="shared" si="31"/>
        <v>0</v>
      </c>
      <c r="GX13" s="194">
        <f t="shared" si="32"/>
        <v>0</v>
      </c>
      <c r="GY13" s="194">
        <f t="shared" si="33"/>
        <v>0</v>
      </c>
      <c r="GZ13" s="194">
        <f t="shared" si="34"/>
        <v>0</v>
      </c>
      <c r="HA13" s="194">
        <f t="shared" si="35"/>
        <v>0</v>
      </c>
      <c r="HB13" s="194">
        <f t="shared" si="36"/>
        <v>0</v>
      </c>
      <c r="HC13" s="194">
        <f t="shared" si="37"/>
        <v>0</v>
      </c>
      <c r="HD13" s="194">
        <f t="shared" si="38"/>
        <v>0</v>
      </c>
      <c r="HE13" s="194">
        <f t="shared" si="39"/>
        <v>0</v>
      </c>
      <c r="HF13" s="194">
        <f t="shared" si="40"/>
        <v>0</v>
      </c>
      <c r="HG13" s="194">
        <f t="shared" si="41"/>
        <v>0</v>
      </c>
      <c r="HH13" s="194">
        <f t="shared" si="42"/>
        <v>0</v>
      </c>
      <c r="HI13" s="194">
        <f t="shared" si="43"/>
        <v>0</v>
      </c>
      <c r="HJ13" s="194">
        <f t="shared" si="44"/>
        <v>0</v>
      </c>
      <c r="HK13" s="194">
        <f t="shared" si="45"/>
        <v>0</v>
      </c>
      <c r="HL13" s="194">
        <f t="shared" si="46"/>
        <v>0</v>
      </c>
      <c r="HM13" s="194">
        <f t="shared" si="47"/>
        <v>0</v>
      </c>
      <c r="HN13" s="194">
        <f t="shared" si="48"/>
        <v>0</v>
      </c>
      <c r="HO13" s="194">
        <f t="shared" si="49"/>
        <v>0</v>
      </c>
      <c r="HP13" s="194">
        <f t="shared" si="50"/>
        <v>0</v>
      </c>
      <c r="HQ13" s="194">
        <f t="shared" si="51"/>
        <v>0</v>
      </c>
      <c r="HR13" s="194">
        <f t="shared" si="52"/>
        <v>0</v>
      </c>
      <c r="HS13" s="194">
        <f t="shared" si="53"/>
        <v>0</v>
      </c>
      <c r="HT13" s="194">
        <f t="shared" si="54"/>
        <v>0</v>
      </c>
      <c r="HU13" s="194">
        <f t="shared" si="55"/>
        <v>0</v>
      </c>
      <c r="HV13" s="194">
        <f t="shared" si="56"/>
        <v>0</v>
      </c>
      <c r="HW13" s="194">
        <f t="shared" si="57"/>
        <v>0</v>
      </c>
      <c r="HX13" s="194">
        <f t="shared" si="58"/>
        <v>0</v>
      </c>
      <c r="HY13" s="194">
        <f t="shared" si="59"/>
        <v>0</v>
      </c>
      <c r="HZ13" s="194">
        <f t="shared" si="60"/>
        <v>0</v>
      </c>
      <c r="IA13" s="194">
        <f t="shared" si="61"/>
        <v>0</v>
      </c>
      <c r="IB13" s="194">
        <f t="shared" si="62"/>
        <v>0</v>
      </c>
      <c r="IC13" s="194">
        <f t="shared" si="63"/>
        <v>0</v>
      </c>
      <c r="ID13" s="194">
        <f t="shared" si="64"/>
        <v>0</v>
      </c>
      <c r="IE13" s="194">
        <f t="shared" si="65"/>
        <v>0</v>
      </c>
      <c r="IF13" s="194">
        <f t="shared" si="66"/>
        <v>0</v>
      </c>
      <c r="IG13" s="194">
        <f t="shared" si="67"/>
        <v>0</v>
      </c>
      <c r="IH13" s="194">
        <f t="shared" si="68"/>
        <v>0</v>
      </c>
      <c r="II13" s="194">
        <f t="shared" si="69"/>
        <v>0</v>
      </c>
      <c r="IJ13" s="194">
        <f t="shared" si="70"/>
        <v>0</v>
      </c>
      <c r="IK13" s="194">
        <f t="shared" si="71"/>
        <v>0</v>
      </c>
      <c r="IL13" s="194">
        <f t="shared" si="72"/>
        <v>0</v>
      </c>
      <c r="IM13" s="194">
        <f t="shared" si="73"/>
        <v>0</v>
      </c>
      <c r="IN13" s="194">
        <f t="shared" si="74"/>
        <v>0</v>
      </c>
      <c r="IO13" s="194">
        <f t="shared" si="75"/>
        <v>0</v>
      </c>
      <c r="IP13" s="194">
        <f t="shared" si="76"/>
        <v>0</v>
      </c>
      <c r="IQ13" s="194">
        <f t="shared" si="77"/>
        <v>0</v>
      </c>
      <c r="IR13" s="194">
        <f t="shared" si="78"/>
        <v>0</v>
      </c>
      <c r="IS13" s="194">
        <f t="shared" si="79"/>
        <v>0</v>
      </c>
      <c r="IT13" s="194">
        <f t="shared" si="80"/>
        <v>0</v>
      </c>
      <c r="IU13" s="194">
        <f t="shared" si="81"/>
        <v>0</v>
      </c>
      <c r="IV13" s="194">
        <f t="shared" si="82"/>
        <v>0</v>
      </c>
      <c r="IW13" s="194">
        <f t="shared" si="83"/>
        <v>0</v>
      </c>
      <c r="IX13" s="194">
        <f t="shared" si="84"/>
        <v>0</v>
      </c>
      <c r="IY13" s="194">
        <f t="shared" si="85"/>
        <v>0</v>
      </c>
      <c r="IZ13" s="194">
        <f t="shared" si="86"/>
        <v>0</v>
      </c>
      <c r="JA13" s="194">
        <f t="shared" si="87"/>
        <v>0</v>
      </c>
      <c r="JB13" s="194">
        <f t="shared" si="88"/>
        <v>0</v>
      </c>
      <c r="JC13" s="194">
        <f t="shared" si="89"/>
        <v>0</v>
      </c>
      <c r="JD13" s="194">
        <f t="shared" si="90"/>
        <v>0</v>
      </c>
      <c r="JE13" s="194">
        <f t="shared" si="91"/>
        <v>0</v>
      </c>
      <c r="JF13" s="194">
        <f t="shared" si="92"/>
        <v>0</v>
      </c>
      <c r="JG13" s="194">
        <f t="shared" si="93"/>
        <v>0</v>
      </c>
      <c r="JH13" s="194">
        <f t="shared" si="94"/>
        <v>0</v>
      </c>
      <c r="JI13" s="228">
        <v>5</v>
      </c>
      <c r="JJ13" s="229">
        <f t="shared" si="121"/>
        <v>98</v>
      </c>
      <c r="JK13" s="229">
        <f t="shared" si="122"/>
        <v>98</v>
      </c>
      <c r="JL13" s="229" t="str">
        <f t="shared" si="123"/>
        <v/>
      </c>
      <c r="JM13" s="229" t="str">
        <f t="shared" si="124"/>
        <v/>
      </c>
      <c r="JN13" s="229" t="str">
        <f t="shared" si="125"/>
        <v/>
      </c>
      <c r="JO13" s="229" t="str">
        <f t="shared" si="126"/>
        <v/>
      </c>
      <c r="JP13" s="229" t="str">
        <f t="shared" si="127"/>
        <v/>
      </c>
      <c r="JQ13" s="229" t="str">
        <f t="shared" si="128"/>
        <v/>
      </c>
      <c r="JR13" s="229" t="str">
        <f t="shared" si="129"/>
        <v/>
      </c>
      <c r="JS13" s="229" t="str">
        <f t="shared" si="130"/>
        <v/>
      </c>
      <c r="JT13" s="229" t="str">
        <f t="shared" si="131"/>
        <v/>
      </c>
      <c r="JU13" s="229" t="str">
        <f t="shared" si="132"/>
        <v/>
      </c>
      <c r="JV13" s="229" t="str">
        <f t="shared" si="133"/>
        <v/>
      </c>
      <c r="JW13" s="229" t="str">
        <f t="shared" si="134"/>
        <v/>
      </c>
      <c r="JX13" s="229" t="str">
        <f t="shared" si="135"/>
        <v/>
      </c>
      <c r="JY13" s="229" t="str">
        <f t="shared" si="136"/>
        <v/>
      </c>
      <c r="JZ13" s="229" t="str">
        <f t="shared" si="137"/>
        <v/>
      </c>
      <c r="KA13" s="229" t="str">
        <f t="shared" si="138"/>
        <v/>
      </c>
      <c r="KB13" s="229" t="str">
        <f t="shared" si="139"/>
        <v/>
      </c>
      <c r="KC13" s="229" t="str">
        <f t="shared" si="140"/>
        <v/>
      </c>
      <c r="KD13" s="231">
        <f t="shared" si="141"/>
        <v>98</v>
      </c>
      <c r="KE13" s="232" t="str">
        <f>IF(KD13="","",IF(KD13&gt;=KONVERSI!$A$5,KONVERSI!$E$12,IF(KD13&gt;=KONVERSI!$A$6,KONVERSI!$E$13,IF(KD13&gt;=KONVERSI!$A$7,KONVERSI!$E$14,KONVERSI!$E$15))))</f>
        <v>Sangat terampil</v>
      </c>
      <c r="KF13" s="233" t="str">
        <f t="shared" si="142"/>
        <v>Sangat terampil dalammemilih jenis, bahan dan teknik pengolahan kerang, kaca, keramik dan botol plastik sesuai dengan potensi daerah setempat</v>
      </c>
      <c r="KG13" s="234">
        <f t="shared" si="143"/>
        <v>98</v>
      </c>
      <c r="KH13" s="232" t="str">
        <f>IF(KG13="","",IF(KG13&gt;=KONVERSI!$A$5,KONVERSI!$E$12,IF(KG13&gt;=KONVERSI!$A$6,KONVERSI!$E$13,IF(KG13&gt;=KONVERSI!$A$7,KONVERSI!$E$14,KONVERSI!$E$15))))</f>
        <v>Sangat terampil</v>
      </c>
      <c r="KI13" s="134" t="str">
        <f>IF(GC13="","",IF(GC13&lt;$GD$3," "&amp;KONVERSI!$C$19&amp;INDEX($JJ$8:$KC$8,MATCH(KG14,JJ14:KC14,0))&amp;".",IF(GC13=0,"",IF(KG13&lt;&gt;0,KF13&amp;KH13&amp;".",KF13&amp;"."))))</f>
        <v>Sangat terampil dalammemilih jenis, bahan dan teknik pengolahan kerang, kaca, keramik dan botol plastik sesuai dengan potensi daerah setempatSangat terampil.</v>
      </c>
      <c r="KJ13" s="235" t="str">
        <f t="shared" si="144"/>
        <v>OK</v>
      </c>
      <c r="KK13" s="235" t="str">
        <f t="shared" si="145"/>
        <v>OK</v>
      </c>
      <c r="KL13" s="235" t="str">
        <f t="shared" si="146"/>
        <v/>
      </c>
      <c r="KM13" s="235" t="str">
        <f t="shared" si="147"/>
        <v/>
      </c>
      <c r="KN13" s="235" t="str">
        <f t="shared" si="148"/>
        <v/>
      </c>
      <c r="KO13" s="235" t="str">
        <f t="shared" si="149"/>
        <v/>
      </c>
      <c r="KP13" s="235" t="str">
        <f t="shared" si="150"/>
        <v/>
      </c>
      <c r="KQ13" s="235" t="str">
        <f t="shared" si="151"/>
        <v/>
      </c>
      <c r="KR13" s="235" t="str">
        <f t="shared" si="152"/>
        <v/>
      </c>
      <c r="KS13" s="235" t="str">
        <f t="shared" si="153"/>
        <v/>
      </c>
      <c r="KT13" s="235" t="str">
        <f t="shared" si="154"/>
        <v/>
      </c>
      <c r="KU13" s="235" t="str">
        <f t="shared" si="155"/>
        <v/>
      </c>
      <c r="KV13" s="235" t="str">
        <f t="shared" si="156"/>
        <v/>
      </c>
      <c r="KW13" s="235" t="str">
        <f t="shared" si="157"/>
        <v/>
      </c>
      <c r="KX13" s="235" t="str">
        <f t="shared" si="158"/>
        <v/>
      </c>
      <c r="KY13" s="235" t="str">
        <f t="shared" si="159"/>
        <v/>
      </c>
      <c r="KZ13" s="235" t="str">
        <f t="shared" si="160"/>
        <v/>
      </c>
      <c r="LA13" s="235" t="str">
        <f t="shared" si="161"/>
        <v/>
      </c>
      <c r="LB13" s="235" t="str">
        <f t="shared" si="162"/>
        <v/>
      </c>
      <c r="LC13" s="235" t="str">
        <f t="shared" si="163"/>
        <v/>
      </c>
      <c r="LD13" s="134" t="str">
        <f t="shared" si="164"/>
        <v>memilih jenis, bahan dan teknik pengolahan kerang, kaca, keramik dan botol plastik sesuai dengan potensi daerah setempat</v>
      </c>
      <c r="LE13" s="134" t="str">
        <f t="shared" si="96"/>
        <v>perancangan pembuatan dan penyajian kerajinan kerang, kaca, keramik dan botol plastik yang kreatif dan inovatif</v>
      </c>
      <c r="LF13" s="134" t="str">
        <f t="shared" si="96"/>
        <v/>
      </c>
      <c r="LG13" s="134" t="str">
        <f t="shared" si="96"/>
        <v/>
      </c>
      <c r="LH13" s="134" t="str">
        <f t="shared" si="96"/>
        <v/>
      </c>
      <c r="LI13" s="134" t="str">
        <f t="shared" si="96"/>
        <v/>
      </c>
      <c r="LJ13" s="134" t="str">
        <f t="shared" si="96"/>
        <v/>
      </c>
      <c r="LK13" s="134" t="str">
        <f t="shared" si="96"/>
        <v/>
      </c>
      <c r="LL13" s="134" t="str">
        <f t="shared" si="96"/>
        <v/>
      </c>
      <c r="LM13" s="134" t="str">
        <f t="shared" si="96"/>
        <v/>
      </c>
      <c r="LN13" s="134" t="str">
        <f t="shared" si="96"/>
        <v/>
      </c>
      <c r="LO13" s="134" t="str">
        <f t="shared" si="96"/>
        <v/>
      </c>
      <c r="LP13" s="134" t="str">
        <f t="shared" si="96"/>
        <v/>
      </c>
      <c r="LQ13" s="134" t="str">
        <f t="shared" si="96"/>
        <v/>
      </c>
      <c r="LR13" s="134" t="str">
        <f t="shared" si="96"/>
        <v/>
      </c>
      <c r="LS13" s="134" t="str">
        <f t="shared" si="96"/>
        <v/>
      </c>
      <c r="LT13" s="134" t="str">
        <f t="shared" si="96"/>
        <v/>
      </c>
      <c r="LU13" s="134" t="str">
        <f t="shared" si="96"/>
        <v/>
      </c>
      <c r="LV13" s="134" t="str">
        <f t="shared" si="96"/>
        <v/>
      </c>
      <c r="LW13" s="134" t="str">
        <f t="shared" si="96"/>
        <v/>
      </c>
      <c r="LX13" s="134" t="str">
        <f t="shared" si="165"/>
        <v>Sangat terampil dalam memilih jenis, bahan dan teknik pengolahan kerang, kaca, keramik dan botol plastik sesuai dengan potensi daerah setempatperancangan pembuatan dan penyajian kerajinan kerang, kaca, keramik dan botol plastik yang kreatif dan inovatif</v>
      </c>
      <c r="LY13" s="134" t="str">
        <f t="shared" si="166"/>
        <v>Sangat terampil dalam memilih jenis, bahan dan teknik pengolahan kerang, kaca, keramik dan botol plastik sesuai dengan potensi daerah setempatperancangan pembuatan dan penyajian kerajinan kerang, kaca, keramik dan botol plastik yang kreatif dan inovati.  </v>
      </c>
      <c r="LZ13" s="236">
        <f t="shared" si="97"/>
        <v>2</v>
      </c>
      <c r="MA13" s="235" t="str">
        <f t="shared" si="167"/>
        <v>OK</v>
      </c>
      <c r="MB13" s="235" t="str">
        <f t="shared" si="168"/>
        <v>OK</v>
      </c>
      <c r="MC13" s="235" t="str">
        <f t="shared" si="169"/>
        <v/>
      </c>
      <c r="MD13" s="235" t="str">
        <f t="shared" si="170"/>
        <v/>
      </c>
      <c r="ME13" s="235" t="str">
        <f t="shared" si="171"/>
        <v/>
      </c>
      <c r="MF13" s="235" t="str">
        <f t="shared" si="172"/>
        <v/>
      </c>
      <c r="MG13" s="235" t="str">
        <f t="shared" si="173"/>
        <v/>
      </c>
      <c r="MH13" s="235" t="str">
        <f t="shared" si="174"/>
        <v/>
      </c>
      <c r="MI13" s="235" t="str">
        <f t="shared" si="175"/>
        <v/>
      </c>
      <c r="MJ13" s="235" t="str">
        <f t="shared" si="176"/>
        <v/>
      </c>
      <c r="MK13" s="235" t="str">
        <f t="shared" si="177"/>
        <v/>
      </c>
      <c r="ML13" s="235" t="str">
        <f t="shared" si="178"/>
        <v/>
      </c>
      <c r="MM13" s="235" t="str">
        <f t="shared" si="179"/>
        <v/>
      </c>
      <c r="MN13" s="235" t="str">
        <f t="shared" si="180"/>
        <v/>
      </c>
      <c r="MO13" s="235" t="str">
        <f t="shared" si="181"/>
        <v/>
      </c>
      <c r="MP13" s="235" t="str">
        <f t="shared" si="182"/>
        <v/>
      </c>
      <c r="MQ13" s="235" t="str">
        <f t="shared" si="183"/>
        <v/>
      </c>
      <c r="MR13" s="235" t="str">
        <f t="shared" si="184"/>
        <v/>
      </c>
      <c r="MS13" s="235" t="str">
        <f t="shared" si="185"/>
        <v/>
      </c>
      <c r="MT13" s="235" t="str">
        <f t="shared" si="186"/>
        <v/>
      </c>
      <c r="MU13" s="134" t="str">
        <f t="shared" si="187"/>
        <v>memilih jenis, bahan dan teknik pengolahan kerang, kaca, keramik dan botol plastik sesuai dengan potensi daerah setempat</v>
      </c>
      <c r="MV13" s="134" t="str">
        <f t="shared" si="110"/>
        <v>perancangan pembuatan dan penyajian kerajinan kerang, kaca, keramik dan botol plastik yang kreatif dan inovatif</v>
      </c>
      <c r="MW13" s="134" t="str">
        <f t="shared" si="110"/>
        <v/>
      </c>
      <c r="MX13" s="134" t="str">
        <f t="shared" si="110"/>
        <v/>
      </c>
      <c r="MY13" s="134" t="str">
        <f t="shared" si="110"/>
        <v/>
      </c>
      <c r="MZ13" s="134" t="str">
        <f t="shared" si="110"/>
        <v/>
      </c>
      <c r="NA13" s="134" t="str">
        <f t="shared" si="110"/>
        <v/>
      </c>
      <c r="NB13" s="134" t="str">
        <f t="shared" si="110"/>
        <v/>
      </c>
      <c r="NC13" s="134" t="str">
        <f t="shared" si="110"/>
        <v/>
      </c>
      <c r="ND13" s="134" t="str">
        <f t="shared" si="110"/>
        <v/>
      </c>
      <c r="NE13" s="134" t="str">
        <f t="shared" si="110"/>
        <v/>
      </c>
      <c r="NF13" s="134" t="str">
        <f t="shared" si="110"/>
        <v/>
      </c>
      <c r="NG13" s="134" t="str">
        <f t="shared" si="110"/>
        <v/>
      </c>
      <c r="NH13" s="134" t="str">
        <f t="shared" si="110"/>
        <v/>
      </c>
      <c r="NI13" s="134" t="str">
        <f t="shared" si="110"/>
        <v/>
      </c>
      <c r="NJ13" s="134" t="str">
        <f t="shared" si="110"/>
        <v/>
      </c>
      <c r="NK13" s="134" t="str">
        <f t="shared" si="110"/>
        <v/>
      </c>
      <c r="NL13" s="134" t="str">
        <f t="shared" si="110"/>
        <v/>
      </c>
      <c r="NM13" s="134" t="str">
        <f t="shared" si="110"/>
        <v/>
      </c>
      <c r="NN13" s="134" t="str">
        <f t="shared" si="110"/>
        <v/>
      </c>
      <c r="NO13" s="134" t="str">
        <f>IF(KE13=KH13,"",IF(KG13="","",IF(KG13&gt;=KONVERSI!$A$14,'KI4'!KH13&amp;" dalam"&amp;MU13&amp;MV13&amp;MW13&amp;MX13&amp;MY13&amp;MZ13&amp;NA13&amp;NB13&amp;NC13&amp;ND13&amp;NE13&amp;NF13&amp;NG13&amp;NH13&amp;NI13&amp;NJ13&amp;NK13&amp;NL13&amp;NM13&amp;NN13,KONVERSI!$C$19&amp;" dalam"&amp;MU13&amp;MV13&amp;MW13&amp;MX13&amp;MY13&amp;MZ13&amp;NA13&amp;NB13&amp;NC13&amp;ND13&amp;NE13&amp;NF13&amp;NG13&amp;NH13&amp;NI13&amp;NJ13&amp;NK13&amp;NL13&amp;NM13&amp;NN13)))</f>
        <v/>
      </c>
      <c r="NP13" s="134" t="str">
        <f t="shared" si="188"/>
        <v/>
      </c>
      <c r="NQ13" s="236">
        <f t="shared" si="111"/>
        <v>2</v>
      </c>
      <c r="NR13" s="134" t="str">
        <f t="shared" si="189"/>
        <v>Sangat terampil dalam memilih jenis, bahan dan teknik pengolahan kerang, kaca, keramik dan botol plastik sesuai dengan potensi daerah setempatperancangan pembuatan dan penyajian kerajinan kerang, kaca, keramik dan botol plastik yang kreatif dan inovati.  </v>
      </c>
    </row>
    <row r="14" ht="27.6" customHeight="1" spans="1:382">
      <c r="A14" s="136"/>
      <c r="B14" s="177">
        <v>6</v>
      </c>
      <c r="C14" s="178" t="str">
        <f>siswa!C10</f>
        <v>ENGGAR WIDI CAHYONO</v>
      </c>
      <c r="D14" s="174">
        <f>siswa!D10</f>
        <v>2754</v>
      </c>
      <c r="E14" s="175"/>
      <c r="F14" s="176"/>
      <c r="G14" s="176"/>
      <c r="H14" s="176"/>
      <c r="I14" s="176"/>
      <c r="J14" s="176"/>
      <c r="K14" s="176"/>
      <c r="L14" s="176"/>
      <c r="M14" s="194" t="str">
        <f t="shared" si="2"/>
        <v/>
      </c>
      <c r="N14" s="176"/>
      <c r="O14" s="176"/>
      <c r="P14" s="175"/>
      <c r="Q14" s="176"/>
      <c r="R14" s="176"/>
      <c r="S14" s="176"/>
      <c r="T14" s="176"/>
      <c r="U14" s="176"/>
      <c r="V14" s="194" t="str">
        <f t="shared" si="3"/>
        <v/>
      </c>
      <c r="W14" s="176"/>
      <c r="X14" s="176"/>
      <c r="Y14" s="176"/>
      <c r="Z14" s="176"/>
      <c r="AA14" s="176"/>
      <c r="AB14" s="176"/>
      <c r="AC14" s="176"/>
      <c r="AD14" s="176"/>
      <c r="AE14" s="194" t="str">
        <f t="shared" si="4"/>
        <v/>
      </c>
      <c r="AF14" s="176"/>
      <c r="AG14" s="176"/>
      <c r="AH14" s="176"/>
      <c r="AI14" s="176"/>
      <c r="AJ14" s="176"/>
      <c r="AK14" s="176"/>
      <c r="AL14" s="176"/>
      <c r="AM14" s="176"/>
      <c r="AN14" s="194" t="str">
        <f t="shared" si="5"/>
        <v/>
      </c>
      <c r="AO14" s="181"/>
      <c r="AP14" s="176"/>
      <c r="AQ14" s="176"/>
      <c r="AR14" s="176"/>
      <c r="AS14" s="176"/>
      <c r="AT14" s="176"/>
      <c r="AU14" s="176"/>
      <c r="AV14" s="176"/>
      <c r="AW14" s="194" t="str">
        <f t="shared" si="112"/>
        <v/>
      </c>
      <c r="AX14" s="181"/>
      <c r="AY14" s="176"/>
      <c r="AZ14" s="176"/>
      <c r="BA14" s="176"/>
      <c r="BB14" s="176"/>
      <c r="BC14" s="176"/>
      <c r="BD14" s="176"/>
      <c r="BE14" s="176"/>
      <c r="BF14" s="194" t="str">
        <f t="shared" si="6"/>
        <v/>
      </c>
      <c r="BG14" s="181"/>
      <c r="BH14" s="176"/>
      <c r="BI14" s="176"/>
      <c r="BJ14" s="176"/>
      <c r="BK14" s="176"/>
      <c r="BL14" s="176"/>
      <c r="BM14" s="176"/>
      <c r="BN14" s="176"/>
      <c r="BO14" s="194" t="str">
        <f t="shared" si="113"/>
        <v/>
      </c>
      <c r="BP14" s="181"/>
      <c r="BQ14" s="176"/>
      <c r="BR14" s="176"/>
      <c r="BS14" s="176"/>
      <c r="BT14" s="176"/>
      <c r="BU14" s="176"/>
      <c r="BV14" s="176"/>
      <c r="BW14" s="176"/>
      <c r="BX14" s="194" t="str">
        <f t="shared" si="114"/>
        <v/>
      </c>
      <c r="BY14" s="181"/>
      <c r="BZ14" s="176"/>
      <c r="CA14" s="176"/>
      <c r="CB14" s="176"/>
      <c r="CC14" s="176"/>
      <c r="CD14" s="176"/>
      <c r="CE14" s="176"/>
      <c r="CF14" s="176"/>
      <c r="CG14" s="194" t="str">
        <f t="shared" si="115"/>
        <v/>
      </c>
      <c r="CH14" s="181"/>
      <c r="CI14" s="176"/>
      <c r="CJ14" s="176"/>
      <c r="CK14" s="176"/>
      <c r="CL14" s="176"/>
      <c r="CM14" s="176"/>
      <c r="CN14" s="176"/>
      <c r="CO14" s="176"/>
      <c r="CP14" s="194" t="str">
        <f t="shared" si="7"/>
        <v/>
      </c>
      <c r="CQ14" s="181"/>
      <c r="CR14" s="176"/>
      <c r="CS14" s="176"/>
      <c r="CT14" s="176"/>
      <c r="CU14" s="176"/>
      <c r="CV14" s="176"/>
      <c r="CW14" s="176"/>
      <c r="CX14" s="176"/>
      <c r="CY14" s="194" t="str">
        <f t="shared" si="116"/>
        <v/>
      </c>
      <c r="CZ14" s="181"/>
      <c r="DA14" s="176"/>
      <c r="DB14" s="176"/>
      <c r="DC14" s="176"/>
      <c r="DD14" s="176"/>
      <c r="DE14" s="176"/>
      <c r="DF14" s="176"/>
      <c r="DG14" s="176"/>
      <c r="DH14" s="194" t="str">
        <f t="shared" si="8"/>
        <v/>
      </c>
      <c r="DI14" s="181"/>
      <c r="DJ14" s="176"/>
      <c r="DK14" s="176"/>
      <c r="DL14" s="176"/>
      <c r="DM14" s="176"/>
      <c r="DN14" s="176"/>
      <c r="DO14" s="176"/>
      <c r="DP14" s="176"/>
      <c r="DQ14" s="194" t="str">
        <f t="shared" si="117"/>
        <v/>
      </c>
      <c r="DR14" s="181"/>
      <c r="DS14" s="176"/>
      <c r="DT14" s="176"/>
      <c r="DU14" s="176"/>
      <c r="DV14" s="176"/>
      <c r="DW14" s="176"/>
      <c r="DX14" s="176"/>
      <c r="DY14" s="176"/>
      <c r="DZ14" s="194" t="str">
        <f t="shared" si="9"/>
        <v/>
      </c>
      <c r="EA14" s="181"/>
      <c r="EB14" s="176"/>
      <c r="EC14" s="176"/>
      <c r="ED14" s="176"/>
      <c r="EE14" s="176"/>
      <c r="EF14" s="176"/>
      <c r="EG14" s="176"/>
      <c r="EH14" s="176"/>
      <c r="EI14" s="194" t="str">
        <f t="shared" si="10"/>
        <v/>
      </c>
      <c r="EJ14" s="181"/>
      <c r="EK14" s="176"/>
      <c r="EL14" s="176"/>
      <c r="EM14" s="176"/>
      <c r="EN14" s="176"/>
      <c r="EO14" s="176"/>
      <c r="EP14" s="176"/>
      <c r="EQ14" s="176"/>
      <c r="ER14" s="194" t="str">
        <f t="shared" si="11"/>
        <v/>
      </c>
      <c r="ES14" s="181"/>
      <c r="ET14" s="176"/>
      <c r="EU14" s="176"/>
      <c r="EV14" s="176"/>
      <c r="EW14" s="176"/>
      <c r="EX14" s="176"/>
      <c r="EY14" s="176"/>
      <c r="EZ14" s="176"/>
      <c r="FA14" s="194" t="str">
        <f t="shared" si="12"/>
        <v/>
      </c>
      <c r="FB14" s="181"/>
      <c r="FC14" s="176"/>
      <c r="FD14" s="176"/>
      <c r="FE14" s="176"/>
      <c r="FF14" s="176"/>
      <c r="FG14" s="176"/>
      <c r="FH14" s="176"/>
      <c r="FI14" s="176"/>
      <c r="FJ14" s="194" t="str">
        <f t="shared" si="13"/>
        <v/>
      </c>
      <c r="FK14" s="181"/>
      <c r="FL14" s="176"/>
      <c r="FM14" s="176"/>
      <c r="FN14" s="176"/>
      <c r="FO14" s="176"/>
      <c r="FP14" s="176"/>
      <c r="FQ14" s="176"/>
      <c r="FR14" s="176"/>
      <c r="FS14" s="194" t="str">
        <f t="shared" si="14"/>
        <v/>
      </c>
      <c r="FT14" s="181"/>
      <c r="FU14" s="176"/>
      <c r="FV14" s="176"/>
      <c r="FW14" s="176"/>
      <c r="FX14" s="176"/>
      <c r="FY14" s="176"/>
      <c r="FZ14" s="176"/>
      <c r="GA14" s="176"/>
      <c r="GB14" s="194" t="str">
        <f t="shared" si="118"/>
        <v/>
      </c>
      <c r="GC14" s="194" t="str">
        <f t="shared" si="119"/>
        <v/>
      </c>
      <c r="GD14" s="194" t="str">
        <f>IF(GC14="","",IF(GC14&gt;=KONVERSI!$A$5,KONVERSI!$D$5,IF(GC14&gt;=KONVERSI!$A$6,KONVERSI!$D$6,IF(GC14&gt;=KONVERSI!$A$7,KONVERSI!$D$7,KONVERSI!$D$8))))</f>
        <v/>
      </c>
      <c r="GE14" s="194" t="str">
        <f t="shared" si="120"/>
        <v/>
      </c>
      <c r="GF14" s="222"/>
      <c r="GG14" s="223">
        <f t="shared" si="15"/>
        <v>0</v>
      </c>
      <c r="GH14" s="194">
        <f t="shared" si="16"/>
        <v>0</v>
      </c>
      <c r="GI14" s="194">
        <f t="shared" si="17"/>
        <v>0</v>
      </c>
      <c r="GJ14" s="194">
        <f t="shared" si="18"/>
        <v>0</v>
      </c>
      <c r="GK14" s="194">
        <f t="shared" si="19"/>
        <v>0</v>
      </c>
      <c r="GL14" s="194">
        <f t="shared" si="20"/>
        <v>0</v>
      </c>
      <c r="GM14" s="194">
        <f t="shared" si="21"/>
        <v>0</v>
      </c>
      <c r="GN14" s="194">
        <f t="shared" si="22"/>
        <v>0</v>
      </c>
      <c r="GO14" s="194">
        <f t="shared" si="23"/>
        <v>0</v>
      </c>
      <c r="GP14" s="194">
        <f t="shared" si="24"/>
        <v>0</v>
      </c>
      <c r="GQ14" s="194">
        <f t="shared" si="25"/>
        <v>0</v>
      </c>
      <c r="GR14" s="194">
        <f t="shared" si="26"/>
        <v>0</v>
      </c>
      <c r="GS14" s="194">
        <f t="shared" si="27"/>
        <v>0</v>
      </c>
      <c r="GT14" s="194">
        <f t="shared" si="28"/>
        <v>0</v>
      </c>
      <c r="GU14" s="194">
        <f t="shared" si="29"/>
        <v>0</v>
      </c>
      <c r="GV14" s="194">
        <f t="shared" si="30"/>
        <v>0</v>
      </c>
      <c r="GW14" s="194">
        <f t="shared" si="31"/>
        <v>0</v>
      </c>
      <c r="GX14" s="194">
        <f t="shared" si="32"/>
        <v>0</v>
      </c>
      <c r="GY14" s="194">
        <f t="shared" si="33"/>
        <v>0</v>
      </c>
      <c r="GZ14" s="194">
        <f t="shared" si="34"/>
        <v>0</v>
      </c>
      <c r="HA14" s="194">
        <f t="shared" si="35"/>
        <v>0</v>
      </c>
      <c r="HB14" s="194">
        <f t="shared" si="36"/>
        <v>0</v>
      </c>
      <c r="HC14" s="194">
        <f t="shared" si="37"/>
        <v>0</v>
      </c>
      <c r="HD14" s="194">
        <f t="shared" si="38"/>
        <v>0</v>
      </c>
      <c r="HE14" s="194">
        <f t="shared" si="39"/>
        <v>0</v>
      </c>
      <c r="HF14" s="194">
        <f t="shared" si="40"/>
        <v>0</v>
      </c>
      <c r="HG14" s="194">
        <f t="shared" si="41"/>
        <v>0</v>
      </c>
      <c r="HH14" s="194">
        <f t="shared" si="42"/>
        <v>0</v>
      </c>
      <c r="HI14" s="194">
        <f t="shared" si="43"/>
        <v>0</v>
      </c>
      <c r="HJ14" s="194">
        <f t="shared" si="44"/>
        <v>0</v>
      </c>
      <c r="HK14" s="194">
        <f t="shared" si="45"/>
        <v>0</v>
      </c>
      <c r="HL14" s="194">
        <f t="shared" si="46"/>
        <v>0</v>
      </c>
      <c r="HM14" s="194">
        <f t="shared" si="47"/>
        <v>0</v>
      </c>
      <c r="HN14" s="194">
        <f t="shared" si="48"/>
        <v>0</v>
      </c>
      <c r="HO14" s="194">
        <f t="shared" si="49"/>
        <v>0</v>
      </c>
      <c r="HP14" s="194">
        <f t="shared" si="50"/>
        <v>0</v>
      </c>
      <c r="HQ14" s="194">
        <f t="shared" si="51"/>
        <v>0</v>
      </c>
      <c r="HR14" s="194">
        <f t="shared" si="52"/>
        <v>0</v>
      </c>
      <c r="HS14" s="194">
        <f t="shared" si="53"/>
        <v>0</v>
      </c>
      <c r="HT14" s="194">
        <f t="shared" si="54"/>
        <v>0</v>
      </c>
      <c r="HU14" s="194">
        <f t="shared" si="55"/>
        <v>0</v>
      </c>
      <c r="HV14" s="194">
        <f t="shared" si="56"/>
        <v>0</v>
      </c>
      <c r="HW14" s="194">
        <f t="shared" si="57"/>
        <v>0</v>
      </c>
      <c r="HX14" s="194">
        <f t="shared" si="58"/>
        <v>0</v>
      </c>
      <c r="HY14" s="194">
        <f t="shared" si="59"/>
        <v>0</v>
      </c>
      <c r="HZ14" s="194">
        <f t="shared" si="60"/>
        <v>0</v>
      </c>
      <c r="IA14" s="194">
        <f t="shared" si="61"/>
        <v>0</v>
      </c>
      <c r="IB14" s="194">
        <f t="shared" si="62"/>
        <v>0</v>
      </c>
      <c r="IC14" s="194">
        <f t="shared" si="63"/>
        <v>0</v>
      </c>
      <c r="ID14" s="194">
        <f t="shared" si="64"/>
        <v>0</v>
      </c>
      <c r="IE14" s="194">
        <f t="shared" si="65"/>
        <v>0</v>
      </c>
      <c r="IF14" s="194">
        <f t="shared" si="66"/>
        <v>0</v>
      </c>
      <c r="IG14" s="194">
        <f t="shared" si="67"/>
        <v>0</v>
      </c>
      <c r="IH14" s="194">
        <f t="shared" si="68"/>
        <v>0</v>
      </c>
      <c r="II14" s="194">
        <f t="shared" si="69"/>
        <v>0</v>
      </c>
      <c r="IJ14" s="194">
        <f t="shared" si="70"/>
        <v>0</v>
      </c>
      <c r="IK14" s="194">
        <f t="shared" si="71"/>
        <v>0</v>
      </c>
      <c r="IL14" s="194">
        <f t="shared" si="72"/>
        <v>0</v>
      </c>
      <c r="IM14" s="194">
        <f t="shared" si="73"/>
        <v>0</v>
      </c>
      <c r="IN14" s="194">
        <f t="shared" si="74"/>
        <v>0</v>
      </c>
      <c r="IO14" s="194">
        <f t="shared" si="75"/>
        <v>0</v>
      </c>
      <c r="IP14" s="194">
        <f t="shared" si="76"/>
        <v>0</v>
      </c>
      <c r="IQ14" s="194">
        <f t="shared" si="77"/>
        <v>0</v>
      </c>
      <c r="IR14" s="194">
        <f t="shared" si="78"/>
        <v>0</v>
      </c>
      <c r="IS14" s="194">
        <f t="shared" si="79"/>
        <v>0</v>
      </c>
      <c r="IT14" s="194">
        <f t="shared" si="80"/>
        <v>0</v>
      </c>
      <c r="IU14" s="194">
        <f t="shared" si="81"/>
        <v>0</v>
      </c>
      <c r="IV14" s="194">
        <f t="shared" si="82"/>
        <v>0</v>
      </c>
      <c r="IW14" s="194">
        <f t="shared" si="83"/>
        <v>0</v>
      </c>
      <c r="IX14" s="194">
        <f t="shared" si="84"/>
        <v>0</v>
      </c>
      <c r="IY14" s="194">
        <f t="shared" si="85"/>
        <v>0</v>
      </c>
      <c r="IZ14" s="194">
        <f t="shared" si="86"/>
        <v>0</v>
      </c>
      <c r="JA14" s="194">
        <f t="shared" si="87"/>
        <v>0</v>
      </c>
      <c r="JB14" s="194">
        <f t="shared" si="88"/>
        <v>0</v>
      </c>
      <c r="JC14" s="194">
        <f t="shared" si="89"/>
        <v>0</v>
      </c>
      <c r="JD14" s="194">
        <f t="shared" si="90"/>
        <v>0</v>
      </c>
      <c r="JE14" s="194">
        <f t="shared" si="91"/>
        <v>0</v>
      </c>
      <c r="JF14" s="194">
        <f t="shared" si="92"/>
        <v>0</v>
      </c>
      <c r="JG14" s="194">
        <f t="shared" si="93"/>
        <v>0</v>
      </c>
      <c r="JH14" s="194">
        <f t="shared" si="94"/>
        <v>0</v>
      </c>
      <c r="JI14" s="228">
        <v>6</v>
      </c>
      <c r="JJ14" s="229" t="str">
        <f t="shared" si="121"/>
        <v/>
      </c>
      <c r="JK14" s="229" t="str">
        <f t="shared" si="122"/>
        <v/>
      </c>
      <c r="JL14" s="229" t="str">
        <f t="shared" si="123"/>
        <v/>
      </c>
      <c r="JM14" s="229" t="str">
        <f t="shared" si="124"/>
        <v/>
      </c>
      <c r="JN14" s="229" t="str">
        <f t="shared" si="125"/>
        <v/>
      </c>
      <c r="JO14" s="229" t="str">
        <f t="shared" si="126"/>
        <v/>
      </c>
      <c r="JP14" s="229" t="str">
        <f t="shared" si="127"/>
        <v/>
      </c>
      <c r="JQ14" s="229" t="str">
        <f t="shared" si="128"/>
        <v/>
      </c>
      <c r="JR14" s="229" t="str">
        <f t="shared" si="129"/>
        <v/>
      </c>
      <c r="JS14" s="229" t="str">
        <f t="shared" si="130"/>
        <v/>
      </c>
      <c r="JT14" s="229" t="str">
        <f t="shared" si="131"/>
        <v/>
      </c>
      <c r="JU14" s="229" t="str">
        <f t="shared" si="132"/>
        <v/>
      </c>
      <c r="JV14" s="229" t="str">
        <f t="shared" si="133"/>
        <v/>
      </c>
      <c r="JW14" s="229" t="str">
        <f t="shared" si="134"/>
        <v/>
      </c>
      <c r="JX14" s="229" t="str">
        <f t="shared" si="135"/>
        <v/>
      </c>
      <c r="JY14" s="229" t="str">
        <f t="shared" si="136"/>
        <v/>
      </c>
      <c r="JZ14" s="229" t="str">
        <f t="shared" si="137"/>
        <v/>
      </c>
      <c r="KA14" s="229" t="str">
        <f t="shared" si="138"/>
        <v/>
      </c>
      <c r="KB14" s="229" t="str">
        <f t="shared" si="139"/>
        <v/>
      </c>
      <c r="KC14" s="229" t="str">
        <f t="shared" si="140"/>
        <v/>
      </c>
      <c r="KD14" s="231" t="str">
        <f t="shared" si="141"/>
        <v/>
      </c>
      <c r="KE14" s="232" t="str">
        <f>IF(KD14="","",IF(KD14&gt;=KONVERSI!$A$5,KONVERSI!$E$12,IF(KD14&gt;=KONVERSI!$A$6,KONVERSI!$E$13,IF(KD14&gt;=KONVERSI!$A$7,KONVERSI!$E$14,KONVERSI!$E$15))))</f>
        <v/>
      </c>
      <c r="KF14" s="233" t="str">
        <f t="shared" si="142"/>
        <v/>
      </c>
      <c r="KG14" s="234" t="str">
        <f t="shared" si="143"/>
        <v/>
      </c>
      <c r="KH14" s="232" t="str">
        <f>IF(KG14="","",IF(KG14&gt;=KONVERSI!$A$5,KONVERSI!$E$12,IF(KG14&gt;=KONVERSI!$A$6,KONVERSI!$E$13,IF(KG14&gt;=KONVERSI!$A$7,KONVERSI!$E$14,KONVERSI!$E$15))))</f>
        <v/>
      </c>
      <c r="KI14" s="134" t="str">
        <f>IF(GC14="","",IF(GC14&lt;$GD$3," "&amp;KONVERSI!$C$19&amp;INDEX($JJ$8:$KC$8,MATCH(KG15,JJ15:KC15,0))&amp;".",IF(GC14=0,"",IF(KG14&lt;&gt;0,KF14&amp;KH14&amp;".",KF14&amp;"."))))</f>
        <v/>
      </c>
      <c r="KJ14" s="235" t="str">
        <f t="shared" si="144"/>
        <v/>
      </c>
      <c r="KK14" s="235" t="str">
        <f t="shared" si="145"/>
        <v/>
      </c>
      <c r="KL14" s="235" t="str">
        <f t="shared" si="146"/>
        <v/>
      </c>
      <c r="KM14" s="235" t="str">
        <f t="shared" si="147"/>
        <v/>
      </c>
      <c r="KN14" s="235" t="str">
        <f t="shared" si="148"/>
        <v/>
      </c>
      <c r="KO14" s="235" t="str">
        <f t="shared" si="149"/>
        <v/>
      </c>
      <c r="KP14" s="235" t="str">
        <f t="shared" si="150"/>
        <v/>
      </c>
      <c r="KQ14" s="235" t="str">
        <f t="shared" si="151"/>
        <v/>
      </c>
      <c r="KR14" s="235" t="str">
        <f t="shared" si="152"/>
        <v/>
      </c>
      <c r="KS14" s="235" t="str">
        <f t="shared" si="153"/>
        <v/>
      </c>
      <c r="KT14" s="235" t="str">
        <f t="shared" si="154"/>
        <v/>
      </c>
      <c r="KU14" s="235" t="str">
        <f t="shared" si="155"/>
        <v/>
      </c>
      <c r="KV14" s="235" t="str">
        <f t="shared" si="156"/>
        <v/>
      </c>
      <c r="KW14" s="235" t="str">
        <f t="shared" si="157"/>
        <v/>
      </c>
      <c r="KX14" s="235" t="str">
        <f t="shared" si="158"/>
        <v/>
      </c>
      <c r="KY14" s="235" t="str">
        <f t="shared" si="159"/>
        <v/>
      </c>
      <c r="KZ14" s="235" t="str">
        <f t="shared" si="160"/>
        <v/>
      </c>
      <c r="LA14" s="235" t="str">
        <f t="shared" si="161"/>
        <v/>
      </c>
      <c r="LB14" s="235" t="str">
        <f t="shared" si="162"/>
        <v/>
      </c>
      <c r="LC14" s="235" t="str">
        <f t="shared" si="163"/>
        <v/>
      </c>
      <c r="LD14" s="134" t="str">
        <f t="shared" si="164"/>
        <v/>
      </c>
      <c r="LE14" s="134" t="str">
        <f t="shared" si="96"/>
        <v/>
      </c>
      <c r="LF14" s="134" t="str">
        <f t="shared" si="96"/>
        <v/>
      </c>
      <c r="LG14" s="134" t="str">
        <f t="shared" si="96"/>
        <v/>
      </c>
      <c r="LH14" s="134" t="str">
        <f t="shared" si="96"/>
        <v/>
      </c>
      <c r="LI14" s="134" t="str">
        <f t="shared" si="96"/>
        <v/>
      </c>
      <c r="LJ14" s="134" t="str">
        <f t="shared" si="96"/>
        <v/>
      </c>
      <c r="LK14" s="134" t="str">
        <f t="shared" si="96"/>
        <v/>
      </c>
      <c r="LL14" s="134" t="str">
        <f t="shared" si="96"/>
        <v/>
      </c>
      <c r="LM14" s="134" t="str">
        <f t="shared" si="96"/>
        <v/>
      </c>
      <c r="LN14" s="134" t="str">
        <f t="shared" si="96"/>
        <v/>
      </c>
      <c r="LO14" s="134" t="str">
        <f t="shared" si="96"/>
        <v/>
      </c>
      <c r="LP14" s="134" t="str">
        <f t="shared" si="96"/>
        <v/>
      </c>
      <c r="LQ14" s="134" t="str">
        <f t="shared" si="96"/>
        <v/>
      </c>
      <c r="LR14" s="134" t="str">
        <f t="shared" si="96"/>
        <v/>
      </c>
      <c r="LS14" s="134" t="str">
        <f t="shared" si="96"/>
        <v/>
      </c>
      <c r="LT14" s="134" t="str">
        <f t="shared" si="96"/>
        <v/>
      </c>
      <c r="LU14" s="134" t="str">
        <f t="shared" si="96"/>
        <v/>
      </c>
      <c r="LV14" s="134" t="str">
        <f t="shared" si="96"/>
        <v/>
      </c>
      <c r="LW14" s="134" t="str">
        <f t="shared" si="96"/>
        <v/>
      </c>
      <c r="LX14" s="134" t="str">
        <f t="shared" si="165"/>
        <v/>
      </c>
      <c r="LY14" s="134" t="str">
        <f t="shared" si="166"/>
        <v>  </v>
      </c>
      <c r="LZ14" s="236">
        <f t="shared" si="97"/>
        <v>0</v>
      </c>
      <c r="MA14" s="235" t="str">
        <f t="shared" si="167"/>
        <v/>
      </c>
      <c r="MB14" s="235" t="str">
        <f t="shared" si="168"/>
        <v/>
      </c>
      <c r="MC14" s="235" t="str">
        <f t="shared" si="169"/>
        <v/>
      </c>
      <c r="MD14" s="235" t="str">
        <f t="shared" si="170"/>
        <v/>
      </c>
      <c r="ME14" s="235" t="str">
        <f t="shared" si="171"/>
        <v/>
      </c>
      <c r="MF14" s="235" t="str">
        <f t="shared" si="172"/>
        <v/>
      </c>
      <c r="MG14" s="235" t="str">
        <f t="shared" si="173"/>
        <v/>
      </c>
      <c r="MH14" s="235" t="str">
        <f t="shared" si="174"/>
        <v/>
      </c>
      <c r="MI14" s="235" t="str">
        <f t="shared" si="175"/>
        <v/>
      </c>
      <c r="MJ14" s="235" t="str">
        <f t="shared" si="176"/>
        <v/>
      </c>
      <c r="MK14" s="235" t="str">
        <f t="shared" si="177"/>
        <v/>
      </c>
      <c r="ML14" s="235" t="str">
        <f t="shared" si="178"/>
        <v/>
      </c>
      <c r="MM14" s="235" t="str">
        <f t="shared" si="179"/>
        <v/>
      </c>
      <c r="MN14" s="235" t="str">
        <f t="shared" si="180"/>
        <v/>
      </c>
      <c r="MO14" s="235" t="str">
        <f t="shared" si="181"/>
        <v/>
      </c>
      <c r="MP14" s="235" t="str">
        <f t="shared" si="182"/>
        <v/>
      </c>
      <c r="MQ14" s="235" t="str">
        <f t="shared" si="183"/>
        <v/>
      </c>
      <c r="MR14" s="235" t="str">
        <f t="shared" si="184"/>
        <v/>
      </c>
      <c r="MS14" s="235" t="str">
        <f t="shared" si="185"/>
        <v/>
      </c>
      <c r="MT14" s="235" t="str">
        <f t="shared" si="186"/>
        <v/>
      </c>
      <c r="MU14" s="134" t="str">
        <f t="shared" si="187"/>
        <v/>
      </c>
      <c r="MV14" s="134" t="str">
        <f t="shared" si="110"/>
        <v/>
      </c>
      <c r="MW14" s="134" t="str">
        <f t="shared" si="110"/>
        <v/>
      </c>
      <c r="MX14" s="134" t="str">
        <f t="shared" si="110"/>
        <v/>
      </c>
      <c r="MY14" s="134" t="str">
        <f t="shared" si="110"/>
        <v/>
      </c>
      <c r="MZ14" s="134" t="str">
        <f t="shared" si="110"/>
        <v/>
      </c>
      <c r="NA14" s="134" t="str">
        <f t="shared" si="110"/>
        <v/>
      </c>
      <c r="NB14" s="134" t="str">
        <f t="shared" si="110"/>
        <v/>
      </c>
      <c r="NC14" s="134" t="str">
        <f t="shared" si="110"/>
        <v/>
      </c>
      <c r="ND14" s="134" t="str">
        <f t="shared" si="110"/>
        <v/>
      </c>
      <c r="NE14" s="134" t="str">
        <f t="shared" si="110"/>
        <v/>
      </c>
      <c r="NF14" s="134" t="str">
        <f t="shared" si="110"/>
        <v/>
      </c>
      <c r="NG14" s="134" t="str">
        <f t="shared" si="110"/>
        <v/>
      </c>
      <c r="NH14" s="134" t="str">
        <f t="shared" si="110"/>
        <v/>
      </c>
      <c r="NI14" s="134" t="str">
        <f t="shared" si="110"/>
        <v/>
      </c>
      <c r="NJ14" s="134" t="str">
        <f t="shared" si="110"/>
        <v/>
      </c>
      <c r="NK14" s="134" t="str">
        <f t="shared" si="110"/>
        <v/>
      </c>
      <c r="NL14" s="134" t="str">
        <f t="shared" si="110"/>
        <v/>
      </c>
      <c r="NM14" s="134" t="str">
        <f t="shared" si="110"/>
        <v/>
      </c>
      <c r="NN14" s="134" t="str">
        <f t="shared" si="110"/>
        <v/>
      </c>
      <c r="NO14" s="134" t="str">
        <f>IF(KE14=KH14,"",IF(KG14="","",IF(KG14&gt;=KONVERSI!$A$14,'KI4'!KH14&amp;" dalam"&amp;MU14&amp;MV14&amp;MW14&amp;MX14&amp;MY14&amp;MZ14&amp;NA14&amp;NB14&amp;NC14&amp;ND14&amp;NE14&amp;NF14&amp;NG14&amp;NH14&amp;NI14&amp;NJ14&amp;NK14&amp;NL14&amp;NM14&amp;NN14,KONVERSI!$C$19&amp;" dalam"&amp;MU14&amp;MV14&amp;MW14&amp;MX14&amp;MY14&amp;MZ14&amp;NA14&amp;NB14&amp;NC14&amp;ND14&amp;NE14&amp;NF14&amp;NG14&amp;NH14&amp;NI14&amp;NJ14&amp;NK14&amp;NL14&amp;NM14&amp;NN14)))</f>
        <v/>
      </c>
      <c r="NP14" s="134" t="str">
        <f t="shared" si="188"/>
        <v/>
      </c>
      <c r="NQ14" s="236">
        <f t="shared" si="111"/>
        <v>0</v>
      </c>
      <c r="NR14" s="134" t="str">
        <f t="shared" si="189"/>
        <v/>
      </c>
    </row>
    <row r="15" ht="27.6" customHeight="1" spans="1:382">
      <c r="A15" s="136"/>
      <c r="B15" s="177">
        <v>7</v>
      </c>
      <c r="C15" s="178" t="str">
        <f>siswa!C11</f>
        <v>ESTER IMELDA MANURUNG</v>
      </c>
      <c r="D15" s="174">
        <f>siswa!D11</f>
        <v>2755</v>
      </c>
      <c r="E15" s="175">
        <v>90</v>
      </c>
      <c r="F15" s="176"/>
      <c r="G15" s="176"/>
      <c r="H15" s="176"/>
      <c r="I15" s="176"/>
      <c r="J15" s="176"/>
      <c r="K15" s="176"/>
      <c r="L15" s="176"/>
      <c r="M15" s="194">
        <f t="shared" si="2"/>
        <v>90</v>
      </c>
      <c r="N15" s="176"/>
      <c r="O15" s="176"/>
      <c r="P15" s="175">
        <v>90</v>
      </c>
      <c r="Q15" s="176"/>
      <c r="R15" s="176"/>
      <c r="S15" s="176"/>
      <c r="T15" s="176"/>
      <c r="U15" s="176"/>
      <c r="V15" s="194">
        <f t="shared" si="3"/>
        <v>90</v>
      </c>
      <c r="W15" s="176"/>
      <c r="X15" s="176"/>
      <c r="Y15" s="176"/>
      <c r="Z15" s="176"/>
      <c r="AA15" s="176"/>
      <c r="AB15" s="176"/>
      <c r="AC15" s="176"/>
      <c r="AD15" s="176"/>
      <c r="AE15" s="194" t="str">
        <f t="shared" si="4"/>
        <v/>
      </c>
      <c r="AF15" s="176"/>
      <c r="AG15" s="176"/>
      <c r="AH15" s="176"/>
      <c r="AI15" s="176"/>
      <c r="AJ15" s="176"/>
      <c r="AK15" s="176"/>
      <c r="AL15" s="176"/>
      <c r="AM15" s="176"/>
      <c r="AN15" s="194" t="str">
        <f t="shared" si="5"/>
        <v/>
      </c>
      <c r="AO15" s="181"/>
      <c r="AP15" s="176"/>
      <c r="AQ15" s="176"/>
      <c r="AR15" s="176"/>
      <c r="AS15" s="176"/>
      <c r="AT15" s="176"/>
      <c r="AU15" s="176"/>
      <c r="AV15" s="176"/>
      <c r="AW15" s="194" t="str">
        <f t="shared" si="112"/>
        <v/>
      </c>
      <c r="AX15" s="181"/>
      <c r="AY15" s="176"/>
      <c r="AZ15" s="176"/>
      <c r="BA15" s="176"/>
      <c r="BB15" s="176"/>
      <c r="BC15" s="176"/>
      <c r="BD15" s="176"/>
      <c r="BE15" s="176"/>
      <c r="BF15" s="194" t="str">
        <f t="shared" si="6"/>
        <v/>
      </c>
      <c r="BG15" s="181"/>
      <c r="BH15" s="176"/>
      <c r="BI15" s="176"/>
      <c r="BJ15" s="176"/>
      <c r="BK15" s="176"/>
      <c r="BL15" s="176"/>
      <c r="BM15" s="176"/>
      <c r="BN15" s="176"/>
      <c r="BO15" s="194" t="str">
        <f t="shared" si="113"/>
        <v/>
      </c>
      <c r="BP15" s="181"/>
      <c r="BQ15" s="176"/>
      <c r="BR15" s="176"/>
      <c r="BS15" s="176"/>
      <c r="BT15" s="176"/>
      <c r="BU15" s="176"/>
      <c r="BV15" s="176"/>
      <c r="BW15" s="176"/>
      <c r="BX15" s="194" t="str">
        <f t="shared" si="114"/>
        <v/>
      </c>
      <c r="BY15" s="181"/>
      <c r="BZ15" s="176"/>
      <c r="CA15" s="176"/>
      <c r="CB15" s="176"/>
      <c r="CC15" s="176"/>
      <c r="CD15" s="176"/>
      <c r="CE15" s="176"/>
      <c r="CF15" s="176"/>
      <c r="CG15" s="194" t="str">
        <f t="shared" si="115"/>
        <v/>
      </c>
      <c r="CH15" s="181"/>
      <c r="CI15" s="176"/>
      <c r="CJ15" s="176"/>
      <c r="CK15" s="176"/>
      <c r="CL15" s="176"/>
      <c r="CM15" s="176"/>
      <c r="CN15" s="176"/>
      <c r="CO15" s="176"/>
      <c r="CP15" s="194" t="str">
        <f t="shared" si="7"/>
        <v/>
      </c>
      <c r="CQ15" s="181"/>
      <c r="CR15" s="176"/>
      <c r="CS15" s="176"/>
      <c r="CT15" s="176"/>
      <c r="CU15" s="176"/>
      <c r="CV15" s="176"/>
      <c r="CW15" s="176"/>
      <c r="CX15" s="176"/>
      <c r="CY15" s="194" t="str">
        <f t="shared" si="116"/>
        <v/>
      </c>
      <c r="CZ15" s="181"/>
      <c r="DA15" s="176"/>
      <c r="DB15" s="176"/>
      <c r="DC15" s="176"/>
      <c r="DD15" s="176"/>
      <c r="DE15" s="176"/>
      <c r="DF15" s="176"/>
      <c r="DG15" s="176"/>
      <c r="DH15" s="194" t="str">
        <f t="shared" si="8"/>
        <v/>
      </c>
      <c r="DI15" s="181"/>
      <c r="DJ15" s="176"/>
      <c r="DK15" s="176"/>
      <c r="DL15" s="176"/>
      <c r="DM15" s="176"/>
      <c r="DN15" s="176"/>
      <c r="DO15" s="176"/>
      <c r="DP15" s="176"/>
      <c r="DQ15" s="194" t="str">
        <f t="shared" si="117"/>
        <v/>
      </c>
      <c r="DR15" s="181"/>
      <c r="DS15" s="176"/>
      <c r="DT15" s="176"/>
      <c r="DU15" s="176"/>
      <c r="DV15" s="176"/>
      <c r="DW15" s="176"/>
      <c r="DX15" s="176"/>
      <c r="DY15" s="176"/>
      <c r="DZ15" s="194" t="str">
        <f t="shared" si="9"/>
        <v/>
      </c>
      <c r="EA15" s="181"/>
      <c r="EB15" s="176"/>
      <c r="EC15" s="176"/>
      <c r="ED15" s="176"/>
      <c r="EE15" s="176"/>
      <c r="EF15" s="176"/>
      <c r="EG15" s="176"/>
      <c r="EH15" s="176"/>
      <c r="EI15" s="194" t="str">
        <f t="shared" si="10"/>
        <v/>
      </c>
      <c r="EJ15" s="181"/>
      <c r="EK15" s="176"/>
      <c r="EL15" s="176"/>
      <c r="EM15" s="176"/>
      <c r="EN15" s="176"/>
      <c r="EO15" s="176"/>
      <c r="EP15" s="176"/>
      <c r="EQ15" s="176"/>
      <c r="ER15" s="194" t="str">
        <f t="shared" si="11"/>
        <v/>
      </c>
      <c r="ES15" s="181"/>
      <c r="ET15" s="176"/>
      <c r="EU15" s="176"/>
      <c r="EV15" s="176"/>
      <c r="EW15" s="176"/>
      <c r="EX15" s="176"/>
      <c r="EY15" s="176"/>
      <c r="EZ15" s="176"/>
      <c r="FA15" s="194" t="str">
        <f t="shared" si="12"/>
        <v/>
      </c>
      <c r="FB15" s="181"/>
      <c r="FC15" s="176"/>
      <c r="FD15" s="176"/>
      <c r="FE15" s="176"/>
      <c r="FF15" s="176"/>
      <c r="FG15" s="176"/>
      <c r="FH15" s="176"/>
      <c r="FI15" s="176"/>
      <c r="FJ15" s="194" t="str">
        <f t="shared" si="13"/>
        <v/>
      </c>
      <c r="FK15" s="181"/>
      <c r="FL15" s="176"/>
      <c r="FM15" s="176"/>
      <c r="FN15" s="176"/>
      <c r="FO15" s="176"/>
      <c r="FP15" s="176"/>
      <c r="FQ15" s="176"/>
      <c r="FR15" s="176"/>
      <c r="FS15" s="194" t="str">
        <f t="shared" si="14"/>
        <v/>
      </c>
      <c r="FT15" s="181"/>
      <c r="FU15" s="176"/>
      <c r="FV15" s="176"/>
      <c r="FW15" s="176"/>
      <c r="FX15" s="176"/>
      <c r="FY15" s="176"/>
      <c r="FZ15" s="176"/>
      <c r="GA15" s="176"/>
      <c r="GB15" s="194" t="str">
        <f t="shared" si="118"/>
        <v/>
      </c>
      <c r="GC15" s="194">
        <f t="shared" si="119"/>
        <v>90</v>
      </c>
      <c r="GD15" s="194" t="str">
        <f>IF(GC15="","",IF(GC15&gt;=KONVERSI!$A$5,KONVERSI!$D$5,IF(GC15&gt;=KONVERSI!$A$6,KONVERSI!$D$6,IF(GC15&gt;=KONVERSI!$A$7,KONVERSI!$D$7,KONVERSI!$D$8))))</f>
        <v>B</v>
      </c>
      <c r="GE15" s="194" t="str">
        <f t="shared" si="120"/>
        <v>Tuntas</v>
      </c>
      <c r="GF15" s="222"/>
      <c r="GG15" s="223">
        <f t="shared" si="15"/>
        <v>90</v>
      </c>
      <c r="GH15" s="194">
        <f t="shared" si="16"/>
        <v>0</v>
      </c>
      <c r="GI15" s="194">
        <f t="shared" si="17"/>
        <v>0</v>
      </c>
      <c r="GJ15" s="194">
        <f t="shared" si="18"/>
        <v>0</v>
      </c>
      <c r="GK15" s="194">
        <f t="shared" si="19"/>
        <v>0</v>
      </c>
      <c r="GL15" s="194">
        <f t="shared" si="20"/>
        <v>90</v>
      </c>
      <c r="GM15" s="194">
        <f t="shared" si="21"/>
        <v>0</v>
      </c>
      <c r="GN15" s="194">
        <f t="shared" si="22"/>
        <v>0</v>
      </c>
      <c r="GO15" s="194">
        <f t="shared" si="23"/>
        <v>0</v>
      </c>
      <c r="GP15" s="194">
        <f t="shared" si="24"/>
        <v>0</v>
      </c>
      <c r="GQ15" s="194">
        <f t="shared" si="25"/>
        <v>0</v>
      </c>
      <c r="GR15" s="194">
        <f t="shared" si="26"/>
        <v>0</v>
      </c>
      <c r="GS15" s="194">
        <f t="shared" si="27"/>
        <v>0</v>
      </c>
      <c r="GT15" s="194">
        <f t="shared" si="28"/>
        <v>0</v>
      </c>
      <c r="GU15" s="194">
        <f t="shared" si="29"/>
        <v>0</v>
      </c>
      <c r="GV15" s="194">
        <f t="shared" si="30"/>
        <v>0</v>
      </c>
      <c r="GW15" s="194">
        <f t="shared" si="31"/>
        <v>0</v>
      </c>
      <c r="GX15" s="194">
        <f t="shared" si="32"/>
        <v>0</v>
      </c>
      <c r="GY15" s="194">
        <f t="shared" si="33"/>
        <v>0</v>
      </c>
      <c r="GZ15" s="194">
        <f t="shared" si="34"/>
        <v>0</v>
      </c>
      <c r="HA15" s="194">
        <f t="shared" si="35"/>
        <v>0</v>
      </c>
      <c r="HB15" s="194">
        <f t="shared" si="36"/>
        <v>0</v>
      </c>
      <c r="HC15" s="194">
        <f t="shared" si="37"/>
        <v>0</v>
      </c>
      <c r="HD15" s="194">
        <f t="shared" si="38"/>
        <v>0</v>
      </c>
      <c r="HE15" s="194">
        <f t="shared" si="39"/>
        <v>0</v>
      </c>
      <c r="HF15" s="194">
        <f t="shared" si="40"/>
        <v>0</v>
      </c>
      <c r="HG15" s="194">
        <f t="shared" si="41"/>
        <v>0</v>
      </c>
      <c r="HH15" s="194">
        <f t="shared" si="42"/>
        <v>0</v>
      </c>
      <c r="HI15" s="194">
        <f t="shared" si="43"/>
        <v>0</v>
      </c>
      <c r="HJ15" s="194">
        <f t="shared" si="44"/>
        <v>0</v>
      </c>
      <c r="HK15" s="194">
        <f t="shared" si="45"/>
        <v>0</v>
      </c>
      <c r="HL15" s="194">
        <f t="shared" si="46"/>
        <v>0</v>
      </c>
      <c r="HM15" s="194">
        <f t="shared" si="47"/>
        <v>0</v>
      </c>
      <c r="HN15" s="194">
        <f t="shared" si="48"/>
        <v>0</v>
      </c>
      <c r="HO15" s="194">
        <f t="shared" si="49"/>
        <v>0</v>
      </c>
      <c r="HP15" s="194">
        <f t="shared" si="50"/>
        <v>0</v>
      </c>
      <c r="HQ15" s="194">
        <f t="shared" si="51"/>
        <v>0</v>
      </c>
      <c r="HR15" s="194">
        <f t="shared" si="52"/>
        <v>0</v>
      </c>
      <c r="HS15" s="194">
        <f t="shared" si="53"/>
        <v>0</v>
      </c>
      <c r="HT15" s="194">
        <f t="shared" si="54"/>
        <v>0</v>
      </c>
      <c r="HU15" s="194">
        <f t="shared" si="55"/>
        <v>0</v>
      </c>
      <c r="HV15" s="194">
        <f t="shared" si="56"/>
        <v>0</v>
      </c>
      <c r="HW15" s="194">
        <f t="shared" si="57"/>
        <v>0</v>
      </c>
      <c r="HX15" s="194">
        <f t="shared" si="58"/>
        <v>0</v>
      </c>
      <c r="HY15" s="194">
        <f t="shared" si="59"/>
        <v>0</v>
      </c>
      <c r="HZ15" s="194">
        <f t="shared" si="60"/>
        <v>0</v>
      </c>
      <c r="IA15" s="194">
        <f t="shared" si="61"/>
        <v>0</v>
      </c>
      <c r="IB15" s="194">
        <f t="shared" si="62"/>
        <v>0</v>
      </c>
      <c r="IC15" s="194">
        <f t="shared" si="63"/>
        <v>0</v>
      </c>
      <c r="ID15" s="194">
        <f t="shared" si="64"/>
        <v>0</v>
      </c>
      <c r="IE15" s="194">
        <f t="shared" si="65"/>
        <v>0</v>
      </c>
      <c r="IF15" s="194">
        <f t="shared" si="66"/>
        <v>0</v>
      </c>
      <c r="IG15" s="194">
        <f t="shared" si="67"/>
        <v>0</v>
      </c>
      <c r="IH15" s="194">
        <f t="shared" si="68"/>
        <v>0</v>
      </c>
      <c r="II15" s="194">
        <f t="shared" si="69"/>
        <v>0</v>
      </c>
      <c r="IJ15" s="194">
        <f t="shared" si="70"/>
        <v>0</v>
      </c>
      <c r="IK15" s="194">
        <f t="shared" si="71"/>
        <v>0</v>
      </c>
      <c r="IL15" s="194">
        <f t="shared" si="72"/>
        <v>0</v>
      </c>
      <c r="IM15" s="194">
        <f t="shared" si="73"/>
        <v>0</v>
      </c>
      <c r="IN15" s="194">
        <f t="shared" si="74"/>
        <v>0</v>
      </c>
      <c r="IO15" s="194">
        <f t="shared" si="75"/>
        <v>0</v>
      </c>
      <c r="IP15" s="194">
        <f t="shared" si="76"/>
        <v>0</v>
      </c>
      <c r="IQ15" s="194">
        <f t="shared" si="77"/>
        <v>0</v>
      </c>
      <c r="IR15" s="194">
        <f t="shared" si="78"/>
        <v>0</v>
      </c>
      <c r="IS15" s="194">
        <f t="shared" si="79"/>
        <v>0</v>
      </c>
      <c r="IT15" s="194">
        <f t="shared" si="80"/>
        <v>0</v>
      </c>
      <c r="IU15" s="194">
        <f t="shared" si="81"/>
        <v>0</v>
      </c>
      <c r="IV15" s="194">
        <f t="shared" si="82"/>
        <v>0</v>
      </c>
      <c r="IW15" s="194">
        <f t="shared" si="83"/>
        <v>0</v>
      </c>
      <c r="IX15" s="194">
        <f t="shared" si="84"/>
        <v>0</v>
      </c>
      <c r="IY15" s="194">
        <f t="shared" si="85"/>
        <v>0</v>
      </c>
      <c r="IZ15" s="194">
        <f t="shared" si="86"/>
        <v>0</v>
      </c>
      <c r="JA15" s="194">
        <f t="shared" si="87"/>
        <v>0</v>
      </c>
      <c r="JB15" s="194">
        <f t="shared" si="88"/>
        <v>0</v>
      </c>
      <c r="JC15" s="194">
        <f t="shared" si="89"/>
        <v>0</v>
      </c>
      <c r="JD15" s="194">
        <f t="shared" si="90"/>
        <v>0</v>
      </c>
      <c r="JE15" s="194">
        <f t="shared" si="91"/>
        <v>0</v>
      </c>
      <c r="JF15" s="194">
        <f t="shared" si="92"/>
        <v>0</v>
      </c>
      <c r="JG15" s="194">
        <f t="shared" si="93"/>
        <v>0</v>
      </c>
      <c r="JH15" s="194">
        <f t="shared" si="94"/>
        <v>0</v>
      </c>
      <c r="JI15" s="228">
        <v>7</v>
      </c>
      <c r="JJ15" s="229">
        <f t="shared" si="121"/>
        <v>90</v>
      </c>
      <c r="JK15" s="229">
        <f t="shared" si="122"/>
        <v>90</v>
      </c>
      <c r="JL15" s="229" t="str">
        <f t="shared" si="123"/>
        <v/>
      </c>
      <c r="JM15" s="229" t="str">
        <f t="shared" si="124"/>
        <v/>
      </c>
      <c r="JN15" s="229" t="str">
        <f t="shared" si="125"/>
        <v/>
      </c>
      <c r="JO15" s="229" t="str">
        <f t="shared" si="126"/>
        <v/>
      </c>
      <c r="JP15" s="229" t="str">
        <f t="shared" si="127"/>
        <v/>
      </c>
      <c r="JQ15" s="229" t="str">
        <f t="shared" si="128"/>
        <v/>
      </c>
      <c r="JR15" s="229" t="str">
        <f t="shared" si="129"/>
        <v/>
      </c>
      <c r="JS15" s="229" t="str">
        <f t="shared" si="130"/>
        <v/>
      </c>
      <c r="JT15" s="229" t="str">
        <f t="shared" si="131"/>
        <v/>
      </c>
      <c r="JU15" s="229" t="str">
        <f t="shared" si="132"/>
        <v/>
      </c>
      <c r="JV15" s="229" t="str">
        <f t="shared" si="133"/>
        <v/>
      </c>
      <c r="JW15" s="229" t="str">
        <f t="shared" si="134"/>
        <v/>
      </c>
      <c r="JX15" s="229" t="str">
        <f t="shared" si="135"/>
        <v/>
      </c>
      <c r="JY15" s="229" t="str">
        <f t="shared" si="136"/>
        <v/>
      </c>
      <c r="JZ15" s="229" t="str">
        <f t="shared" si="137"/>
        <v/>
      </c>
      <c r="KA15" s="229" t="str">
        <f t="shared" si="138"/>
        <v/>
      </c>
      <c r="KB15" s="229" t="str">
        <f t="shared" si="139"/>
        <v/>
      </c>
      <c r="KC15" s="229" t="str">
        <f t="shared" si="140"/>
        <v/>
      </c>
      <c r="KD15" s="231">
        <f t="shared" si="141"/>
        <v>90</v>
      </c>
      <c r="KE15" s="232" t="str">
        <f>IF(KD15="","",IF(KD15&gt;=KONVERSI!$A$5,KONVERSI!$E$12,IF(KD15&gt;=KONVERSI!$A$6,KONVERSI!$E$13,IF(KD15&gt;=KONVERSI!$A$7,KONVERSI!$E$14,KONVERSI!$E$15))))</f>
        <v>Terampil</v>
      </c>
      <c r="KF15" s="233" t="str">
        <f t="shared" si="142"/>
        <v>Terampil dalammemilih jenis, bahan dan teknik pengolahan kerang, kaca, keramik dan botol plastik sesuai dengan potensi daerah setempat</v>
      </c>
      <c r="KG15" s="234">
        <f t="shared" si="143"/>
        <v>90</v>
      </c>
      <c r="KH15" s="232" t="str">
        <f>IF(KG15="","",IF(KG15&gt;=KONVERSI!$A$5,KONVERSI!$E$12,IF(KG15&gt;=KONVERSI!$A$6,KONVERSI!$E$13,IF(KG15&gt;=KONVERSI!$A$7,KONVERSI!$E$14,KONVERSI!$E$15))))</f>
        <v>Terampil</v>
      </c>
      <c r="KI15" s="134" t="str">
        <f>IF(GC15="","",IF(GC15&lt;$GD$3," "&amp;KONVERSI!$C$19&amp;INDEX($JJ$8:$KC$8,MATCH(KG16,JJ16:KC16,0))&amp;".",IF(GC15=0,"",IF(KG15&lt;&gt;0,KF15&amp;KH15&amp;".",KF15&amp;"."))))</f>
        <v>Terampil dalammemilih jenis, bahan dan teknik pengolahan kerang, kaca, keramik dan botol plastik sesuai dengan potensi daerah setempatTerampil.</v>
      </c>
      <c r="KJ15" s="235" t="str">
        <f t="shared" si="144"/>
        <v>OK</v>
      </c>
      <c r="KK15" s="235" t="str">
        <f t="shared" si="145"/>
        <v>OK</v>
      </c>
      <c r="KL15" s="235" t="str">
        <f t="shared" si="146"/>
        <v/>
      </c>
      <c r="KM15" s="235" t="str">
        <f t="shared" si="147"/>
        <v/>
      </c>
      <c r="KN15" s="235" t="str">
        <f t="shared" si="148"/>
        <v/>
      </c>
      <c r="KO15" s="235" t="str">
        <f t="shared" si="149"/>
        <v/>
      </c>
      <c r="KP15" s="235" t="str">
        <f t="shared" si="150"/>
        <v/>
      </c>
      <c r="KQ15" s="235" t="str">
        <f t="shared" si="151"/>
        <v/>
      </c>
      <c r="KR15" s="235" t="str">
        <f t="shared" si="152"/>
        <v/>
      </c>
      <c r="KS15" s="235" t="str">
        <f t="shared" si="153"/>
        <v/>
      </c>
      <c r="KT15" s="235" t="str">
        <f t="shared" si="154"/>
        <v/>
      </c>
      <c r="KU15" s="235" t="str">
        <f t="shared" si="155"/>
        <v/>
      </c>
      <c r="KV15" s="235" t="str">
        <f t="shared" si="156"/>
        <v/>
      </c>
      <c r="KW15" s="235" t="str">
        <f t="shared" si="157"/>
        <v/>
      </c>
      <c r="KX15" s="235" t="str">
        <f t="shared" si="158"/>
        <v/>
      </c>
      <c r="KY15" s="235" t="str">
        <f t="shared" si="159"/>
        <v/>
      </c>
      <c r="KZ15" s="235" t="str">
        <f t="shared" si="160"/>
        <v/>
      </c>
      <c r="LA15" s="235" t="str">
        <f t="shared" si="161"/>
        <v/>
      </c>
      <c r="LB15" s="235" t="str">
        <f t="shared" si="162"/>
        <v/>
      </c>
      <c r="LC15" s="235" t="str">
        <f t="shared" si="163"/>
        <v/>
      </c>
      <c r="LD15" s="134" t="str">
        <f t="shared" si="164"/>
        <v>memilih jenis, bahan dan teknik pengolahan kerang, kaca, keramik dan botol plastik sesuai dengan potensi daerah setempat</v>
      </c>
      <c r="LE15" s="134" t="str">
        <f t="shared" si="96"/>
        <v>perancangan pembuatan dan penyajian kerajinan kerang, kaca, keramik dan botol plastik yang kreatif dan inovatif</v>
      </c>
      <c r="LF15" s="134" t="str">
        <f t="shared" si="96"/>
        <v/>
      </c>
      <c r="LG15" s="134" t="str">
        <f t="shared" si="96"/>
        <v/>
      </c>
      <c r="LH15" s="134" t="str">
        <f t="shared" si="96"/>
        <v/>
      </c>
      <c r="LI15" s="134" t="str">
        <f t="shared" si="96"/>
        <v/>
      </c>
      <c r="LJ15" s="134" t="str">
        <f t="shared" si="96"/>
        <v/>
      </c>
      <c r="LK15" s="134" t="str">
        <f t="shared" si="96"/>
        <v/>
      </c>
      <c r="LL15" s="134" t="str">
        <f t="shared" si="96"/>
        <v/>
      </c>
      <c r="LM15" s="134" t="str">
        <f t="shared" si="96"/>
        <v/>
      </c>
      <c r="LN15" s="134" t="str">
        <f t="shared" si="96"/>
        <v/>
      </c>
      <c r="LO15" s="134" t="str">
        <f t="shared" si="96"/>
        <v/>
      </c>
      <c r="LP15" s="134" t="str">
        <f t="shared" si="96"/>
        <v/>
      </c>
      <c r="LQ15" s="134" t="str">
        <f t="shared" si="96"/>
        <v/>
      </c>
      <c r="LR15" s="134" t="str">
        <f t="shared" si="96"/>
        <v/>
      </c>
      <c r="LS15" s="134" t="str">
        <f t="shared" si="96"/>
        <v/>
      </c>
      <c r="LT15" s="134" t="str">
        <f t="shared" si="96"/>
        <v/>
      </c>
      <c r="LU15" s="134" t="str">
        <f t="shared" si="96"/>
        <v/>
      </c>
      <c r="LV15" s="134" t="str">
        <f t="shared" si="96"/>
        <v/>
      </c>
      <c r="LW15" s="134" t="str">
        <f t="shared" si="96"/>
        <v/>
      </c>
      <c r="LX15" s="134" t="str">
        <f t="shared" si="165"/>
        <v>Terampil dalam memilih jenis, bahan dan teknik pengolahan kerang, kaca, keramik dan botol plastik sesuai dengan potensi daerah setempatperancangan pembuatan dan penyajian kerajinan kerang, kaca, keramik dan botol plastik yang kreatif dan inovatif</v>
      </c>
      <c r="LY15" s="134" t="str">
        <f t="shared" si="166"/>
        <v>Terampil dalam memilih jenis, bahan dan teknik pengolahan kerang, kaca, keramik dan botol plastik sesuai dengan potensi daerah setempatperancangan pembuatan dan penyajian kerajinan kerang, kaca, keramik dan botol plastik yang kreatif dan inovati.  </v>
      </c>
      <c r="LZ15" s="236">
        <f t="shared" si="97"/>
        <v>2</v>
      </c>
      <c r="MA15" s="235" t="str">
        <f t="shared" si="167"/>
        <v>OK</v>
      </c>
      <c r="MB15" s="235" t="str">
        <f t="shared" si="168"/>
        <v>OK</v>
      </c>
      <c r="MC15" s="235" t="str">
        <f t="shared" si="169"/>
        <v/>
      </c>
      <c r="MD15" s="235" t="str">
        <f t="shared" si="170"/>
        <v/>
      </c>
      <c r="ME15" s="235" t="str">
        <f t="shared" si="171"/>
        <v/>
      </c>
      <c r="MF15" s="235" t="str">
        <f t="shared" si="172"/>
        <v/>
      </c>
      <c r="MG15" s="235" t="str">
        <f t="shared" si="173"/>
        <v/>
      </c>
      <c r="MH15" s="235" t="str">
        <f t="shared" si="174"/>
        <v/>
      </c>
      <c r="MI15" s="235" t="str">
        <f t="shared" si="175"/>
        <v/>
      </c>
      <c r="MJ15" s="235" t="str">
        <f t="shared" si="176"/>
        <v/>
      </c>
      <c r="MK15" s="235" t="str">
        <f t="shared" si="177"/>
        <v/>
      </c>
      <c r="ML15" s="235" t="str">
        <f t="shared" si="178"/>
        <v/>
      </c>
      <c r="MM15" s="235" t="str">
        <f t="shared" si="179"/>
        <v/>
      </c>
      <c r="MN15" s="235" t="str">
        <f t="shared" si="180"/>
        <v/>
      </c>
      <c r="MO15" s="235" t="str">
        <f t="shared" si="181"/>
        <v/>
      </c>
      <c r="MP15" s="235" t="str">
        <f t="shared" si="182"/>
        <v/>
      </c>
      <c r="MQ15" s="235" t="str">
        <f t="shared" si="183"/>
        <v/>
      </c>
      <c r="MR15" s="235" t="str">
        <f t="shared" si="184"/>
        <v/>
      </c>
      <c r="MS15" s="235" t="str">
        <f t="shared" si="185"/>
        <v/>
      </c>
      <c r="MT15" s="235" t="str">
        <f t="shared" si="186"/>
        <v/>
      </c>
      <c r="MU15" s="134" t="str">
        <f t="shared" si="187"/>
        <v>memilih jenis, bahan dan teknik pengolahan kerang, kaca, keramik dan botol plastik sesuai dengan potensi daerah setempat</v>
      </c>
      <c r="MV15" s="134" t="str">
        <f t="shared" si="110"/>
        <v>perancangan pembuatan dan penyajian kerajinan kerang, kaca, keramik dan botol plastik yang kreatif dan inovatif</v>
      </c>
      <c r="MW15" s="134" t="str">
        <f t="shared" si="110"/>
        <v/>
      </c>
      <c r="MX15" s="134" t="str">
        <f t="shared" si="110"/>
        <v/>
      </c>
      <c r="MY15" s="134" t="str">
        <f t="shared" si="110"/>
        <v/>
      </c>
      <c r="MZ15" s="134" t="str">
        <f t="shared" si="110"/>
        <v/>
      </c>
      <c r="NA15" s="134" t="str">
        <f t="shared" si="110"/>
        <v/>
      </c>
      <c r="NB15" s="134" t="str">
        <f t="shared" si="110"/>
        <v/>
      </c>
      <c r="NC15" s="134" t="str">
        <f t="shared" si="110"/>
        <v/>
      </c>
      <c r="ND15" s="134" t="str">
        <f t="shared" si="110"/>
        <v/>
      </c>
      <c r="NE15" s="134" t="str">
        <f t="shared" si="110"/>
        <v/>
      </c>
      <c r="NF15" s="134" t="str">
        <f t="shared" si="110"/>
        <v/>
      </c>
      <c r="NG15" s="134" t="str">
        <f t="shared" si="110"/>
        <v/>
      </c>
      <c r="NH15" s="134" t="str">
        <f t="shared" si="110"/>
        <v/>
      </c>
      <c r="NI15" s="134" t="str">
        <f t="shared" si="110"/>
        <v/>
      </c>
      <c r="NJ15" s="134" t="str">
        <f t="shared" si="110"/>
        <v/>
      </c>
      <c r="NK15" s="134" t="str">
        <f t="shared" si="110"/>
        <v/>
      </c>
      <c r="NL15" s="134" t="str">
        <f t="shared" si="110"/>
        <v/>
      </c>
      <c r="NM15" s="134" t="str">
        <f t="shared" si="110"/>
        <v/>
      </c>
      <c r="NN15" s="134" t="str">
        <f t="shared" si="110"/>
        <v/>
      </c>
      <c r="NO15" s="134" t="str">
        <f>IF(KE15=KH15,"",IF(KG15="","",IF(KG15&gt;=KONVERSI!$A$14,'KI4'!KH15&amp;" dalam"&amp;MU15&amp;MV15&amp;MW15&amp;MX15&amp;MY15&amp;MZ15&amp;NA15&amp;NB15&amp;NC15&amp;ND15&amp;NE15&amp;NF15&amp;NG15&amp;NH15&amp;NI15&amp;NJ15&amp;NK15&amp;NL15&amp;NM15&amp;NN15,KONVERSI!$C$19&amp;" dalam"&amp;MU15&amp;MV15&amp;MW15&amp;MX15&amp;MY15&amp;MZ15&amp;NA15&amp;NB15&amp;NC15&amp;ND15&amp;NE15&amp;NF15&amp;NG15&amp;NH15&amp;NI15&amp;NJ15&amp;NK15&amp;NL15&amp;NM15&amp;NN15)))</f>
        <v/>
      </c>
      <c r="NP15" s="134" t="str">
        <f t="shared" si="188"/>
        <v/>
      </c>
      <c r="NQ15" s="236">
        <f t="shared" si="111"/>
        <v>2</v>
      </c>
      <c r="NR15" s="134" t="str">
        <f t="shared" si="189"/>
        <v>Terampil dalam memilih jenis, bahan dan teknik pengolahan kerang, kaca, keramik dan botol plastik sesuai dengan potensi daerah setempatperancangan pembuatan dan penyajian kerajinan kerang, kaca, keramik dan botol plastik yang kreatif dan inovati.  </v>
      </c>
    </row>
    <row r="16" ht="27.6" customHeight="1" spans="1:382">
      <c r="A16" s="136"/>
      <c r="B16" s="177">
        <v>8</v>
      </c>
      <c r="C16" s="178" t="str">
        <f>siswa!C12</f>
        <v>EUIS AGUSTINA W</v>
      </c>
      <c r="D16" s="174">
        <f>siswa!D12</f>
        <v>2756</v>
      </c>
      <c r="E16" s="175">
        <v>90</v>
      </c>
      <c r="F16" s="176"/>
      <c r="G16" s="176"/>
      <c r="H16" s="176"/>
      <c r="I16" s="176"/>
      <c r="J16" s="176"/>
      <c r="K16" s="176"/>
      <c r="L16" s="176"/>
      <c r="M16" s="194">
        <f t="shared" si="2"/>
        <v>90</v>
      </c>
      <c r="N16" s="176"/>
      <c r="O16" s="176"/>
      <c r="P16" s="175">
        <v>90</v>
      </c>
      <c r="Q16" s="176"/>
      <c r="R16" s="176"/>
      <c r="S16" s="176"/>
      <c r="T16" s="176"/>
      <c r="U16" s="176"/>
      <c r="V16" s="194">
        <f t="shared" si="3"/>
        <v>90</v>
      </c>
      <c r="W16" s="176"/>
      <c r="X16" s="176"/>
      <c r="Y16" s="176"/>
      <c r="Z16" s="176"/>
      <c r="AA16" s="176"/>
      <c r="AB16" s="176"/>
      <c r="AC16" s="176"/>
      <c r="AD16" s="176"/>
      <c r="AE16" s="194" t="str">
        <f t="shared" si="4"/>
        <v/>
      </c>
      <c r="AF16" s="176"/>
      <c r="AG16" s="176"/>
      <c r="AH16" s="176"/>
      <c r="AI16" s="176"/>
      <c r="AJ16" s="176"/>
      <c r="AK16" s="176"/>
      <c r="AL16" s="176"/>
      <c r="AM16" s="176"/>
      <c r="AN16" s="194" t="str">
        <f t="shared" si="5"/>
        <v/>
      </c>
      <c r="AO16" s="181"/>
      <c r="AP16" s="176"/>
      <c r="AQ16" s="176"/>
      <c r="AR16" s="176"/>
      <c r="AS16" s="176"/>
      <c r="AT16" s="176"/>
      <c r="AU16" s="176"/>
      <c r="AV16" s="176"/>
      <c r="AW16" s="194" t="str">
        <f t="shared" si="112"/>
        <v/>
      </c>
      <c r="AX16" s="181"/>
      <c r="AY16" s="176"/>
      <c r="AZ16" s="176"/>
      <c r="BA16" s="176"/>
      <c r="BB16" s="176"/>
      <c r="BC16" s="176"/>
      <c r="BD16" s="176"/>
      <c r="BE16" s="176"/>
      <c r="BF16" s="194" t="str">
        <f t="shared" si="6"/>
        <v/>
      </c>
      <c r="BG16" s="181"/>
      <c r="BH16" s="176"/>
      <c r="BI16" s="176"/>
      <c r="BJ16" s="176"/>
      <c r="BK16" s="176"/>
      <c r="BL16" s="176"/>
      <c r="BM16" s="176"/>
      <c r="BN16" s="176"/>
      <c r="BO16" s="194" t="str">
        <f t="shared" si="113"/>
        <v/>
      </c>
      <c r="BP16" s="181"/>
      <c r="BQ16" s="176"/>
      <c r="BR16" s="176"/>
      <c r="BS16" s="176"/>
      <c r="BT16" s="176"/>
      <c r="BU16" s="176"/>
      <c r="BV16" s="176"/>
      <c r="BW16" s="176"/>
      <c r="BX16" s="194" t="str">
        <f t="shared" si="114"/>
        <v/>
      </c>
      <c r="BY16" s="181"/>
      <c r="BZ16" s="176"/>
      <c r="CA16" s="176"/>
      <c r="CB16" s="176"/>
      <c r="CC16" s="176"/>
      <c r="CD16" s="176"/>
      <c r="CE16" s="176"/>
      <c r="CF16" s="176"/>
      <c r="CG16" s="194" t="str">
        <f t="shared" si="115"/>
        <v/>
      </c>
      <c r="CH16" s="181"/>
      <c r="CI16" s="176"/>
      <c r="CJ16" s="176"/>
      <c r="CK16" s="176"/>
      <c r="CL16" s="176"/>
      <c r="CM16" s="176"/>
      <c r="CN16" s="176"/>
      <c r="CO16" s="176"/>
      <c r="CP16" s="194" t="str">
        <f t="shared" si="7"/>
        <v/>
      </c>
      <c r="CQ16" s="181"/>
      <c r="CR16" s="176"/>
      <c r="CS16" s="176"/>
      <c r="CT16" s="176"/>
      <c r="CU16" s="176"/>
      <c r="CV16" s="176"/>
      <c r="CW16" s="176"/>
      <c r="CX16" s="176"/>
      <c r="CY16" s="194" t="str">
        <f t="shared" si="116"/>
        <v/>
      </c>
      <c r="CZ16" s="181"/>
      <c r="DA16" s="176"/>
      <c r="DB16" s="176"/>
      <c r="DC16" s="176"/>
      <c r="DD16" s="176"/>
      <c r="DE16" s="176"/>
      <c r="DF16" s="176"/>
      <c r="DG16" s="176"/>
      <c r="DH16" s="194" t="str">
        <f t="shared" si="8"/>
        <v/>
      </c>
      <c r="DI16" s="181"/>
      <c r="DJ16" s="176"/>
      <c r="DK16" s="176"/>
      <c r="DL16" s="176"/>
      <c r="DM16" s="176"/>
      <c r="DN16" s="176"/>
      <c r="DO16" s="176"/>
      <c r="DP16" s="176"/>
      <c r="DQ16" s="194" t="str">
        <f t="shared" si="117"/>
        <v/>
      </c>
      <c r="DR16" s="181"/>
      <c r="DS16" s="176"/>
      <c r="DT16" s="176"/>
      <c r="DU16" s="176"/>
      <c r="DV16" s="176"/>
      <c r="DW16" s="176"/>
      <c r="DX16" s="176"/>
      <c r="DY16" s="176"/>
      <c r="DZ16" s="194" t="str">
        <f t="shared" si="9"/>
        <v/>
      </c>
      <c r="EA16" s="181"/>
      <c r="EB16" s="176"/>
      <c r="EC16" s="176"/>
      <c r="ED16" s="176"/>
      <c r="EE16" s="176"/>
      <c r="EF16" s="176"/>
      <c r="EG16" s="176"/>
      <c r="EH16" s="176"/>
      <c r="EI16" s="194" t="str">
        <f t="shared" si="10"/>
        <v/>
      </c>
      <c r="EJ16" s="181"/>
      <c r="EK16" s="176"/>
      <c r="EL16" s="176"/>
      <c r="EM16" s="176"/>
      <c r="EN16" s="176"/>
      <c r="EO16" s="176"/>
      <c r="EP16" s="176"/>
      <c r="EQ16" s="176"/>
      <c r="ER16" s="194" t="str">
        <f t="shared" si="11"/>
        <v/>
      </c>
      <c r="ES16" s="181"/>
      <c r="ET16" s="176"/>
      <c r="EU16" s="176"/>
      <c r="EV16" s="176"/>
      <c r="EW16" s="176"/>
      <c r="EX16" s="176"/>
      <c r="EY16" s="176"/>
      <c r="EZ16" s="176"/>
      <c r="FA16" s="194" t="str">
        <f t="shared" si="12"/>
        <v/>
      </c>
      <c r="FB16" s="181"/>
      <c r="FC16" s="176"/>
      <c r="FD16" s="176"/>
      <c r="FE16" s="176"/>
      <c r="FF16" s="176"/>
      <c r="FG16" s="176"/>
      <c r="FH16" s="176"/>
      <c r="FI16" s="176"/>
      <c r="FJ16" s="194" t="str">
        <f t="shared" si="13"/>
        <v/>
      </c>
      <c r="FK16" s="181"/>
      <c r="FL16" s="176"/>
      <c r="FM16" s="176"/>
      <c r="FN16" s="176"/>
      <c r="FO16" s="176"/>
      <c r="FP16" s="176"/>
      <c r="FQ16" s="176"/>
      <c r="FR16" s="176"/>
      <c r="FS16" s="194" t="str">
        <f t="shared" si="14"/>
        <v/>
      </c>
      <c r="FT16" s="181"/>
      <c r="FU16" s="176"/>
      <c r="FV16" s="176"/>
      <c r="FW16" s="176"/>
      <c r="FX16" s="176"/>
      <c r="FY16" s="176"/>
      <c r="FZ16" s="176"/>
      <c r="GA16" s="176"/>
      <c r="GB16" s="194" t="str">
        <f t="shared" si="118"/>
        <v/>
      </c>
      <c r="GC16" s="194">
        <f t="shared" si="119"/>
        <v>90</v>
      </c>
      <c r="GD16" s="194" t="str">
        <f>IF(GC16="","",IF(GC16&gt;=KONVERSI!$A$5,KONVERSI!$D$5,IF(GC16&gt;=KONVERSI!$A$6,KONVERSI!$D$6,IF(GC16&gt;=KONVERSI!$A$7,KONVERSI!$D$7,KONVERSI!$D$8))))</f>
        <v>B</v>
      </c>
      <c r="GE16" s="194" t="str">
        <f t="shared" si="120"/>
        <v>Tuntas</v>
      </c>
      <c r="GF16" s="222"/>
      <c r="GG16" s="223">
        <f t="shared" si="15"/>
        <v>90</v>
      </c>
      <c r="GH16" s="194">
        <f t="shared" si="16"/>
        <v>0</v>
      </c>
      <c r="GI16" s="194">
        <f t="shared" si="17"/>
        <v>0</v>
      </c>
      <c r="GJ16" s="194">
        <f t="shared" si="18"/>
        <v>0</v>
      </c>
      <c r="GK16" s="194">
        <f t="shared" si="19"/>
        <v>0</v>
      </c>
      <c r="GL16" s="194">
        <f t="shared" si="20"/>
        <v>90</v>
      </c>
      <c r="GM16" s="194">
        <f t="shared" si="21"/>
        <v>0</v>
      </c>
      <c r="GN16" s="194">
        <f t="shared" si="22"/>
        <v>0</v>
      </c>
      <c r="GO16" s="194">
        <f t="shared" si="23"/>
        <v>0</v>
      </c>
      <c r="GP16" s="194">
        <f t="shared" si="24"/>
        <v>0</v>
      </c>
      <c r="GQ16" s="194">
        <f t="shared" si="25"/>
        <v>0</v>
      </c>
      <c r="GR16" s="194">
        <f t="shared" si="26"/>
        <v>0</v>
      </c>
      <c r="GS16" s="194">
        <f t="shared" si="27"/>
        <v>0</v>
      </c>
      <c r="GT16" s="194">
        <f t="shared" si="28"/>
        <v>0</v>
      </c>
      <c r="GU16" s="194">
        <f t="shared" si="29"/>
        <v>0</v>
      </c>
      <c r="GV16" s="194">
        <f t="shared" si="30"/>
        <v>0</v>
      </c>
      <c r="GW16" s="194">
        <f t="shared" si="31"/>
        <v>0</v>
      </c>
      <c r="GX16" s="194">
        <f t="shared" si="32"/>
        <v>0</v>
      </c>
      <c r="GY16" s="194">
        <f t="shared" si="33"/>
        <v>0</v>
      </c>
      <c r="GZ16" s="194">
        <f t="shared" si="34"/>
        <v>0</v>
      </c>
      <c r="HA16" s="194">
        <f t="shared" si="35"/>
        <v>0</v>
      </c>
      <c r="HB16" s="194">
        <f t="shared" si="36"/>
        <v>0</v>
      </c>
      <c r="HC16" s="194">
        <f t="shared" si="37"/>
        <v>0</v>
      </c>
      <c r="HD16" s="194">
        <f t="shared" si="38"/>
        <v>0</v>
      </c>
      <c r="HE16" s="194">
        <f t="shared" si="39"/>
        <v>0</v>
      </c>
      <c r="HF16" s="194">
        <f t="shared" si="40"/>
        <v>0</v>
      </c>
      <c r="HG16" s="194">
        <f t="shared" si="41"/>
        <v>0</v>
      </c>
      <c r="HH16" s="194">
        <f t="shared" si="42"/>
        <v>0</v>
      </c>
      <c r="HI16" s="194">
        <f t="shared" si="43"/>
        <v>0</v>
      </c>
      <c r="HJ16" s="194">
        <f t="shared" si="44"/>
        <v>0</v>
      </c>
      <c r="HK16" s="194">
        <f t="shared" si="45"/>
        <v>0</v>
      </c>
      <c r="HL16" s="194">
        <f t="shared" si="46"/>
        <v>0</v>
      </c>
      <c r="HM16" s="194">
        <f t="shared" si="47"/>
        <v>0</v>
      </c>
      <c r="HN16" s="194">
        <f t="shared" si="48"/>
        <v>0</v>
      </c>
      <c r="HO16" s="194">
        <f t="shared" si="49"/>
        <v>0</v>
      </c>
      <c r="HP16" s="194">
        <f t="shared" si="50"/>
        <v>0</v>
      </c>
      <c r="HQ16" s="194">
        <f t="shared" si="51"/>
        <v>0</v>
      </c>
      <c r="HR16" s="194">
        <f t="shared" si="52"/>
        <v>0</v>
      </c>
      <c r="HS16" s="194">
        <f t="shared" si="53"/>
        <v>0</v>
      </c>
      <c r="HT16" s="194">
        <f t="shared" si="54"/>
        <v>0</v>
      </c>
      <c r="HU16" s="194">
        <f t="shared" si="55"/>
        <v>0</v>
      </c>
      <c r="HV16" s="194">
        <f t="shared" si="56"/>
        <v>0</v>
      </c>
      <c r="HW16" s="194">
        <f t="shared" si="57"/>
        <v>0</v>
      </c>
      <c r="HX16" s="194">
        <f t="shared" si="58"/>
        <v>0</v>
      </c>
      <c r="HY16" s="194">
        <f t="shared" si="59"/>
        <v>0</v>
      </c>
      <c r="HZ16" s="194">
        <f t="shared" si="60"/>
        <v>0</v>
      </c>
      <c r="IA16" s="194">
        <f t="shared" si="61"/>
        <v>0</v>
      </c>
      <c r="IB16" s="194">
        <f t="shared" si="62"/>
        <v>0</v>
      </c>
      <c r="IC16" s="194">
        <f t="shared" si="63"/>
        <v>0</v>
      </c>
      <c r="ID16" s="194">
        <f t="shared" si="64"/>
        <v>0</v>
      </c>
      <c r="IE16" s="194">
        <f t="shared" si="65"/>
        <v>0</v>
      </c>
      <c r="IF16" s="194">
        <f t="shared" si="66"/>
        <v>0</v>
      </c>
      <c r="IG16" s="194">
        <f t="shared" si="67"/>
        <v>0</v>
      </c>
      <c r="IH16" s="194">
        <f t="shared" si="68"/>
        <v>0</v>
      </c>
      <c r="II16" s="194">
        <f t="shared" si="69"/>
        <v>0</v>
      </c>
      <c r="IJ16" s="194">
        <f t="shared" si="70"/>
        <v>0</v>
      </c>
      <c r="IK16" s="194">
        <f t="shared" si="71"/>
        <v>0</v>
      </c>
      <c r="IL16" s="194">
        <f t="shared" si="72"/>
        <v>0</v>
      </c>
      <c r="IM16" s="194">
        <f t="shared" si="73"/>
        <v>0</v>
      </c>
      <c r="IN16" s="194">
        <f t="shared" si="74"/>
        <v>0</v>
      </c>
      <c r="IO16" s="194">
        <f t="shared" si="75"/>
        <v>0</v>
      </c>
      <c r="IP16" s="194">
        <f t="shared" si="76"/>
        <v>0</v>
      </c>
      <c r="IQ16" s="194">
        <f t="shared" si="77"/>
        <v>0</v>
      </c>
      <c r="IR16" s="194">
        <f t="shared" si="78"/>
        <v>0</v>
      </c>
      <c r="IS16" s="194">
        <f t="shared" si="79"/>
        <v>0</v>
      </c>
      <c r="IT16" s="194">
        <f t="shared" si="80"/>
        <v>0</v>
      </c>
      <c r="IU16" s="194">
        <f t="shared" si="81"/>
        <v>0</v>
      </c>
      <c r="IV16" s="194">
        <f t="shared" si="82"/>
        <v>0</v>
      </c>
      <c r="IW16" s="194">
        <f t="shared" si="83"/>
        <v>0</v>
      </c>
      <c r="IX16" s="194">
        <f t="shared" si="84"/>
        <v>0</v>
      </c>
      <c r="IY16" s="194">
        <f t="shared" si="85"/>
        <v>0</v>
      </c>
      <c r="IZ16" s="194">
        <f t="shared" si="86"/>
        <v>0</v>
      </c>
      <c r="JA16" s="194">
        <f t="shared" si="87"/>
        <v>0</v>
      </c>
      <c r="JB16" s="194">
        <f t="shared" si="88"/>
        <v>0</v>
      </c>
      <c r="JC16" s="194">
        <f t="shared" si="89"/>
        <v>0</v>
      </c>
      <c r="JD16" s="194">
        <f t="shared" si="90"/>
        <v>0</v>
      </c>
      <c r="JE16" s="194">
        <f t="shared" si="91"/>
        <v>0</v>
      </c>
      <c r="JF16" s="194">
        <f t="shared" si="92"/>
        <v>0</v>
      </c>
      <c r="JG16" s="194">
        <f t="shared" si="93"/>
        <v>0</v>
      </c>
      <c r="JH16" s="194">
        <f t="shared" si="94"/>
        <v>0</v>
      </c>
      <c r="JI16" s="228">
        <v>8</v>
      </c>
      <c r="JJ16" s="229">
        <f t="shared" si="121"/>
        <v>90</v>
      </c>
      <c r="JK16" s="229">
        <f t="shared" si="122"/>
        <v>90</v>
      </c>
      <c r="JL16" s="229" t="str">
        <f t="shared" si="123"/>
        <v/>
      </c>
      <c r="JM16" s="229" t="str">
        <f t="shared" si="124"/>
        <v/>
      </c>
      <c r="JN16" s="229" t="str">
        <f t="shared" si="125"/>
        <v/>
      </c>
      <c r="JO16" s="229" t="str">
        <f t="shared" si="126"/>
        <v/>
      </c>
      <c r="JP16" s="229" t="str">
        <f t="shared" si="127"/>
        <v/>
      </c>
      <c r="JQ16" s="229" t="str">
        <f t="shared" si="128"/>
        <v/>
      </c>
      <c r="JR16" s="229" t="str">
        <f t="shared" si="129"/>
        <v/>
      </c>
      <c r="JS16" s="229" t="str">
        <f t="shared" si="130"/>
        <v/>
      </c>
      <c r="JT16" s="229" t="str">
        <f t="shared" si="131"/>
        <v/>
      </c>
      <c r="JU16" s="229" t="str">
        <f t="shared" si="132"/>
        <v/>
      </c>
      <c r="JV16" s="229" t="str">
        <f t="shared" si="133"/>
        <v/>
      </c>
      <c r="JW16" s="229" t="str">
        <f t="shared" si="134"/>
        <v/>
      </c>
      <c r="JX16" s="229" t="str">
        <f t="shared" si="135"/>
        <v/>
      </c>
      <c r="JY16" s="229" t="str">
        <f t="shared" si="136"/>
        <v/>
      </c>
      <c r="JZ16" s="229" t="str">
        <f t="shared" si="137"/>
        <v/>
      </c>
      <c r="KA16" s="229" t="str">
        <f t="shared" si="138"/>
        <v/>
      </c>
      <c r="KB16" s="229" t="str">
        <f t="shared" si="139"/>
        <v/>
      </c>
      <c r="KC16" s="229" t="str">
        <f t="shared" si="140"/>
        <v/>
      </c>
      <c r="KD16" s="231">
        <f t="shared" si="141"/>
        <v>90</v>
      </c>
      <c r="KE16" s="232" t="str">
        <f>IF(KD16="","",IF(KD16&gt;=KONVERSI!$A$5,KONVERSI!$E$12,IF(KD16&gt;=KONVERSI!$A$6,KONVERSI!$E$13,IF(KD16&gt;=KONVERSI!$A$7,KONVERSI!$E$14,KONVERSI!$E$15))))</f>
        <v>Terampil</v>
      </c>
      <c r="KF16" s="233" t="str">
        <f t="shared" si="142"/>
        <v>Terampil dalammemilih jenis, bahan dan teknik pengolahan kerang, kaca, keramik dan botol plastik sesuai dengan potensi daerah setempat</v>
      </c>
      <c r="KG16" s="234">
        <f t="shared" si="143"/>
        <v>90</v>
      </c>
      <c r="KH16" s="232" t="str">
        <f>IF(KG16="","",IF(KG16&gt;=KONVERSI!$A$5,KONVERSI!$E$12,IF(KG16&gt;=KONVERSI!$A$6,KONVERSI!$E$13,IF(KG16&gt;=KONVERSI!$A$7,KONVERSI!$E$14,KONVERSI!$E$15))))</f>
        <v>Terampil</v>
      </c>
      <c r="KI16" s="134" t="str">
        <f>IF(GC16="","",IF(GC16&lt;$GD$3," "&amp;KONVERSI!$C$19&amp;INDEX($JJ$8:$KC$8,MATCH(KG17,JJ17:KC17,0))&amp;".",IF(GC16=0,"",IF(KG16&lt;&gt;0,KF16&amp;KH16&amp;".",KF16&amp;"."))))</f>
        <v>Terampil dalammemilih jenis, bahan dan teknik pengolahan kerang, kaca, keramik dan botol plastik sesuai dengan potensi daerah setempatTerampil.</v>
      </c>
      <c r="KJ16" s="235" t="str">
        <f t="shared" si="144"/>
        <v>OK</v>
      </c>
      <c r="KK16" s="235" t="str">
        <f t="shared" si="145"/>
        <v>OK</v>
      </c>
      <c r="KL16" s="235" t="str">
        <f t="shared" si="146"/>
        <v/>
      </c>
      <c r="KM16" s="235" t="str">
        <f t="shared" si="147"/>
        <v/>
      </c>
      <c r="KN16" s="235" t="str">
        <f t="shared" si="148"/>
        <v/>
      </c>
      <c r="KO16" s="235" t="str">
        <f t="shared" si="149"/>
        <v/>
      </c>
      <c r="KP16" s="235" t="str">
        <f t="shared" si="150"/>
        <v/>
      </c>
      <c r="KQ16" s="235" t="str">
        <f t="shared" si="151"/>
        <v/>
      </c>
      <c r="KR16" s="235" t="str">
        <f t="shared" si="152"/>
        <v/>
      </c>
      <c r="KS16" s="235" t="str">
        <f t="shared" si="153"/>
        <v/>
      </c>
      <c r="KT16" s="235" t="str">
        <f t="shared" si="154"/>
        <v/>
      </c>
      <c r="KU16" s="235" t="str">
        <f t="shared" si="155"/>
        <v/>
      </c>
      <c r="KV16" s="235" t="str">
        <f t="shared" si="156"/>
        <v/>
      </c>
      <c r="KW16" s="235" t="str">
        <f t="shared" si="157"/>
        <v/>
      </c>
      <c r="KX16" s="235" t="str">
        <f t="shared" si="158"/>
        <v/>
      </c>
      <c r="KY16" s="235" t="str">
        <f t="shared" si="159"/>
        <v/>
      </c>
      <c r="KZ16" s="235" t="str">
        <f t="shared" si="160"/>
        <v/>
      </c>
      <c r="LA16" s="235" t="str">
        <f t="shared" si="161"/>
        <v/>
      </c>
      <c r="LB16" s="235" t="str">
        <f t="shared" si="162"/>
        <v/>
      </c>
      <c r="LC16" s="235" t="str">
        <f t="shared" si="163"/>
        <v/>
      </c>
      <c r="LD16" s="134" t="str">
        <f t="shared" si="164"/>
        <v>memilih jenis, bahan dan teknik pengolahan kerang, kaca, keramik dan botol plastik sesuai dengan potensi daerah setempat</v>
      </c>
      <c r="LE16" s="134" t="str">
        <f t="shared" si="96"/>
        <v>perancangan pembuatan dan penyajian kerajinan kerang, kaca, keramik dan botol plastik yang kreatif dan inovatif</v>
      </c>
      <c r="LF16" s="134" t="str">
        <f t="shared" si="96"/>
        <v/>
      </c>
      <c r="LG16" s="134" t="str">
        <f t="shared" si="96"/>
        <v/>
      </c>
      <c r="LH16" s="134" t="str">
        <f t="shared" si="96"/>
        <v/>
      </c>
      <c r="LI16" s="134" t="str">
        <f t="shared" si="96"/>
        <v/>
      </c>
      <c r="LJ16" s="134" t="str">
        <f t="shared" si="96"/>
        <v/>
      </c>
      <c r="LK16" s="134" t="str">
        <f t="shared" si="96"/>
        <v/>
      </c>
      <c r="LL16" s="134" t="str">
        <f t="shared" si="96"/>
        <v/>
      </c>
      <c r="LM16" s="134" t="str">
        <f t="shared" si="96"/>
        <v/>
      </c>
      <c r="LN16" s="134" t="str">
        <f t="shared" si="96"/>
        <v/>
      </c>
      <c r="LO16" s="134" t="str">
        <f t="shared" si="96"/>
        <v/>
      </c>
      <c r="LP16" s="134" t="str">
        <f t="shared" si="96"/>
        <v/>
      </c>
      <c r="LQ16" s="134" t="str">
        <f t="shared" si="96"/>
        <v/>
      </c>
      <c r="LR16" s="134" t="str">
        <f t="shared" si="96"/>
        <v/>
      </c>
      <c r="LS16" s="134" t="str">
        <f t="shared" si="96"/>
        <v/>
      </c>
      <c r="LT16" s="134" t="str">
        <f t="shared" si="96"/>
        <v/>
      </c>
      <c r="LU16" s="134" t="str">
        <f t="shared" si="96"/>
        <v/>
      </c>
      <c r="LV16" s="134" t="str">
        <f t="shared" si="96"/>
        <v/>
      </c>
      <c r="LW16" s="134" t="str">
        <f t="shared" si="96"/>
        <v/>
      </c>
      <c r="LX16" s="134" t="str">
        <f t="shared" si="165"/>
        <v>Terampil dalam memilih jenis, bahan dan teknik pengolahan kerang, kaca, keramik dan botol plastik sesuai dengan potensi daerah setempatperancangan pembuatan dan penyajian kerajinan kerang, kaca, keramik dan botol plastik yang kreatif dan inovatif</v>
      </c>
      <c r="LY16" s="134" t="str">
        <f t="shared" si="166"/>
        <v>Terampil dalam memilih jenis, bahan dan teknik pengolahan kerang, kaca, keramik dan botol plastik sesuai dengan potensi daerah setempatperancangan pembuatan dan penyajian kerajinan kerang, kaca, keramik dan botol plastik yang kreatif dan inovati.  </v>
      </c>
      <c r="LZ16" s="236">
        <f t="shared" si="97"/>
        <v>2</v>
      </c>
      <c r="MA16" s="235" t="str">
        <f t="shared" si="167"/>
        <v>OK</v>
      </c>
      <c r="MB16" s="235" t="str">
        <f t="shared" si="168"/>
        <v>OK</v>
      </c>
      <c r="MC16" s="235" t="str">
        <f t="shared" si="169"/>
        <v/>
      </c>
      <c r="MD16" s="235" t="str">
        <f t="shared" si="170"/>
        <v/>
      </c>
      <c r="ME16" s="235" t="str">
        <f t="shared" si="171"/>
        <v/>
      </c>
      <c r="MF16" s="235" t="str">
        <f t="shared" si="172"/>
        <v/>
      </c>
      <c r="MG16" s="235" t="str">
        <f t="shared" si="173"/>
        <v/>
      </c>
      <c r="MH16" s="235" t="str">
        <f t="shared" si="174"/>
        <v/>
      </c>
      <c r="MI16" s="235" t="str">
        <f t="shared" si="175"/>
        <v/>
      </c>
      <c r="MJ16" s="235" t="str">
        <f t="shared" si="176"/>
        <v/>
      </c>
      <c r="MK16" s="235" t="str">
        <f t="shared" si="177"/>
        <v/>
      </c>
      <c r="ML16" s="235" t="str">
        <f t="shared" si="178"/>
        <v/>
      </c>
      <c r="MM16" s="235" t="str">
        <f t="shared" si="179"/>
        <v/>
      </c>
      <c r="MN16" s="235" t="str">
        <f t="shared" si="180"/>
        <v/>
      </c>
      <c r="MO16" s="235" t="str">
        <f t="shared" si="181"/>
        <v/>
      </c>
      <c r="MP16" s="235" t="str">
        <f t="shared" si="182"/>
        <v/>
      </c>
      <c r="MQ16" s="235" t="str">
        <f t="shared" si="183"/>
        <v/>
      </c>
      <c r="MR16" s="235" t="str">
        <f t="shared" si="184"/>
        <v/>
      </c>
      <c r="MS16" s="235" t="str">
        <f t="shared" si="185"/>
        <v/>
      </c>
      <c r="MT16" s="235" t="str">
        <f t="shared" si="186"/>
        <v/>
      </c>
      <c r="MU16" s="134" t="str">
        <f t="shared" si="187"/>
        <v>memilih jenis, bahan dan teknik pengolahan kerang, kaca, keramik dan botol plastik sesuai dengan potensi daerah setempat</v>
      </c>
      <c r="MV16" s="134" t="str">
        <f t="shared" si="110"/>
        <v>perancangan pembuatan dan penyajian kerajinan kerang, kaca, keramik dan botol plastik yang kreatif dan inovatif</v>
      </c>
      <c r="MW16" s="134" t="str">
        <f t="shared" si="110"/>
        <v/>
      </c>
      <c r="MX16" s="134" t="str">
        <f t="shared" si="110"/>
        <v/>
      </c>
      <c r="MY16" s="134" t="str">
        <f t="shared" si="110"/>
        <v/>
      </c>
      <c r="MZ16" s="134" t="str">
        <f t="shared" si="110"/>
        <v/>
      </c>
      <c r="NA16" s="134" t="str">
        <f t="shared" si="110"/>
        <v/>
      </c>
      <c r="NB16" s="134" t="str">
        <f t="shared" si="110"/>
        <v/>
      </c>
      <c r="NC16" s="134" t="str">
        <f t="shared" si="110"/>
        <v/>
      </c>
      <c r="ND16" s="134" t="str">
        <f t="shared" si="110"/>
        <v/>
      </c>
      <c r="NE16" s="134" t="str">
        <f t="shared" si="110"/>
        <v/>
      </c>
      <c r="NF16" s="134" t="str">
        <f t="shared" si="110"/>
        <v/>
      </c>
      <c r="NG16" s="134" t="str">
        <f t="shared" si="110"/>
        <v/>
      </c>
      <c r="NH16" s="134" t="str">
        <f t="shared" si="110"/>
        <v/>
      </c>
      <c r="NI16" s="134" t="str">
        <f t="shared" si="110"/>
        <v/>
      </c>
      <c r="NJ16" s="134" t="str">
        <f t="shared" si="110"/>
        <v/>
      </c>
      <c r="NK16" s="134" t="str">
        <f t="shared" si="110"/>
        <v/>
      </c>
      <c r="NL16" s="134" t="str">
        <f t="shared" si="110"/>
        <v/>
      </c>
      <c r="NM16" s="134" t="str">
        <f t="shared" si="110"/>
        <v/>
      </c>
      <c r="NN16" s="134" t="str">
        <f t="shared" si="110"/>
        <v/>
      </c>
      <c r="NO16" s="134" t="str">
        <f>IF(KE16=KH16,"",IF(KG16="","",IF(KG16&gt;=KONVERSI!$A$14,'KI4'!KH16&amp;" dalam"&amp;MU16&amp;MV16&amp;MW16&amp;MX16&amp;MY16&amp;MZ16&amp;NA16&amp;NB16&amp;NC16&amp;ND16&amp;NE16&amp;NF16&amp;NG16&amp;NH16&amp;NI16&amp;NJ16&amp;NK16&amp;NL16&amp;NM16&amp;NN16,KONVERSI!$C$19&amp;" dalam"&amp;MU16&amp;MV16&amp;MW16&amp;MX16&amp;MY16&amp;MZ16&amp;NA16&amp;NB16&amp;NC16&amp;ND16&amp;NE16&amp;NF16&amp;NG16&amp;NH16&amp;NI16&amp;NJ16&amp;NK16&amp;NL16&amp;NM16&amp;NN16)))</f>
        <v/>
      </c>
      <c r="NP16" s="134" t="str">
        <f t="shared" si="188"/>
        <v/>
      </c>
      <c r="NQ16" s="236">
        <f t="shared" si="111"/>
        <v>2</v>
      </c>
      <c r="NR16" s="134" t="str">
        <f t="shared" si="189"/>
        <v>Terampil dalam memilih jenis, bahan dan teknik pengolahan kerang, kaca, keramik dan botol plastik sesuai dengan potensi daerah setempatperancangan pembuatan dan penyajian kerajinan kerang, kaca, keramik dan botol plastik yang kreatif dan inovati.  </v>
      </c>
    </row>
    <row r="17" ht="27.6" customHeight="1" spans="1:382">
      <c r="A17" s="136"/>
      <c r="B17" s="177">
        <v>9</v>
      </c>
      <c r="C17" s="178" t="str">
        <f>siswa!C13</f>
        <v>FACHRI ANDHIKA PUTRA</v>
      </c>
      <c r="D17" s="174">
        <f>siswa!D13</f>
        <v>2757</v>
      </c>
      <c r="E17" s="175"/>
      <c r="F17" s="176"/>
      <c r="G17" s="176"/>
      <c r="H17" s="176"/>
      <c r="I17" s="176"/>
      <c r="J17" s="176"/>
      <c r="K17" s="176"/>
      <c r="L17" s="176"/>
      <c r="M17" s="194" t="str">
        <f t="shared" si="2"/>
        <v/>
      </c>
      <c r="N17" s="176"/>
      <c r="O17" s="176"/>
      <c r="P17" s="175"/>
      <c r="Q17" s="176"/>
      <c r="R17" s="176"/>
      <c r="S17" s="176"/>
      <c r="T17" s="176"/>
      <c r="U17" s="176"/>
      <c r="V17" s="194" t="str">
        <f t="shared" si="3"/>
        <v/>
      </c>
      <c r="W17" s="176"/>
      <c r="X17" s="176"/>
      <c r="Y17" s="176"/>
      <c r="Z17" s="176"/>
      <c r="AA17" s="176"/>
      <c r="AB17" s="176"/>
      <c r="AC17" s="176"/>
      <c r="AD17" s="176"/>
      <c r="AE17" s="194" t="str">
        <f t="shared" si="4"/>
        <v/>
      </c>
      <c r="AF17" s="176"/>
      <c r="AG17" s="176"/>
      <c r="AH17" s="176"/>
      <c r="AI17" s="176"/>
      <c r="AJ17" s="176"/>
      <c r="AK17" s="176"/>
      <c r="AL17" s="176"/>
      <c r="AM17" s="176"/>
      <c r="AN17" s="194" t="str">
        <f t="shared" si="5"/>
        <v/>
      </c>
      <c r="AO17" s="181"/>
      <c r="AP17" s="176"/>
      <c r="AQ17" s="176"/>
      <c r="AR17" s="176"/>
      <c r="AS17" s="176"/>
      <c r="AT17" s="176"/>
      <c r="AU17" s="176"/>
      <c r="AV17" s="176"/>
      <c r="AW17" s="194" t="str">
        <f t="shared" si="112"/>
        <v/>
      </c>
      <c r="AX17" s="181"/>
      <c r="AY17" s="176"/>
      <c r="AZ17" s="176"/>
      <c r="BA17" s="176"/>
      <c r="BB17" s="176"/>
      <c r="BC17" s="176"/>
      <c r="BD17" s="176"/>
      <c r="BE17" s="176"/>
      <c r="BF17" s="194" t="str">
        <f t="shared" si="6"/>
        <v/>
      </c>
      <c r="BG17" s="181"/>
      <c r="BH17" s="176"/>
      <c r="BI17" s="176"/>
      <c r="BJ17" s="176"/>
      <c r="BK17" s="176"/>
      <c r="BL17" s="176"/>
      <c r="BM17" s="176"/>
      <c r="BN17" s="176"/>
      <c r="BO17" s="194" t="str">
        <f t="shared" si="113"/>
        <v/>
      </c>
      <c r="BP17" s="181"/>
      <c r="BQ17" s="176"/>
      <c r="BR17" s="176"/>
      <c r="BS17" s="176"/>
      <c r="BT17" s="176"/>
      <c r="BU17" s="176"/>
      <c r="BV17" s="176"/>
      <c r="BW17" s="176"/>
      <c r="BX17" s="194" t="str">
        <f t="shared" si="114"/>
        <v/>
      </c>
      <c r="BY17" s="181"/>
      <c r="BZ17" s="176"/>
      <c r="CA17" s="176"/>
      <c r="CB17" s="176"/>
      <c r="CC17" s="176"/>
      <c r="CD17" s="176"/>
      <c r="CE17" s="176"/>
      <c r="CF17" s="176"/>
      <c r="CG17" s="194" t="str">
        <f t="shared" si="115"/>
        <v/>
      </c>
      <c r="CH17" s="181"/>
      <c r="CI17" s="176"/>
      <c r="CJ17" s="176"/>
      <c r="CK17" s="176"/>
      <c r="CL17" s="176"/>
      <c r="CM17" s="176"/>
      <c r="CN17" s="176"/>
      <c r="CO17" s="176"/>
      <c r="CP17" s="194" t="str">
        <f t="shared" si="7"/>
        <v/>
      </c>
      <c r="CQ17" s="181"/>
      <c r="CR17" s="176"/>
      <c r="CS17" s="176"/>
      <c r="CT17" s="176"/>
      <c r="CU17" s="176"/>
      <c r="CV17" s="176"/>
      <c r="CW17" s="176"/>
      <c r="CX17" s="176"/>
      <c r="CY17" s="194" t="str">
        <f t="shared" si="116"/>
        <v/>
      </c>
      <c r="CZ17" s="181"/>
      <c r="DA17" s="176"/>
      <c r="DB17" s="176"/>
      <c r="DC17" s="176"/>
      <c r="DD17" s="176"/>
      <c r="DE17" s="176"/>
      <c r="DF17" s="176"/>
      <c r="DG17" s="176"/>
      <c r="DH17" s="194" t="str">
        <f t="shared" si="8"/>
        <v/>
      </c>
      <c r="DI17" s="181"/>
      <c r="DJ17" s="176"/>
      <c r="DK17" s="176"/>
      <c r="DL17" s="176"/>
      <c r="DM17" s="176"/>
      <c r="DN17" s="176"/>
      <c r="DO17" s="176"/>
      <c r="DP17" s="176"/>
      <c r="DQ17" s="194" t="str">
        <f t="shared" si="117"/>
        <v/>
      </c>
      <c r="DR17" s="181"/>
      <c r="DS17" s="176"/>
      <c r="DT17" s="176"/>
      <c r="DU17" s="176"/>
      <c r="DV17" s="176"/>
      <c r="DW17" s="176"/>
      <c r="DX17" s="176"/>
      <c r="DY17" s="176"/>
      <c r="DZ17" s="194" t="str">
        <f t="shared" si="9"/>
        <v/>
      </c>
      <c r="EA17" s="181"/>
      <c r="EB17" s="176"/>
      <c r="EC17" s="176"/>
      <c r="ED17" s="176"/>
      <c r="EE17" s="176"/>
      <c r="EF17" s="176"/>
      <c r="EG17" s="176"/>
      <c r="EH17" s="176"/>
      <c r="EI17" s="194" t="str">
        <f t="shared" si="10"/>
        <v/>
      </c>
      <c r="EJ17" s="181"/>
      <c r="EK17" s="176"/>
      <c r="EL17" s="176"/>
      <c r="EM17" s="176"/>
      <c r="EN17" s="176"/>
      <c r="EO17" s="176"/>
      <c r="EP17" s="176"/>
      <c r="EQ17" s="176"/>
      <c r="ER17" s="194" t="str">
        <f t="shared" si="11"/>
        <v/>
      </c>
      <c r="ES17" s="181"/>
      <c r="ET17" s="176"/>
      <c r="EU17" s="176"/>
      <c r="EV17" s="176"/>
      <c r="EW17" s="176"/>
      <c r="EX17" s="176"/>
      <c r="EY17" s="176"/>
      <c r="EZ17" s="176"/>
      <c r="FA17" s="194" t="str">
        <f t="shared" si="12"/>
        <v/>
      </c>
      <c r="FB17" s="181"/>
      <c r="FC17" s="176"/>
      <c r="FD17" s="176"/>
      <c r="FE17" s="176"/>
      <c r="FF17" s="176"/>
      <c r="FG17" s="176"/>
      <c r="FH17" s="176"/>
      <c r="FI17" s="176"/>
      <c r="FJ17" s="194" t="str">
        <f t="shared" si="13"/>
        <v/>
      </c>
      <c r="FK17" s="181"/>
      <c r="FL17" s="176"/>
      <c r="FM17" s="176"/>
      <c r="FN17" s="176"/>
      <c r="FO17" s="176"/>
      <c r="FP17" s="176"/>
      <c r="FQ17" s="176"/>
      <c r="FR17" s="176"/>
      <c r="FS17" s="194" t="str">
        <f t="shared" si="14"/>
        <v/>
      </c>
      <c r="FT17" s="181"/>
      <c r="FU17" s="176"/>
      <c r="FV17" s="176"/>
      <c r="FW17" s="176"/>
      <c r="FX17" s="176"/>
      <c r="FY17" s="176"/>
      <c r="FZ17" s="176"/>
      <c r="GA17" s="176"/>
      <c r="GB17" s="194" t="str">
        <f t="shared" si="118"/>
        <v/>
      </c>
      <c r="GC17" s="194" t="str">
        <f t="shared" si="119"/>
        <v/>
      </c>
      <c r="GD17" s="194" t="str">
        <f>IF(GC17="","",IF(GC17&gt;=KONVERSI!$A$5,KONVERSI!$D$5,IF(GC17&gt;=KONVERSI!$A$6,KONVERSI!$D$6,IF(GC17&gt;=KONVERSI!$A$7,KONVERSI!$D$7,KONVERSI!$D$8))))</f>
        <v/>
      </c>
      <c r="GE17" s="194" t="str">
        <f t="shared" si="120"/>
        <v/>
      </c>
      <c r="GF17" s="222"/>
      <c r="GG17" s="223">
        <f t="shared" si="15"/>
        <v>0</v>
      </c>
      <c r="GH17" s="194">
        <f t="shared" si="16"/>
        <v>0</v>
      </c>
      <c r="GI17" s="194">
        <f t="shared" si="17"/>
        <v>0</v>
      </c>
      <c r="GJ17" s="194">
        <f t="shared" si="18"/>
        <v>0</v>
      </c>
      <c r="GK17" s="194">
        <f t="shared" si="19"/>
        <v>0</v>
      </c>
      <c r="GL17" s="194">
        <f t="shared" si="20"/>
        <v>0</v>
      </c>
      <c r="GM17" s="194">
        <f t="shared" si="21"/>
        <v>0</v>
      </c>
      <c r="GN17" s="194">
        <f t="shared" si="22"/>
        <v>0</v>
      </c>
      <c r="GO17" s="194">
        <f t="shared" si="23"/>
        <v>0</v>
      </c>
      <c r="GP17" s="194">
        <f t="shared" si="24"/>
        <v>0</v>
      </c>
      <c r="GQ17" s="194">
        <f t="shared" si="25"/>
        <v>0</v>
      </c>
      <c r="GR17" s="194">
        <f t="shared" si="26"/>
        <v>0</v>
      </c>
      <c r="GS17" s="194">
        <f t="shared" si="27"/>
        <v>0</v>
      </c>
      <c r="GT17" s="194">
        <f t="shared" si="28"/>
        <v>0</v>
      </c>
      <c r="GU17" s="194">
        <f t="shared" si="29"/>
        <v>0</v>
      </c>
      <c r="GV17" s="194">
        <f t="shared" si="30"/>
        <v>0</v>
      </c>
      <c r="GW17" s="194">
        <f t="shared" si="31"/>
        <v>0</v>
      </c>
      <c r="GX17" s="194">
        <f t="shared" si="32"/>
        <v>0</v>
      </c>
      <c r="GY17" s="194">
        <f t="shared" si="33"/>
        <v>0</v>
      </c>
      <c r="GZ17" s="194">
        <f t="shared" si="34"/>
        <v>0</v>
      </c>
      <c r="HA17" s="194">
        <f t="shared" si="35"/>
        <v>0</v>
      </c>
      <c r="HB17" s="194">
        <f t="shared" si="36"/>
        <v>0</v>
      </c>
      <c r="HC17" s="194">
        <f t="shared" si="37"/>
        <v>0</v>
      </c>
      <c r="HD17" s="194">
        <f t="shared" si="38"/>
        <v>0</v>
      </c>
      <c r="HE17" s="194">
        <f t="shared" si="39"/>
        <v>0</v>
      </c>
      <c r="HF17" s="194">
        <f t="shared" si="40"/>
        <v>0</v>
      </c>
      <c r="HG17" s="194">
        <f t="shared" si="41"/>
        <v>0</v>
      </c>
      <c r="HH17" s="194">
        <f t="shared" si="42"/>
        <v>0</v>
      </c>
      <c r="HI17" s="194">
        <f t="shared" si="43"/>
        <v>0</v>
      </c>
      <c r="HJ17" s="194">
        <f t="shared" si="44"/>
        <v>0</v>
      </c>
      <c r="HK17" s="194">
        <f t="shared" si="45"/>
        <v>0</v>
      </c>
      <c r="HL17" s="194">
        <f t="shared" si="46"/>
        <v>0</v>
      </c>
      <c r="HM17" s="194">
        <f t="shared" si="47"/>
        <v>0</v>
      </c>
      <c r="HN17" s="194">
        <f t="shared" si="48"/>
        <v>0</v>
      </c>
      <c r="HO17" s="194">
        <f t="shared" si="49"/>
        <v>0</v>
      </c>
      <c r="HP17" s="194">
        <f t="shared" si="50"/>
        <v>0</v>
      </c>
      <c r="HQ17" s="194">
        <f t="shared" si="51"/>
        <v>0</v>
      </c>
      <c r="HR17" s="194">
        <f t="shared" si="52"/>
        <v>0</v>
      </c>
      <c r="HS17" s="194">
        <f t="shared" si="53"/>
        <v>0</v>
      </c>
      <c r="HT17" s="194">
        <f t="shared" si="54"/>
        <v>0</v>
      </c>
      <c r="HU17" s="194">
        <f t="shared" si="55"/>
        <v>0</v>
      </c>
      <c r="HV17" s="194">
        <f t="shared" si="56"/>
        <v>0</v>
      </c>
      <c r="HW17" s="194">
        <f t="shared" si="57"/>
        <v>0</v>
      </c>
      <c r="HX17" s="194">
        <f t="shared" si="58"/>
        <v>0</v>
      </c>
      <c r="HY17" s="194">
        <f t="shared" si="59"/>
        <v>0</v>
      </c>
      <c r="HZ17" s="194">
        <f t="shared" si="60"/>
        <v>0</v>
      </c>
      <c r="IA17" s="194">
        <f t="shared" si="61"/>
        <v>0</v>
      </c>
      <c r="IB17" s="194">
        <f t="shared" si="62"/>
        <v>0</v>
      </c>
      <c r="IC17" s="194">
        <f t="shared" si="63"/>
        <v>0</v>
      </c>
      <c r="ID17" s="194">
        <f t="shared" si="64"/>
        <v>0</v>
      </c>
      <c r="IE17" s="194">
        <f t="shared" si="65"/>
        <v>0</v>
      </c>
      <c r="IF17" s="194">
        <f t="shared" si="66"/>
        <v>0</v>
      </c>
      <c r="IG17" s="194">
        <f t="shared" si="67"/>
        <v>0</v>
      </c>
      <c r="IH17" s="194">
        <f t="shared" si="68"/>
        <v>0</v>
      </c>
      <c r="II17" s="194">
        <f t="shared" si="69"/>
        <v>0</v>
      </c>
      <c r="IJ17" s="194">
        <f t="shared" si="70"/>
        <v>0</v>
      </c>
      <c r="IK17" s="194">
        <f t="shared" si="71"/>
        <v>0</v>
      </c>
      <c r="IL17" s="194">
        <f t="shared" si="72"/>
        <v>0</v>
      </c>
      <c r="IM17" s="194">
        <f t="shared" si="73"/>
        <v>0</v>
      </c>
      <c r="IN17" s="194">
        <f t="shared" si="74"/>
        <v>0</v>
      </c>
      <c r="IO17" s="194">
        <f t="shared" si="75"/>
        <v>0</v>
      </c>
      <c r="IP17" s="194">
        <f t="shared" si="76"/>
        <v>0</v>
      </c>
      <c r="IQ17" s="194">
        <f t="shared" si="77"/>
        <v>0</v>
      </c>
      <c r="IR17" s="194">
        <f t="shared" si="78"/>
        <v>0</v>
      </c>
      <c r="IS17" s="194">
        <f t="shared" si="79"/>
        <v>0</v>
      </c>
      <c r="IT17" s="194">
        <f t="shared" si="80"/>
        <v>0</v>
      </c>
      <c r="IU17" s="194">
        <f t="shared" si="81"/>
        <v>0</v>
      </c>
      <c r="IV17" s="194">
        <f t="shared" si="82"/>
        <v>0</v>
      </c>
      <c r="IW17" s="194">
        <f t="shared" si="83"/>
        <v>0</v>
      </c>
      <c r="IX17" s="194">
        <f t="shared" si="84"/>
        <v>0</v>
      </c>
      <c r="IY17" s="194">
        <f t="shared" si="85"/>
        <v>0</v>
      </c>
      <c r="IZ17" s="194">
        <f t="shared" si="86"/>
        <v>0</v>
      </c>
      <c r="JA17" s="194">
        <f t="shared" si="87"/>
        <v>0</v>
      </c>
      <c r="JB17" s="194">
        <f t="shared" si="88"/>
        <v>0</v>
      </c>
      <c r="JC17" s="194">
        <f t="shared" si="89"/>
        <v>0</v>
      </c>
      <c r="JD17" s="194">
        <f t="shared" si="90"/>
        <v>0</v>
      </c>
      <c r="JE17" s="194">
        <f t="shared" si="91"/>
        <v>0</v>
      </c>
      <c r="JF17" s="194">
        <f t="shared" si="92"/>
        <v>0</v>
      </c>
      <c r="JG17" s="194">
        <f t="shared" si="93"/>
        <v>0</v>
      </c>
      <c r="JH17" s="194">
        <f t="shared" si="94"/>
        <v>0</v>
      </c>
      <c r="JI17" s="228">
        <v>9</v>
      </c>
      <c r="JJ17" s="229" t="str">
        <f t="shared" si="121"/>
        <v/>
      </c>
      <c r="JK17" s="229" t="str">
        <f t="shared" si="122"/>
        <v/>
      </c>
      <c r="JL17" s="229" t="str">
        <f t="shared" si="123"/>
        <v/>
      </c>
      <c r="JM17" s="229" t="str">
        <f t="shared" si="124"/>
        <v/>
      </c>
      <c r="JN17" s="229" t="str">
        <f t="shared" si="125"/>
        <v/>
      </c>
      <c r="JO17" s="229" t="str">
        <f t="shared" si="126"/>
        <v/>
      </c>
      <c r="JP17" s="229" t="str">
        <f t="shared" si="127"/>
        <v/>
      </c>
      <c r="JQ17" s="229" t="str">
        <f t="shared" si="128"/>
        <v/>
      </c>
      <c r="JR17" s="229" t="str">
        <f t="shared" si="129"/>
        <v/>
      </c>
      <c r="JS17" s="229" t="str">
        <f t="shared" si="130"/>
        <v/>
      </c>
      <c r="JT17" s="229" t="str">
        <f t="shared" si="131"/>
        <v/>
      </c>
      <c r="JU17" s="229" t="str">
        <f t="shared" si="132"/>
        <v/>
      </c>
      <c r="JV17" s="229" t="str">
        <f t="shared" si="133"/>
        <v/>
      </c>
      <c r="JW17" s="229" t="str">
        <f t="shared" si="134"/>
        <v/>
      </c>
      <c r="JX17" s="229" t="str">
        <f t="shared" si="135"/>
        <v/>
      </c>
      <c r="JY17" s="229" t="str">
        <f t="shared" si="136"/>
        <v/>
      </c>
      <c r="JZ17" s="229" t="str">
        <f t="shared" si="137"/>
        <v/>
      </c>
      <c r="KA17" s="229" t="str">
        <f t="shared" si="138"/>
        <v/>
      </c>
      <c r="KB17" s="229" t="str">
        <f t="shared" si="139"/>
        <v/>
      </c>
      <c r="KC17" s="229" t="str">
        <f t="shared" si="140"/>
        <v/>
      </c>
      <c r="KD17" s="231" t="str">
        <f t="shared" si="141"/>
        <v/>
      </c>
      <c r="KE17" s="232" t="str">
        <f>IF(KD17="","",IF(KD17&gt;=KONVERSI!$A$5,KONVERSI!$E$12,IF(KD17&gt;=KONVERSI!$A$6,KONVERSI!$E$13,IF(KD17&gt;=KONVERSI!$A$7,KONVERSI!$E$14,KONVERSI!$E$15))))</f>
        <v/>
      </c>
      <c r="KF17" s="233" t="str">
        <f t="shared" si="142"/>
        <v/>
      </c>
      <c r="KG17" s="234" t="str">
        <f t="shared" si="143"/>
        <v/>
      </c>
      <c r="KH17" s="232" t="str">
        <f>IF(KG17="","",IF(KG17&gt;=KONVERSI!$A$5,KONVERSI!$E$12,IF(KG17&gt;=KONVERSI!$A$6,KONVERSI!$E$13,IF(KG17&gt;=KONVERSI!$A$7,KONVERSI!$E$14,KONVERSI!$E$15))))</f>
        <v/>
      </c>
      <c r="KI17" s="134" t="str">
        <f>IF(GC17="","",IF(GC17&lt;$GD$3," "&amp;KONVERSI!$C$19&amp;INDEX($JJ$8:$KC$8,MATCH(KG18,JJ18:KC18,0))&amp;".",IF(GC17=0,"",IF(KG17&lt;&gt;0,KF17&amp;KH17&amp;".",KF17&amp;"."))))</f>
        <v/>
      </c>
      <c r="KJ17" s="235" t="str">
        <f t="shared" si="144"/>
        <v/>
      </c>
      <c r="KK17" s="235" t="str">
        <f t="shared" si="145"/>
        <v/>
      </c>
      <c r="KL17" s="235" t="str">
        <f t="shared" si="146"/>
        <v/>
      </c>
      <c r="KM17" s="235" t="str">
        <f t="shared" si="147"/>
        <v/>
      </c>
      <c r="KN17" s="235" t="str">
        <f t="shared" si="148"/>
        <v/>
      </c>
      <c r="KO17" s="235" t="str">
        <f t="shared" si="149"/>
        <v/>
      </c>
      <c r="KP17" s="235" t="str">
        <f t="shared" si="150"/>
        <v/>
      </c>
      <c r="KQ17" s="235" t="str">
        <f t="shared" si="151"/>
        <v/>
      </c>
      <c r="KR17" s="235" t="str">
        <f t="shared" si="152"/>
        <v/>
      </c>
      <c r="KS17" s="235" t="str">
        <f t="shared" si="153"/>
        <v/>
      </c>
      <c r="KT17" s="235" t="str">
        <f t="shared" si="154"/>
        <v/>
      </c>
      <c r="KU17" s="235" t="str">
        <f t="shared" si="155"/>
        <v/>
      </c>
      <c r="KV17" s="235" t="str">
        <f t="shared" si="156"/>
        <v/>
      </c>
      <c r="KW17" s="235" t="str">
        <f t="shared" si="157"/>
        <v/>
      </c>
      <c r="KX17" s="235" t="str">
        <f t="shared" si="158"/>
        <v/>
      </c>
      <c r="KY17" s="235" t="str">
        <f t="shared" si="159"/>
        <v/>
      </c>
      <c r="KZ17" s="235" t="str">
        <f t="shared" si="160"/>
        <v/>
      </c>
      <c r="LA17" s="235" t="str">
        <f t="shared" si="161"/>
        <v/>
      </c>
      <c r="LB17" s="235" t="str">
        <f t="shared" si="162"/>
        <v/>
      </c>
      <c r="LC17" s="235" t="str">
        <f t="shared" si="163"/>
        <v/>
      </c>
      <c r="LD17" s="134" t="str">
        <f t="shared" si="164"/>
        <v/>
      </c>
      <c r="LE17" s="134" t="str">
        <f t="shared" si="96"/>
        <v/>
      </c>
      <c r="LF17" s="134" t="str">
        <f t="shared" si="96"/>
        <v/>
      </c>
      <c r="LG17" s="134" t="str">
        <f t="shared" si="96"/>
        <v/>
      </c>
      <c r="LH17" s="134" t="str">
        <f t="shared" si="96"/>
        <v/>
      </c>
      <c r="LI17" s="134" t="str">
        <f t="shared" si="96"/>
        <v/>
      </c>
      <c r="LJ17" s="134" t="str">
        <f t="shared" si="96"/>
        <v/>
      </c>
      <c r="LK17" s="134" t="str">
        <f t="shared" si="96"/>
        <v/>
      </c>
      <c r="LL17" s="134" t="str">
        <f t="shared" si="96"/>
        <v/>
      </c>
      <c r="LM17" s="134" t="str">
        <f t="shared" si="96"/>
        <v/>
      </c>
      <c r="LN17" s="134" t="str">
        <f t="shared" si="96"/>
        <v/>
      </c>
      <c r="LO17" s="134" t="str">
        <f t="shared" si="96"/>
        <v/>
      </c>
      <c r="LP17" s="134" t="str">
        <f t="shared" si="96"/>
        <v/>
      </c>
      <c r="LQ17" s="134" t="str">
        <f t="shared" si="96"/>
        <v/>
      </c>
      <c r="LR17" s="134" t="str">
        <f t="shared" si="96"/>
        <v/>
      </c>
      <c r="LS17" s="134" t="str">
        <f t="shared" si="96"/>
        <v/>
      </c>
      <c r="LT17" s="134" t="str">
        <f t="shared" si="96"/>
        <v/>
      </c>
      <c r="LU17" s="134" t="str">
        <f t="shared" si="96"/>
        <v/>
      </c>
      <c r="LV17" s="134" t="str">
        <f t="shared" si="96"/>
        <v/>
      </c>
      <c r="LW17" s="134" t="str">
        <f t="shared" si="96"/>
        <v/>
      </c>
      <c r="LX17" s="134" t="str">
        <f t="shared" si="165"/>
        <v/>
      </c>
      <c r="LY17" s="134" t="str">
        <f t="shared" si="166"/>
        <v>  </v>
      </c>
      <c r="LZ17" s="236">
        <f t="shared" si="97"/>
        <v>0</v>
      </c>
      <c r="MA17" s="235" t="str">
        <f t="shared" si="167"/>
        <v/>
      </c>
      <c r="MB17" s="235" t="str">
        <f t="shared" si="168"/>
        <v/>
      </c>
      <c r="MC17" s="235" t="str">
        <f t="shared" si="169"/>
        <v/>
      </c>
      <c r="MD17" s="235" t="str">
        <f t="shared" si="170"/>
        <v/>
      </c>
      <c r="ME17" s="235" t="str">
        <f t="shared" si="171"/>
        <v/>
      </c>
      <c r="MF17" s="235" t="str">
        <f t="shared" si="172"/>
        <v/>
      </c>
      <c r="MG17" s="235" t="str">
        <f t="shared" si="173"/>
        <v/>
      </c>
      <c r="MH17" s="235" t="str">
        <f t="shared" si="174"/>
        <v/>
      </c>
      <c r="MI17" s="235" t="str">
        <f t="shared" si="175"/>
        <v/>
      </c>
      <c r="MJ17" s="235" t="str">
        <f t="shared" si="176"/>
        <v/>
      </c>
      <c r="MK17" s="235" t="str">
        <f t="shared" si="177"/>
        <v/>
      </c>
      <c r="ML17" s="235" t="str">
        <f t="shared" si="178"/>
        <v/>
      </c>
      <c r="MM17" s="235" t="str">
        <f t="shared" si="179"/>
        <v/>
      </c>
      <c r="MN17" s="235" t="str">
        <f t="shared" si="180"/>
        <v/>
      </c>
      <c r="MO17" s="235" t="str">
        <f t="shared" si="181"/>
        <v/>
      </c>
      <c r="MP17" s="235" t="str">
        <f t="shared" si="182"/>
        <v/>
      </c>
      <c r="MQ17" s="235" t="str">
        <f t="shared" si="183"/>
        <v/>
      </c>
      <c r="MR17" s="235" t="str">
        <f t="shared" si="184"/>
        <v/>
      </c>
      <c r="MS17" s="235" t="str">
        <f t="shared" si="185"/>
        <v/>
      </c>
      <c r="MT17" s="235" t="str">
        <f t="shared" si="186"/>
        <v/>
      </c>
      <c r="MU17" s="134" t="str">
        <f t="shared" si="187"/>
        <v/>
      </c>
      <c r="MV17" s="134" t="str">
        <f t="shared" si="110"/>
        <v/>
      </c>
      <c r="MW17" s="134" t="str">
        <f t="shared" si="110"/>
        <v/>
      </c>
      <c r="MX17" s="134" t="str">
        <f t="shared" si="110"/>
        <v/>
      </c>
      <c r="MY17" s="134" t="str">
        <f t="shared" si="110"/>
        <v/>
      </c>
      <c r="MZ17" s="134" t="str">
        <f t="shared" si="110"/>
        <v/>
      </c>
      <c r="NA17" s="134" t="str">
        <f t="shared" si="110"/>
        <v/>
      </c>
      <c r="NB17" s="134" t="str">
        <f t="shared" si="110"/>
        <v/>
      </c>
      <c r="NC17" s="134" t="str">
        <f t="shared" si="110"/>
        <v/>
      </c>
      <c r="ND17" s="134" t="str">
        <f t="shared" si="110"/>
        <v/>
      </c>
      <c r="NE17" s="134" t="str">
        <f t="shared" si="110"/>
        <v/>
      </c>
      <c r="NF17" s="134" t="str">
        <f t="shared" si="110"/>
        <v/>
      </c>
      <c r="NG17" s="134" t="str">
        <f t="shared" si="110"/>
        <v/>
      </c>
      <c r="NH17" s="134" t="str">
        <f t="shared" si="110"/>
        <v/>
      </c>
      <c r="NI17" s="134" t="str">
        <f t="shared" si="110"/>
        <v/>
      </c>
      <c r="NJ17" s="134" t="str">
        <f t="shared" si="110"/>
        <v/>
      </c>
      <c r="NK17" s="134" t="str">
        <f t="shared" si="110"/>
        <v/>
      </c>
      <c r="NL17" s="134" t="str">
        <f t="shared" si="110"/>
        <v/>
      </c>
      <c r="NM17" s="134" t="str">
        <f t="shared" si="110"/>
        <v/>
      </c>
      <c r="NN17" s="134" t="str">
        <f t="shared" si="110"/>
        <v/>
      </c>
      <c r="NO17" s="134" t="str">
        <f>IF(KE17=KH17,"",IF(KG17="","",IF(KG17&gt;=KONVERSI!$A$14,'KI4'!KH17&amp;" dalam"&amp;MU17&amp;MV17&amp;MW17&amp;MX17&amp;MY17&amp;MZ17&amp;NA17&amp;NB17&amp;NC17&amp;ND17&amp;NE17&amp;NF17&amp;NG17&amp;NH17&amp;NI17&amp;NJ17&amp;NK17&amp;NL17&amp;NM17&amp;NN17,KONVERSI!$C$19&amp;" dalam"&amp;MU17&amp;MV17&amp;MW17&amp;MX17&amp;MY17&amp;MZ17&amp;NA17&amp;NB17&amp;NC17&amp;ND17&amp;NE17&amp;NF17&amp;NG17&amp;NH17&amp;NI17&amp;NJ17&amp;NK17&amp;NL17&amp;NM17&amp;NN17)))</f>
        <v/>
      </c>
      <c r="NP17" s="134" t="str">
        <f t="shared" si="188"/>
        <v/>
      </c>
      <c r="NQ17" s="236">
        <f t="shared" si="111"/>
        <v>0</v>
      </c>
      <c r="NR17" s="134" t="str">
        <f t="shared" si="189"/>
        <v/>
      </c>
    </row>
    <row r="18" ht="27.6" customHeight="1" spans="1:382">
      <c r="A18" s="136"/>
      <c r="B18" s="177">
        <v>10</v>
      </c>
      <c r="C18" s="178" t="str">
        <f>siswa!C14</f>
        <v>FAIZ ADLY</v>
      </c>
      <c r="D18" s="174">
        <f>siswa!D14</f>
        <v>2759</v>
      </c>
      <c r="E18" s="175"/>
      <c r="F18" s="176"/>
      <c r="G18" s="176"/>
      <c r="H18" s="176"/>
      <c r="I18" s="176"/>
      <c r="J18" s="176"/>
      <c r="K18" s="176"/>
      <c r="L18" s="176"/>
      <c r="M18" s="194" t="str">
        <f t="shared" si="2"/>
        <v/>
      </c>
      <c r="N18" s="176"/>
      <c r="O18" s="176"/>
      <c r="P18" s="175"/>
      <c r="Q18" s="176"/>
      <c r="R18" s="176"/>
      <c r="S18" s="176"/>
      <c r="T18" s="176"/>
      <c r="U18" s="176"/>
      <c r="V18" s="194" t="str">
        <f t="shared" si="3"/>
        <v/>
      </c>
      <c r="W18" s="176"/>
      <c r="X18" s="176"/>
      <c r="Y18" s="176"/>
      <c r="Z18" s="176"/>
      <c r="AA18" s="176"/>
      <c r="AB18" s="176"/>
      <c r="AC18" s="176"/>
      <c r="AD18" s="176"/>
      <c r="AE18" s="194" t="str">
        <f t="shared" si="4"/>
        <v/>
      </c>
      <c r="AF18" s="176"/>
      <c r="AG18" s="176"/>
      <c r="AH18" s="176"/>
      <c r="AI18" s="176"/>
      <c r="AJ18" s="176"/>
      <c r="AK18" s="176"/>
      <c r="AL18" s="176"/>
      <c r="AM18" s="176"/>
      <c r="AN18" s="194" t="str">
        <f t="shared" si="5"/>
        <v/>
      </c>
      <c r="AO18" s="181"/>
      <c r="AP18" s="176"/>
      <c r="AQ18" s="176"/>
      <c r="AR18" s="176"/>
      <c r="AS18" s="176"/>
      <c r="AT18" s="176"/>
      <c r="AU18" s="176"/>
      <c r="AV18" s="176"/>
      <c r="AW18" s="194" t="str">
        <f t="shared" si="112"/>
        <v/>
      </c>
      <c r="AX18" s="181"/>
      <c r="AY18" s="176"/>
      <c r="AZ18" s="176"/>
      <c r="BA18" s="176"/>
      <c r="BB18" s="176"/>
      <c r="BC18" s="176"/>
      <c r="BD18" s="176"/>
      <c r="BE18" s="176"/>
      <c r="BF18" s="194" t="str">
        <f t="shared" si="6"/>
        <v/>
      </c>
      <c r="BG18" s="181"/>
      <c r="BH18" s="176"/>
      <c r="BI18" s="176"/>
      <c r="BJ18" s="176"/>
      <c r="BK18" s="176"/>
      <c r="BL18" s="176"/>
      <c r="BM18" s="176"/>
      <c r="BN18" s="176"/>
      <c r="BO18" s="194" t="str">
        <f t="shared" si="113"/>
        <v/>
      </c>
      <c r="BP18" s="181"/>
      <c r="BQ18" s="176"/>
      <c r="BR18" s="176"/>
      <c r="BS18" s="176"/>
      <c r="BT18" s="176"/>
      <c r="BU18" s="176"/>
      <c r="BV18" s="176"/>
      <c r="BW18" s="176"/>
      <c r="BX18" s="194" t="str">
        <f t="shared" si="114"/>
        <v/>
      </c>
      <c r="BY18" s="181"/>
      <c r="BZ18" s="176"/>
      <c r="CA18" s="176"/>
      <c r="CB18" s="176"/>
      <c r="CC18" s="176"/>
      <c r="CD18" s="176"/>
      <c r="CE18" s="176"/>
      <c r="CF18" s="176"/>
      <c r="CG18" s="194" t="str">
        <f t="shared" si="115"/>
        <v/>
      </c>
      <c r="CH18" s="181"/>
      <c r="CI18" s="176"/>
      <c r="CJ18" s="176"/>
      <c r="CK18" s="176"/>
      <c r="CL18" s="176"/>
      <c r="CM18" s="176"/>
      <c r="CN18" s="176"/>
      <c r="CO18" s="176"/>
      <c r="CP18" s="194" t="str">
        <f t="shared" si="7"/>
        <v/>
      </c>
      <c r="CQ18" s="181"/>
      <c r="CR18" s="176"/>
      <c r="CS18" s="176"/>
      <c r="CT18" s="176"/>
      <c r="CU18" s="176"/>
      <c r="CV18" s="176"/>
      <c r="CW18" s="176"/>
      <c r="CX18" s="176"/>
      <c r="CY18" s="194" t="str">
        <f t="shared" si="116"/>
        <v/>
      </c>
      <c r="CZ18" s="181"/>
      <c r="DA18" s="176"/>
      <c r="DB18" s="176"/>
      <c r="DC18" s="176"/>
      <c r="DD18" s="176"/>
      <c r="DE18" s="176"/>
      <c r="DF18" s="176"/>
      <c r="DG18" s="176"/>
      <c r="DH18" s="194" t="str">
        <f t="shared" si="8"/>
        <v/>
      </c>
      <c r="DI18" s="181"/>
      <c r="DJ18" s="176"/>
      <c r="DK18" s="176"/>
      <c r="DL18" s="176"/>
      <c r="DM18" s="176"/>
      <c r="DN18" s="176"/>
      <c r="DO18" s="176"/>
      <c r="DP18" s="176"/>
      <c r="DQ18" s="194" t="str">
        <f t="shared" si="117"/>
        <v/>
      </c>
      <c r="DR18" s="181"/>
      <c r="DS18" s="176"/>
      <c r="DT18" s="176"/>
      <c r="DU18" s="176"/>
      <c r="DV18" s="176"/>
      <c r="DW18" s="176"/>
      <c r="DX18" s="176"/>
      <c r="DY18" s="176"/>
      <c r="DZ18" s="194" t="str">
        <f t="shared" si="9"/>
        <v/>
      </c>
      <c r="EA18" s="181"/>
      <c r="EB18" s="176"/>
      <c r="EC18" s="176"/>
      <c r="ED18" s="176"/>
      <c r="EE18" s="176"/>
      <c r="EF18" s="176"/>
      <c r="EG18" s="176"/>
      <c r="EH18" s="176"/>
      <c r="EI18" s="194" t="str">
        <f t="shared" si="10"/>
        <v/>
      </c>
      <c r="EJ18" s="181"/>
      <c r="EK18" s="176"/>
      <c r="EL18" s="176"/>
      <c r="EM18" s="176"/>
      <c r="EN18" s="176"/>
      <c r="EO18" s="176"/>
      <c r="EP18" s="176"/>
      <c r="EQ18" s="176"/>
      <c r="ER18" s="194" t="str">
        <f t="shared" si="11"/>
        <v/>
      </c>
      <c r="ES18" s="181"/>
      <c r="ET18" s="176"/>
      <c r="EU18" s="176"/>
      <c r="EV18" s="176"/>
      <c r="EW18" s="176"/>
      <c r="EX18" s="176"/>
      <c r="EY18" s="176"/>
      <c r="EZ18" s="176"/>
      <c r="FA18" s="194" t="str">
        <f t="shared" si="12"/>
        <v/>
      </c>
      <c r="FB18" s="181"/>
      <c r="FC18" s="176"/>
      <c r="FD18" s="176"/>
      <c r="FE18" s="176"/>
      <c r="FF18" s="176"/>
      <c r="FG18" s="176"/>
      <c r="FH18" s="176"/>
      <c r="FI18" s="176"/>
      <c r="FJ18" s="194" t="str">
        <f t="shared" si="13"/>
        <v/>
      </c>
      <c r="FK18" s="181"/>
      <c r="FL18" s="176"/>
      <c r="FM18" s="176"/>
      <c r="FN18" s="176"/>
      <c r="FO18" s="176"/>
      <c r="FP18" s="176"/>
      <c r="FQ18" s="176"/>
      <c r="FR18" s="176"/>
      <c r="FS18" s="194" t="str">
        <f t="shared" si="14"/>
        <v/>
      </c>
      <c r="FT18" s="181"/>
      <c r="FU18" s="176"/>
      <c r="FV18" s="176"/>
      <c r="FW18" s="176"/>
      <c r="FX18" s="176"/>
      <c r="FY18" s="176"/>
      <c r="FZ18" s="176"/>
      <c r="GA18" s="176"/>
      <c r="GB18" s="194" t="str">
        <f t="shared" si="118"/>
        <v/>
      </c>
      <c r="GC18" s="194" t="str">
        <f t="shared" si="119"/>
        <v/>
      </c>
      <c r="GD18" s="194" t="str">
        <f>IF(GC18="","",IF(GC18&gt;=KONVERSI!$A$5,KONVERSI!$D$5,IF(GC18&gt;=KONVERSI!$A$6,KONVERSI!$D$6,IF(GC18&gt;=KONVERSI!$A$7,KONVERSI!$D$7,KONVERSI!$D$8))))</f>
        <v/>
      </c>
      <c r="GE18" s="194" t="str">
        <f t="shared" si="120"/>
        <v/>
      </c>
      <c r="GF18" s="222"/>
      <c r="GG18" s="223">
        <f t="shared" si="15"/>
        <v>0</v>
      </c>
      <c r="GH18" s="194">
        <f t="shared" si="16"/>
        <v>0</v>
      </c>
      <c r="GI18" s="194">
        <f t="shared" si="17"/>
        <v>0</v>
      </c>
      <c r="GJ18" s="194">
        <f t="shared" si="18"/>
        <v>0</v>
      </c>
      <c r="GK18" s="194">
        <f t="shared" si="19"/>
        <v>0</v>
      </c>
      <c r="GL18" s="194">
        <f t="shared" si="20"/>
        <v>0</v>
      </c>
      <c r="GM18" s="194">
        <f t="shared" si="21"/>
        <v>0</v>
      </c>
      <c r="GN18" s="194">
        <f t="shared" si="22"/>
        <v>0</v>
      </c>
      <c r="GO18" s="194">
        <f t="shared" si="23"/>
        <v>0</v>
      </c>
      <c r="GP18" s="194">
        <f t="shared" si="24"/>
        <v>0</v>
      </c>
      <c r="GQ18" s="194">
        <f t="shared" si="25"/>
        <v>0</v>
      </c>
      <c r="GR18" s="194">
        <f t="shared" si="26"/>
        <v>0</v>
      </c>
      <c r="GS18" s="194">
        <f t="shared" si="27"/>
        <v>0</v>
      </c>
      <c r="GT18" s="194">
        <f t="shared" si="28"/>
        <v>0</v>
      </c>
      <c r="GU18" s="194">
        <f t="shared" si="29"/>
        <v>0</v>
      </c>
      <c r="GV18" s="194">
        <f t="shared" si="30"/>
        <v>0</v>
      </c>
      <c r="GW18" s="194">
        <f t="shared" si="31"/>
        <v>0</v>
      </c>
      <c r="GX18" s="194">
        <f t="shared" si="32"/>
        <v>0</v>
      </c>
      <c r="GY18" s="194">
        <f t="shared" si="33"/>
        <v>0</v>
      </c>
      <c r="GZ18" s="194">
        <f t="shared" si="34"/>
        <v>0</v>
      </c>
      <c r="HA18" s="194">
        <f t="shared" si="35"/>
        <v>0</v>
      </c>
      <c r="HB18" s="194">
        <f t="shared" si="36"/>
        <v>0</v>
      </c>
      <c r="HC18" s="194">
        <f t="shared" si="37"/>
        <v>0</v>
      </c>
      <c r="HD18" s="194">
        <f t="shared" si="38"/>
        <v>0</v>
      </c>
      <c r="HE18" s="194">
        <f t="shared" si="39"/>
        <v>0</v>
      </c>
      <c r="HF18" s="194">
        <f t="shared" si="40"/>
        <v>0</v>
      </c>
      <c r="HG18" s="194">
        <f t="shared" si="41"/>
        <v>0</v>
      </c>
      <c r="HH18" s="194">
        <f t="shared" si="42"/>
        <v>0</v>
      </c>
      <c r="HI18" s="194">
        <f t="shared" si="43"/>
        <v>0</v>
      </c>
      <c r="HJ18" s="194">
        <f t="shared" si="44"/>
        <v>0</v>
      </c>
      <c r="HK18" s="194">
        <f t="shared" si="45"/>
        <v>0</v>
      </c>
      <c r="HL18" s="194">
        <f t="shared" si="46"/>
        <v>0</v>
      </c>
      <c r="HM18" s="194">
        <f t="shared" si="47"/>
        <v>0</v>
      </c>
      <c r="HN18" s="194">
        <f t="shared" si="48"/>
        <v>0</v>
      </c>
      <c r="HO18" s="194">
        <f t="shared" si="49"/>
        <v>0</v>
      </c>
      <c r="HP18" s="194">
        <f t="shared" si="50"/>
        <v>0</v>
      </c>
      <c r="HQ18" s="194">
        <f t="shared" si="51"/>
        <v>0</v>
      </c>
      <c r="HR18" s="194">
        <f t="shared" si="52"/>
        <v>0</v>
      </c>
      <c r="HS18" s="194">
        <f t="shared" si="53"/>
        <v>0</v>
      </c>
      <c r="HT18" s="194">
        <f t="shared" si="54"/>
        <v>0</v>
      </c>
      <c r="HU18" s="194">
        <f t="shared" si="55"/>
        <v>0</v>
      </c>
      <c r="HV18" s="194">
        <f t="shared" si="56"/>
        <v>0</v>
      </c>
      <c r="HW18" s="194">
        <f t="shared" si="57"/>
        <v>0</v>
      </c>
      <c r="HX18" s="194">
        <f t="shared" si="58"/>
        <v>0</v>
      </c>
      <c r="HY18" s="194">
        <f t="shared" si="59"/>
        <v>0</v>
      </c>
      <c r="HZ18" s="194">
        <f t="shared" si="60"/>
        <v>0</v>
      </c>
      <c r="IA18" s="194">
        <f t="shared" si="61"/>
        <v>0</v>
      </c>
      <c r="IB18" s="194">
        <f t="shared" si="62"/>
        <v>0</v>
      </c>
      <c r="IC18" s="194">
        <f t="shared" si="63"/>
        <v>0</v>
      </c>
      <c r="ID18" s="194">
        <f t="shared" si="64"/>
        <v>0</v>
      </c>
      <c r="IE18" s="194">
        <f t="shared" si="65"/>
        <v>0</v>
      </c>
      <c r="IF18" s="194">
        <f t="shared" si="66"/>
        <v>0</v>
      </c>
      <c r="IG18" s="194">
        <f t="shared" si="67"/>
        <v>0</v>
      </c>
      <c r="IH18" s="194">
        <f t="shared" si="68"/>
        <v>0</v>
      </c>
      <c r="II18" s="194">
        <f t="shared" si="69"/>
        <v>0</v>
      </c>
      <c r="IJ18" s="194">
        <f t="shared" si="70"/>
        <v>0</v>
      </c>
      <c r="IK18" s="194">
        <f t="shared" si="71"/>
        <v>0</v>
      </c>
      <c r="IL18" s="194">
        <f t="shared" si="72"/>
        <v>0</v>
      </c>
      <c r="IM18" s="194">
        <f t="shared" si="73"/>
        <v>0</v>
      </c>
      <c r="IN18" s="194">
        <f t="shared" si="74"/>
        <v>0</v>
      </c>
      <c r="IO18" s="194">
        <f t="shared" si="75"/>
        <v>0</v>
      </c>
      <c r="IP18" s="194">
        <f t="shared" si="76"/>
        <v>0</v>
      </c>
      <c r="IQ18" s="194">
        <f t="shared" si="77"/>
        <v>0</v>
      </c>
      <c r="IR18" s="194">
        <f t="shared" si="78"/>
        <v>0</v>
      </c>
      <c r="IS18" s="194">
        <f t="shared" si="79"/>
        <v>0</v>
      </c>
      <c r="IT18" s="194">
        <f t="shared" si="80"/>
        <v>0</v>
      </c>
      <c r="IU18" s="194">
        <f t="shared" si="81"/>
        <v>0</v>
      </c>
      <c r="IV18" s="194">
        <f t="shared" si="82"/>
        <v>0</v>
      </c>
      <c r="IW18" s="194">
        <f t="shared" si="83"/>
        <v>0</v>
      </c>
      <c r="IX18" s="194">
        <f t="shared" si="84"/>
        <v>0</v>
      </c>
      <c r="IY18" s="194">
        <f t="shared" si="85"/>
        <v>0</v>
      </c>
      <c r="IZ18" s="194">
        <f t="shared" si="86"/>
        <v>0</v>
      </c>
      <c r="JA18" s="194">
        <f t="shared" si="87"/>
        <v>0</v>
      </c>
      <c r="JB18" s="194">
        <f t="shared" si="88"/>
        <v>0</v>
      </c>
      <c r="JC18" s="194">
        <f t="shared" si="89"/>
        <v>0</v>
      </c>
      <c r="JD18" s="194">
        <f t="shared" si="90"/>
        <v>0</v>
      </c>
      <c r="JE18" s="194">
        <f t="shared" si="91"/>
        <v>0</v>
      </c>
      <c r="JF18" s="194">
        <f t="shared" si="92"/>
        <v>0</v>
      </c>
      <c r="JG18" s="194">
        <f t="shared" si="93"/>
        <v>0</v>
      </c>
      <c r="JH18" s="194">
        <f t="shared" si="94"/>
        <v>0</v>
      </c>
      <c r="JI18" s="228">
        <v>10</v>
      </c>
      <c r="JJ18" s="229" t="str">
        <f t="shared" si="121"/>
        <v/>
      </c>
      <c r="JK18" s="229" t="str">
        <f t="shared" si="122"/>
        <v/>
      </c>
      <c r="JL18" s="229" t="str">
        <f t="shared" si="123"/>
        <v/>
      </c>
      <c r="JM18" s="229" t="str">
        <f t="shared" si="124"/>
        <v/>
      </c>
      <c r="JN18" s="229" t="str">
        <f t="shared" si="125"/>
        <v/>
      </c>
      <c r="JO18" s="229" t="str">
        <f t="shared" si="126"/>
        <v/>
      </c>
      <c r="JP18" s="229" t="str">
        <f t="shared" si="127"/>
        <v/>
      </c>
      <c r="JQ18" s="229" t="str">
        <f t="shared" si="128"/>
        <v/>
      </c>
      <c r="JR18" s="229" t="str">
        <f t="shared" si="129"/>
        <v/>
      </c>
      <c r="JS18" s="229" t="str">
        <f t="shared" si="130"/>
        <v/>
      </c>
      <c r="JT18" s="229" t="str">
        <f t="shared" si="131"/>
        <v/>
      </c>
      <c r="JU18" s="229" t="str">
        <f t="shared" si="132"/>
        <v/>
      </c>
      <c r="JV18" s="229" t="str">
        <f t="shared" si="133"/>
        <v/>
      </c>
      <c r="JW18" s="229" t="str">
        <f t="shared" si="134"/>
        <v/>
      </c>
      <c r="JX18" s="229" t="str">
        <f t="shared" si="135"/>
        <v/>
      </c>
      <c r="JY18" s="229" t="str">
        <f t="shared" si="136"/>
        <v/>
      </c>
      <c r="JZ18" s="229" t="str">
        <f t="shared" si="137"/>
        <v/>
      </c>
      <c r="KA18" s="229" t="str">
        <f t="shared" si="138"/>
        <v/>
      </c>
      <c r="KB18" s="229" t="str">
        <f t="shared" si="139"/>
        <v/>
      </c>
      <c r="KC18" s="229" t="str">
        <f t="shared" si="140"/>
        <v/>
      </c>
      <c r="KD18" s="231" t="str">
        <f t="shared" si="141"/>
        <v/>
      </c>
      <c r="KE18" s="232" t="str">
        <f>IF(KD18="","",IF(KD18&gt;=KONVERSI!$A$5,KONVERSI!$E$12,IF(KD18&gt;=KONVERSI!$A$6,KONVERSI!$E$13,IF(KD18&gt;=KONVERSI!$A$7,KONVERSI!$E$14,KONVERSI!$E$15))))</f>
        <v/>
      </c>
      <c r="KF18" s="233" t="str">
        <f t="shared" si="142"/>
        <v/>
      </c>
      <c r="KG18" s="234" t="str">
        <f t="shared" si="143"/>
        <v/>
      </c>
      <c r="KH18" s="232" t="str">
        <f>IF(KG18="","",IF(KG18&gt;=KONVERSI!$A$5,KONVERSI!$E$12,IF(KG18&gt;=KONVERSI!$A$6,KONVERSI!$E$13,IF(KG18&gt;=KONVERSI!$A$7,KONVERSI!$E$14,KONVERSI!$E$15))))</f>
        <v/>
      </c>
      <c r="KI18" s="134" t="str">
        <f>IF(GC18="","",IF(GC18&lt;$GD$3," "&amp;KONVERSI!$C$19&amp;INDEX($JJ$8:$KC$8,MATCH(KG19,JJ19:KC19,0))&amp;".",IF(GC18=0,"",IF(KG18&lt;&gt;0,KF18&amp;KH18&amp;".",KF18&amp;"."))))</f>
        <v/>
      </c>
      <c r="KJ18" s="235" t="str">
        <f t="shared" si="144"/>
        <v/>
      </c>
      <c r="KK18" s="235" t="str">
        <f t="shared" si="145"/>
        <v/>
      </c>
      <c r="KL18" s="235" t="str">
        <f t="shared" si="146"/>
        <v/>
      </c>
      <c r="KM18" s="235" t="str">
        <f t="shared" si="147"/>
        <v/>
      </c>
      <c r="KN18" s="235" t="str">
        <f t="shared" si="148"/>
        <v/>
      </c>
      <c r="KO18" s="235" t="str">
        <f t="shared" si="149"/>
        <v/>
      </c>
      <c r="KP18" s="235" t="str">
        <f t="shared" si="150"/>
        <v/>
      </c>
      <c r="KQ18" s="235" t="str">
        <f t="shared" si="151"/>
        <v/>
      </c>
      <c r="KR18" s="235" t="str">
        <f t="shared" si="152"/>
        <v/>
      </c>
      <c r="KS18" s="235" t="str">
        <f t="shared" si="153"/>
        <v/>
      </c>
      <c r="KT18" s="235" t="str">
        <f t="shared" si="154"/>
        <v/>
      </c>
      <c r="KU18" s="235" t="str">
        <f t="shared" si="155"/>
        <v/>
      </c>
      <c r="KV18" s="235" t="str">
        <f t="shared" si="156"/>
        <v/>
      </c>
      <c r="KW18" s="235" t="str">
        <f t="shared" si="157"/>
        <v/>
      </c>
      <c r="KX18" s="235" t="str">
        <f t="shared" si="158"/>
        <v/>
      </c>
      <c r="KY18" s="235" t="str">
        <f t="shared" si="159"/>
        <v/>
      </c>
      <c r="KZ18" s="235" t="str">
        <f t="shared" si="160"/>
        <v/>
      </c>
      <c r="LA18" s="235" t="str">
        <f t="shared" si="161"/>
        <v/>
      </c>
      <c r="LB18" s="235" t="str">
        <f t="shared" si="162"/>
        <v/>
      </c>
      <c r="LC18" s="235" t="str">
        <f t="shared" si="163"/>
        <v/>
      </c>
      <c r="LD18" s="134" t="str">
        <f t="shared" si="164"/>
        <v/>
      </c>
      <c r="LE18" s="134" t="str">
        <f t="shared" si="96"/>
        <v/>
      </c>
      <c r="LF18" s="134" t="str">
        <f t="shared" si="96"/>
        <v/>
      </c>
      <c r="LG18" s="134" t="str">
        <f t="shared" si="96"/>
        <v/>
      </c>
      <c r="LH18" s="134" t="str">
        <f t="shared" si="96"/>
        <v/>
      </c>
      <c r="LI18" s="134" t="str">
        <f t="shared" si="96"/>
        <v/>
      </c>
      <c r="LJ18" s="134" t="str">
        <f t="shared" si="96"/>
        <v/>
      </c>
      <c r="LK18" s="134" t="str">
        <f t="shared" si="96"/>
        <v/>
      </c>
      <c r="LL18" s="134" t="str">
        <f t="shared" si="96"/>
        <v/>
      </c>
      <c r="LM18" s="134" t="str">
        <f t="shared" si="96"/>
        <v/>
      </c>
      <c r="LN18" s="134" t="str">
        <f t="shared" si="96"/>
        <v/>
      </c>
      <c r="LO18" s="134" t="str">
        <f t="shared" si="96"/>
        <v/>
      </c>
      <c r="LP18" s="134" t="str">
        <f t="shared" si="96"/>
        <v/>
      </c>
      <c r="LQ18" s="134" t="str">
        <f t="shared" si="96"/>
        <v/>
      </c>
      <c r="LR18" s="134" t="str">
        <f t="shared" si="96"/>
        <v/>
      </c>
      <c r="LS18" s="134" t="str">
        <f t="shared" si="96"/>
        <v/>
      </c>
      <c r="LT18" s="134" t="str">
        <f t="shared" si="96"/>
        <v/>
      </c>
      <c r="LU18" s="134" t="str">
        <f t="shared" si="96"/>
        <v/>
      </c>
      <c r="LV18" s="134" t="str">
        <f t="shared" si="96"/>
        <v/>
      </c>
      <c r="LW18" s="134" t="str">
        <f t="shared" si="96"/>
        <v/>
      </c>
      <c r="LX18" s="134" t="str">
        <f t="shared" si="165"/>
        <v/>
      </c>
      <c r="LY18" s="134" t="str">
        <f t="shared" si="166"/>
        <v>  </v>
      </c>
      <c r="LZ18" s="236">
        <f t="shared" si="97"/>
        <v>0</v>
      </c>
      <c r="MA18" s="235" t="str">
        <f t="shared" si="167"/>
        <v/>
      </c>
      <c r="MB18" s="235" t="str">
        <f t="shared" si="168"/>
        <v/>
      </c>
      <c r="MC18" s="235" t="str">
        <f t="shared" si="169"/>
        <v/>
      </c>
      <c r="MD18" s="235" t="str">
        <f t="shared" si="170"/>
        <v/>
      </c>
      <c r="ME18" s="235" t="str">
        <f t="shared" si="171"/>
        <v/>
      </c>
      <c r="MF18" s="235" t="str">
        <f t="shared" si="172"/>
        <v/>
      </c>
      <c r="MG18" s="235" t="str">
        <f t="shared" si="173"/>
        <v/>
      </c>
      <c r="MH18" s="235" t="str">
        <f t="shared" si="174"/>
        <v/>
      </c>
      <c r="MI18" s="235" t="str">
        <f t="shared" si="175"/>
        <v/>
      </c>
      <c r="MJ18" s="235" t="str">
        <f t="shared" si="176"/>
        <v/>
      </c>
      <c r="MK18" s="235" t="str">
        <f t="shared" si="177"/>
        <v/>
      </c>
      <c r="ML18" s="235" t="str">
        <f t="shared" si="178"/>
        <v/>
      </c>
      <c r="MM18" s="235" t="str">
        <f t="shared" si="179"/>
        <v/>
      </c>
      <c r="MN18" s="235" t="str">
        <f t="shared" si="180"/>
        <v/>
      </c>
      <c r="MO18" s="235" t="str">
        <f t="shared" si="181"/>
        <v/>
      </c>
      <c r="MP18" s="235" t="str">
        <f t="shared" si="182"/>
        <v/>
      </c>
      <c r="MQ18" s="235" t="str">
        <f t="shared" si="183"/>
        <v/>
      </c>
      <c r="MR18" s="235" t="str">
        <f t="shared" si="184"/>
        <v/>
      </c>
      <c r="MS18" s="235" t="str">
        <f t="shared" si="185"/>
        <v/>
      </c>
      <c r="MT18" s="235" t="str">
        <f t="shared" si="186"/>
        <v/>
      </c>
      <c r="MU18" s="134" t="str">
        <f t="shared" si="187"/>
        <v/>
      </c>
      <c r="MV18" s="134" t="str">
        <f t="shared" si="110"/>
        <v/>
      </c>
      <c r="MW18" s="134" t="str">
        <f t="shared" si="110"/>
        <v/>
      </c>
      <c r="MX18" s="134" t="str">
        <f t="shared" si="110"/>
        <v/>
      </c>
      <c r="MY18" s="134" t="str">
        <f t="shared" si="110"/>
        <v/>
      </c>
      <c r="MZ18" s="134" t="str">
        <f t="shared" si="110"/>
        <v/>
      </c>
      <c r="NA18" s="134" t="str">
        <f t="shared" si="110"/>
        <v/>
      </c>
      <c r="NB18" s="134" t="str">
        <f t="shared" si="110"/>
        <v/>
      </c>
      <c r="NC18" s="134" t="str">
        <f t="shared" si="110"/>
        <v/>
      </c>
      <c r="ND18" s="134" t="str">
        <f t="shared" si="110"/>
        <v/>
      </c>
      <c r="NE18" s="134" t="str">
        <f t="shared" si="110"/>
        <v/>
      </c>
      <c r="NF18" s="134" t="str">
        <f t="shared" si="110"/>
        <v/>
      </c>
      <c r="NG18" s="134" t="str">
        <f t="shared" si="110"/>
        <v/>
      </c>
      <c r="NH18" s="134" t="str">
        <f t="shared" si="110"/>
        <v/>
      </c>
      <c r="NI18" s="134" t="str">
        <f t="shared" si="110"/>
        <v/>
      </c>
      <c r="NJ18" s="134" t="str">
        <f t="shared" si="110"/>
        <v/>
      </c>
      <c r="NK18" s="134" t="str">
        <f t="shared" si="110"/>
        <v/>
      </c>
      <c r="NL18" s="134" t="str">
        <f t="shared" si="110"/>
        <v/>
      </c>
      <c r="NM18" s="134" t="str">
        <f t="shared" si="110"/>
        <v/>
      </c>
      <c r="NN18" s="134" t="str">
        <f t="shared" si="110"/>
        <v/>
      </c>
      <c r="NO18" s="134" t="str">
        <f>IF(KE18=KH18,"",IF(KG18="","",IF(KG18&gt;=KONVERSI!$A$14,'KI4'!KH18&amp;" dalam"&amp;MU18&amp;MV18&amp;MW18&amp;MX18&amp;MY18&amp;MZ18&amp;NA18&amp;NB18&amp;NC18&amp;ND18&amp;NE18&amp;NF18&amp;NG18&amp;NH18&amp;NI18&amp;NJ18&amp;NK18&amp;NL18&amp;NM18&amp;NN18,KONVERSI!$C$19&amp;" dalam"&amp;MU18&amp;MV18&amp;MW18&amp;MX18&amp;MY18&amp;MZ18&amp;NA18&amp;NB18&amp;NC18&amp;ND18&amp;NE18&amp;NF18&amp;NG18&amp;NH18&amp;NI18&amp;NJ18&amp;NK18&amp;NL18&amp;NM18&amp;NN18)))</f>
        <v/>
      </c>
      <c r="NP18" s="134" t="str">
        <f t="shared" si="188"/>
        <v/>
      </c>
      <c r="NQ18" s="236">
        <f t="shared" si="111"/>
        <v>0</v>
      </c>
      <c r="NR18" s="134" t="str">
        <f t="shared" si="189"/>
        <v/>
      </c>
    </row>
    <row r="19" ht="27.6" customHeight="1" spans="1:382">
      <c r="A19" s="136"/>
      <c r="B19" s="177">
        <v>11</v>
      </c>
      <c r="C19" s="178" t="str">
        <f>siswa!C15</f>
        <v>GEBRIEL ALFARO VIQINZO SIAHAAN</v>
      </c>
      <c r="D19" s="174">
        <f>siswa!D15</f>
        <v>2766</v>
      </c>
      <c r="E19" s="175"/>
      <c r="F19" s="176"/>
      <c r="G19" s="176"/>
      <c r="H19" s="176"/>
      <c r="I19" s="176"/>
      <c r="J19" s="176"/>
      <c r="K19" s="176"/>
      <c r="L19" s="176"/>
      <c r="M19" s="194" t="str">
        <f t="shared" si="2"/>
        <v/>
      </c>
      <c r="N19" s="176"/>
      <c r="O19" s="176"/>
      <c r="P19" s="175"/>
      <c r="Q19" s="176"/>
      <c r="R19" s="176"/>
      <c r="S19" s="176"/>
      <c r="T19" s="176"/>
      <c r="U19" s="176"/>
      <c r="V19" s="194" t="str">
        <f t="shared" si="3"/>
        <v/>
      </c>
      <c r="W19" s="176"/>
      <c r="X19" s="176"/>
      <c r="Y19" s="176"/>
      <c r="Z19" s="176"/>
      <c r="AA19" s="176"/>
      <c r="AB19" s="176"/>
      <c r="AC19" s="176"/>
      <c r="AD19" s="176"/>
      <c r="AE19" s="194" t="str">
        <f t="shared" si="4"/>
        <v/>
      </c>
      <c r="AF19" s="176"/>
      <c r="AG19" s="176"/>
      <c r="AH19" s="176"/>
      <c r="AI19" s="176"/>
      <c r="AJ19" s="176"/>
      <c r="AK19" s="176"/>
      <c r="AL19" s="176"/>
      <c r="AM19" s="176"/>
      <c r="AN19" s="194" t="str">
        <f t="shared" si="5"/>
        <v/>
      </c>
      <c r="AO19" s="181"/>
      <c r="AP19" s="176"/>
      <c r="AQ19" s="176"/>
      <c r="AR19" s="176"/>
      <c r="AS19" s="176"/>
      <c r="AT19" s="176"/>
      <c r="AU19" s="176"/>
      <c r="AV19" s="176"/>
      <c r="AW19" s="194" t="str">
        <f t="shared" si="112"/>
        <v/>
      </c>
      <c r="AX19" s="181"/>
      <c r="AY19" s="176"/>
      <c r="AZ19" s="176"/>
      <c r="BA19" s="176"/>
      <c r="BB19" s="176"/>
      <c r="BC19" s="176"/>
      <c r="BD19" s="176"/>
      <c r="BE19" s="176"/>
      <c r="BF19" s="194" t="str">
        <f t="shared" si="6"/>
        <v/>
      </c>
      <c r="BG19" s="181"/>
      <c r="BH19" s="176"/>
      <c r="BI19" s="176"/>
      <c r="BJ19" s="176"/>
      <c r="BK19" s="176"/>
      <c r="BL19" s="176"/>
      <c r="BM19" s="176"/>
      <c r="BN19" s="176"/>
      <c r="BO19" s="194" t="str">
        <f t="shared" si="113"/>
        <v/>
      </c>
      <c r="BP19" s="181"/>
      <c r="BQ19" s="176"/>
      <c r="BR19" s="176"/>
      <c r="BS19" s="176"/>
      <c r="BT19" s="176"/>
      <c r="BU19" s="176"/>
      <c r="BV19" s="176"/>
      <c r="BW19" s="176"/>
      <c r="BX19" s="194" t="str">
        <f t="shared" si="114"/>
        <v/>
      </c>
      <c r="BY19" s="181"/>
      <c r="BZ19" s="176"/>
      <c r="CA19" s="176"/>
      <c r="CB19" s="176"/>
      <c r="CC19" s="176"/>
      <c r="CD19" s="176"/>
      <c r="CE19" s="176"/>
      <c r="CF19" s="176"/>
      <c r="CG19" s="194" t="str">
        <f t="shared" si="115"/>
        <v/>
      </c>
      <c r="CH19" s="181"/>
      <c r="CI19" s="176"/>
      <c r="CJ19" s="176"/>
      <c r="CK19" s="176"/>
      <c r="CL19" s="176"/>
      <c r="CM19" s="176"/>
      <c r="CN19" s="176"/>
      <c r="CO19" s="176"/>
      <c r="CP19" s="194" t="str">
        <f t="shared" si="7"/>
        <v/>
      </c>
      <c r="CQ19" s="181"/>
      <c r="CR19" s="176"/>
      <c r="CS19" s="176"/>
      <c r="CT19" s="176"/>
      <c r="CU19" s="176"/>
      <c r="CV19" s="176"/>
      <c r="CW19" s="176"/>
      <c r="CX19" s="176"/>
      <c r="CY19" s="194" t="str">
        <f t="shared" si="116"/>
        <v/>
      </c>
      <c r="CZ19" s="181"/>
      <c r="DA19" s="176"/>
      <c r="DB19" s="176"/>
      <c r="DC19" s="176"/>
      <c r="DD19" s="176"/>
      <c r="DE19" s="176"/>
      <c r="DF19" s="176"/>
      <c r="DG19" s="176"/>
      <c r="DH19" s="194" t="str">
        <f t="shared" si="8"/>
        <v/>
      </c>
      <c r="DI19" s="181"/>
      <c r="DJ19" s="176"/>
      <c r="DK19" s="176"/>
      <c r="DL19" s="176"/>
      <c r="DM19" s="176"/>
      <c r="DN19" s="176"/>
      <c r="DO19" s="176"/>
      <c r="DP19" s="176"/>
      <c r="DQ19" s="194" t="str">
        <f t="shared" si="117"/>
        <v/>
      </c>
      <c r="DR19" s="181"/>
      <c r="DS19" s="176"/>
      <c r="DT19" s="176"/>
      <c r="DU19" s="176"/>
      <c r="DV19" s="176"/>
      <c r="DW19" s="176"/>
      <c r="DX19" s="176"/>
      <c r="DY19" s="176"/>
      <c r="DZ19" s="194" t="str">
        <f t="shared" si="9"/>
        <v/>
      </c>
      <c r="EA19" s="181"/>
      <c r="EB19" s="176"/>
      <c r="EC19" s="176"/>
      <c r="ED19" s="176"/>
      <c r="EE19" s="176"/>
      <c r="EF19" s="176"/>
      <c r="EG19" s="176"/>
      <c r="EH19" s="176"/>
      <c r="EI19" s="194" t="str">
        <f t="shared" si="10"/>
        <v/>
      </c>
      <c r="EJ19" s="181"/>
      <c r="EK19" s="176"/>
      <c r="EL19" s="176"/>
      <c r="EM19" s="176"/>
      <c r="EN19" s="176"/>
      <c r="EO19" s="176"/>
      <c r="EP19" s="176"/>
      <c r="EQ19" s="176"/>
      <c r="ER19" s="194" t="str">
        <f t="shared" si="11"/>
        <v/>
      </c>
      <c r="ES19" s="181"/>
      <c r="ET19" s="176"/>
      <c r="EU19" s="176"/>
      <c r="EV19" s="176"/>
      <c r="EW19" s="176"/>
      <c r="EX19" s="176"/>
      <c r="EY19" s="176"/>
      <c r="EZ19" s="176"/>
      <c r="FA19" s="194" t="str">
        <f t="shared" si="12"/>
        <v/>
      </c>
      <c r="FB19" s="181"/>
      <c r="FC19" s="176"/>
      <c r="FD19" s="176"/>
      <c r="FE19" s="176"/>
      <c r="FF19" s="176"/>
      <c r="FG19" s="176"/>
      <c r="FH19" s="176"/>
      <c r="FI19" s="176"/>
      <c r="FJ19" s="194" t="str">
        <f t="shared" si="13"/>
        <v/>
      </c>
      <c r="FK19" s="181"/>
      <c r="FL19" s="176"/>
      <c r="FM19" s="176"/>
      <c r="FN19" s="176"/>
      <c r="FO19" s="176"/>
      <c r="FP19" s="176"/>
      <c r="FQ19" s="176"/>
      <c r="FR19" s="176"/>
      <c r="FS19" s="194" t="str">
        <f t="shared" si="14"/>
        <v/>
      </c>
      <c r="FT19" s="181"/>
      <c r="FU19" s="176"/>
      <c r="FV19" s="176"/>
      <c r="FW19" s="176"/>
      <c r="FX19" s="176"/>
      <c r="FY19" s="176"/>
      <c r="FZ19" s="176"/>
      <c r="GA19" s="176"/>
      <c r="GB19" s="194" t="str">
        <f t="shared" si="118"/>
        <v/>
      </c>
      <c r="GC19" s="194" t="str">
        <f t="shared" si="119"/>
        <v/>
      </c>
      <c r="GD19" s="194" t="str">
        <f>IF(GC19="","",IF(GC19&gt;=KONVERSI!$A$5,KONVERSI!$D$5,IF(GC19&gt;=KONVERSI!$A$6,KONVERSI!$D$6,IF(GC19&gt;=KONVERSI!$A$7,KONVERSI!$D$7,KONVERSI!$D$8))))</f>
        <v/>
      </c>
      <c r="GE19" s="194" t="str">
        <f t="shared" si="120"/>
        <v/>
      </c>
      <c r="GF19" s="222"/>
      <c r="GG19" s="223">
        <f t="shared" si="15"/>
        <v>0</v>
      </c>
      <c r="GH19" s="194">
        <f t="shared" si="16"/>
        <v>0</v>
      </c>
      <c r="GI19" s="194">
        <f t="shared" si="17"/>
        <v>0</v>
      </c>
      <c r="GJ19" s="194">
        <f t="shared" si="18"/>
        <v>0</v>
      </c>
      <c r="GK19" s="194">
        <f t="shared" si="19"/>
        <v>0</v>
      </c>
      <c r="GL19" s="194">
        <f t="shared" si="20"/>
        <v>0</v>
      </c>
      <c r="GM19" s="194">
        <f t="shared" si="21"/>
        <v>0</v>
      </c>
      <c r="GN19" s="194">
        <f t="shared" si="22"/>
        <v>0</v>
      </c>
      <c r="GO19" s="194">
        <f t="shared" si="23"/>
        <v>0</v>
      </c>
      <c r="GP19" s="194">
        <f t="shared" si="24"/>
        <v>0</v>
      </c>
      <c r="GQ19" s="194">
        <f t="shared" si="25"/>
        <v>0</v>
      </c>
      <c r="GR19" s="194">
        <f t="shared" si="26"/>
        <v>0</v>
      </c>
      <c r="GS19" s="194">
        <f t="shared" si="27"/>
        <v>0</v>
      </c>
      <c r="GT19" s="194">
        <f t="shared" si="28"/>
        <v>0</v>
      </c>
      <c r="GU19" s="194">
        <f t="shared" si="29"/>
        <v>0</v>
      </c>
      <c r="GV19" s="194">
        <f t="shared" si="30"/>
        <v>0</v>
      </c>
      <c r="GW19" s="194">
        <f t="shared" si="31"/>
        <v>0</v>
      </c>
      <c r="GX19" s="194">
        <f t="shared" si="32"/>
        <v>0</v>
      </c>
      <c r="GY19" s="194">
        <f t="shared" si="33"/>
        <v>0</v>
      </c>
      <c r="GZ19" s="194">
        <f t="shared" si="34"/>
        <v>0</v>
      </c>
      <c r="HA19" s="194">
        <f t="shared" si="35"/>
        <v>0</v>
      </c>
      <c r="HB19" s="194">
        <f t="shared" si="36"/>
        <v>0</v>
      </c>
      <c r="HC19" s="194">
        <f t="shared" si="37"/>
        <v>0</v>
      </c>
      <c r="HD19" s="194">
        <f t="shared" si="38"/>
        <v>0</v>
      </c>
      <c r="HE19" s="194">
        <f t="shared" si="39"/>
        <v>0</v>
      </c>
      <c r="HF19" s="194">
        <f t="shared" si="40"/>
        <v>0</v>
      </c>
      <c r="HG19" s="194">
        <f t="shared" si="41"/>
        <v>0</v>
      </c>
      <c r="HH19" s="194">
        <f t="shared" si="42"/>
        <v>0</v>
      </c>
      <c r="HI19" s="194">
        <f t="shared" si="43"/>
        <v>0</v>
      </c>
      <c r="HJ19" s="194">
        <f t="shared" si="44"/>
        <v>0</v>
      </c>
      <c r="HK19" s="194">
        <f t="shared" si="45"/>
        <v>0</v>
      </c>
      <c r="HL19" s="194">
        <f t="shared" si="46"/>
        <v>0</v>
      </c>
      <c r="HM19" s="194">
        <f t="shared" si="47"/>
        <v>0</v>
      </c>
      <c r="HN19" s="194">
        <f t="shared" si="48"/>
        <v>0</v>
      </c>
      <c r="HO19" s="194">
        <f t="shared" si="49"/>
        <v>0</v>
      </c>
      <c r="HP19" s="194">
        <f t="shared" si="50"/>
        <v>0</v>
      </c>
      <c r="HQ19" s="194">
        <f t="shared" si="51"/>
        <v>0</v>
      </c>
      <c r="HR19" s="194">
        <f t="shared" si="52"/>
        <v>0</v>
      </c>
      <c r="HS19" s="194">
        <f t="shared" si="53"/>
        <v>0</v>
      </c>
      <c r="HT19" s="194">
        <f t="shared" si="54"/>
        <v>0</v>
      </c>
      <c r="HU19" s="194">
        <f t="shared" si="55"/>
        <v>0</v>
      </c>
      <c r="HV19" s="194">
        <f t="shared" si="56"/>
        <v>0</v>
      </c>
      <c r="HW19" s="194">
        <f t="shared" si="57"/>
        <v>0</v>
      </c>
      <c r="HX19" s="194">
        <f t="shared" si="58"/>
        <v>0</v>
      </c>
      <c r="HY19" s="194">
        <f t="shared" si="59"/>
        <v>0</v>
      </c>
      <c r="HZ19" s="194">
        <f t="shared" si="60"/>
        <v>0</v>
      </c>
      <c r="IA19" s="194">
        <f t="shared" si="61"/>
        <v>0</v>
      </c>
      <c r="IB19" s="194">
        <f t="shared" si="62"/>
        <v>0</v>
      </c>
      <c r="IC19" s="194">
        <f t="shared" si="63"/>
        <v>0</v>
      </c>
      <c r="ID19" s="194">
        <f t="shared" si="64"/>
        <v>0</v>
      </c>
      <c r="IE19" s="194">
        <f t="shared" si="65"/>
        <v>0</v>
      </c>
      <c r="IF19" s="194">
        <f t="shared" si="66"/>
        <v>0</v>
      </c>
      <c r="IG19" s="194">
        <f t="shared" si="67"/>
        <v>0</v>
      </c>
      <c r="IH19" s="194">
        <f t="shared" si="68"/>
        <v>0</v>
      </c>
      <c r="II19" s="194">
        <f t="shared" si="69"/>
        <v>0</v>
      </c>
      <c r="IJ19" s="194">
        <f t="shared" si="70"/>
        <v>0</v>
      </c>
      <c r="IK19" s="194">
        <f t="shared" si="71"/>
        <v>0</v>
      </c>
      <c r="IL19" s="194">
        <f t="shared" si="72"/>
        <v>0</v>
      </c>
      <c r="IM19" s="194">
        <f t="shared" si="73"/>
        <v>0</v>
      </c>
      <c r="IN19" s="194">
        <f t="shared" si="74"/>
        <v>0</v>
      </c>
      <c r="IO19" s="194">
        <f t="shared" si="75"/>
        <v>0</v>
      </c>
      <c r="IP19" s="194">
        <f t="shared" si="76"/>
        <v>0</v>
      </c>
      <c r="IQ19" s="194">
        <f t="shared" si="77"/>
        <v>0</v>
      </c>
      <c r="IR19" s="194">
        <f t="shared" si="78"/>
        <v>0</v>
      </c>
      <c r="IS19" s="194">
        <f t="shared" si="79"/>
        <v>0</v>
      </c>
      <c r="IT19" s="194">
        <f t="shared" si="80"/>
        <v>0</v>
      </c>
      <c r="IU19" s="194">
        <f t="shared" si="81"/>
        <v>0</v>
      </c>
      <c r="IV19" s="194">
        <f t="shared" si="82"/>
        <v>0</v>
      </c>
      <c r="IW19" s="194">
        <f t="shared" si="83"/>
        <v>0</v>
      </c>
      <c r="IX19" s="194">
        <f t="shared" si="84"/>
        <v>0</v>
      </c>
      <c r="IY19" s="194">
        <f t="shared" si="85"/>
        <v>0</v>
      </c>
      <c r="IZ19" s="194">
        <f t="shared" si="86"/>
        <v>0</v>
      </c>
      <c r="JA19" s="194">
        <f t="shared" si="87"/>
        <v>0</v>
      </c>
      <c r="JB19" s="194">
        <f t="shared" si="88"/>
        <v>0</v>
      </c>
      <c r="JC19" s="194">
        <f t="shared" si="89"/>
        <v>0</v>
      </c>
      <c r="JD19" s="194">
        <f t="shared" si="90"/>
        <v>0</v>
      </c>
      <c r="JE19" s="194">
        <f t="shared" si="91"/>
        <v>0</v>
      </c>
      <c r="JF19" s="194">
        <f t="shared" si="92"/>
        <v>0</v>
      </c>
      <c r="JG19" s="194">
        <f t="shared" si="93"/>
        <v>0</v>
      </c>
      <c r="JH19" s="194">
        <f t="shared" si="94"/>
        <v>0</v>
      </c>
      <c r="JI19" s="228">
        <v>11</v>
      </c>
      <c r="JJ19" s="229" t="str">
        <f t="shared" si="121"/>
        <v/>
      </c>
      <c r="JK19" s="229" t="str">
        <f t="shared" si="122"/>
        <v/>
      </c>
      <c r="JL19" s="229" t="str">
        <f t="shared" si="123"/>
        <v/>
      </c>
      <c r="JM19" s="229" t="str">
        <f t="shared" si="124"/>
        <v/>
      </c>
      <c r="JN19" s="229" t="str">
        <f t="shared" si="125"/>
        <v/>
      </c>
      <c r="JO19" s="229" t="str">
        <f t="shared" si="126"/>
        <v/>
      </c>
      <c r="JP19" s="229" t="str">
        <f t="shared" si="127"/>
        <v/>
      </c>
      <c r="JQ19" s="229" t="str">
        <f t="shared" si="128"/>
        <v/>
      </c>
      <c r="JR19" s="229" t="str">
        <f t="shared" si="129"/>
        <v/>
      </c>
      <c r="JS19" s="229" t="str">
        <f t="shared" si="130"/>
        <v/>
      </c>
      <c r="JT19" s="229" t="str">
        <f t="shared" si="131"/>
        <v/>
      </c>
      <c r="JU19" s="229" t="str">
        <f t="shared" si="132"/>
        <v/>
      </c>
      <c r="JV19" s="229" t="str">
        <f t="shared" si="133"/>
        <v/>
      </c>
      <c r="JW19" s="229" t="str">
        <f t="shared" si="134"/>
        <v/>
      </c>
      <c r="JX19" s="229" t="str">
        <f t="shared" si="135"/>
        <v/>
      </c>
      <c r="JY19" s="229" t="str">
        <f t="shared" si="136"/>
        <v/>
      </c>
      <c r="JZ19" s="229" t="str">
        <f t="shared" si="137"/>
        <v/>
      </c>
      <c r="KA19" s="229" t="str">
        <f t="shared" si="138"/>
        <v/>
      </c>
      <c r="KB19" s="229" t="str">
        <f t="shared" si="139"/>
        <v/>
      </c>
      <c r="KC19" s="229" t="str">
        <f t="shared" si="140"/>
        <v/>
      </c>
      <c r="KD19" s="231" t="str">
        <f t="shared" si="141"/>
        <v/>
      </c>
      <c r="KE19" s="232" t="str">
        <f>IF(KD19="","",IF(KD19&gt;=KONVERSI!$A$5,KONVERSI!$E$12,IF(KD19&gt;=KONVERSI!$A$6,KONVERSI!$E$13,IF(KD19&gt;=KONVERSI!$A$7,KONVERSI!$E$14,KONVERSI!$E$15))))</f>
        <v/>
      </c>
      <c r="KF19" s="233" t="str">
        <f t="shared" si="142"/>
        <v/>
      </c>
      <c r="KG19" s="234" t="str">
        <f t="shared" si="143"/>
        <v/>
      </c>
      <c r="KH19" s="232" t="str">
        <f>IF(KG19="","",IF(KG19&gt;=KONVERSI!$A$5,KONVERSI!$E$12,IF(KG19&gt;=KONVERSI!$A$6,KONVERSI!$E$13,IF(KG19&gt;=KONVERSI!$A$7,KONVERSI!$E$14,KONVERSI!$E$15))))</f>
        <v/>
      </c>
      <c r="KI19" s="134" t="str">
        <f>IF(GC19="","",IF(GC19&lt;$GD$3," "&amp;KONVERSI!$C$19&amp;INDEX($JJ$8:$KC$8,MATCH(KG20,JJ20:KC20,0))&amp;".",IF(GC19=0,"",IF(KG19&lt;&gt;0,KF19&amp;KH19&amp;".",KF19&amp;"."))))</f>
        <v/>
      </c>
      <c r="KJ19" s="235" t="str">
        <f t="shared" si="144"/>
        <v/>
      </c>
      <c r="KK19" s="235" t="str">
        <f t="shared" si="145"/>
        <v/>
      </c>
      <c r="KL19" s="235" t="str">
        <f t="shared" si="146"/>
        <v/>
      </c>
      <c r="KM19" s="235" t="str">
        <f t="shared" si="147"/>
        <v/>
      </c>
      <c r="KN19" s="235" t="str">
        <f t="shared" si="148"/>
        <v/>
      </c>
      <c r="KO19" s="235" t="str">
        <f t="shared" si="149"/>
        <v/>
      </c>
      <c r="KP19" s="235" t="str">
        <f t="shared" si="150"/>
        <v/>
      </c>
      <c r="KQ19" s="235" t="str">
        <f t="shared" si="151"/>
        <v/>
      </c>
      <c r="KR19" s="235" t="str">
        <f t="shared" si="152"/>
        <v/>
      </c>
      <c r="KS19" s="235" t="str">
        <f t="shared" si="153"/>
        <v/>
      </c>
      <c r="KT19" s="235" t="str">
        <f t="shared" si="154"/>
        <v/>
      </c>
      <c r="KU19" s="235" t="str">
        <f t="shared" si="155"/>
        <v/>
      </c>
      <c r="KV19" s="235" t="str">
        <f t="shared" si="156"/>
        <v/>
      </c>
      <c r="KW19" s="235" t="str">
        <f t="shared" si="157"/>
        <v/>
      </c>
      <c r="KX19" s="235" t="str">
        <f t="shared" si="158"/>
        <v/>
      </c>
      <c r="KY19" s="235" t="str">
        <f t="shared" si="159"/>
        <v/>
      </c>
      <c r="KZ19" s="235" t="str">
        <f t="shared" si="160"/>
        <v/>
      </c>
      <c r="LA19" s="235" t="str">
        <f t="shared" si="161"/>
        <v/>
      </c>
      <c r="LB19" s="235" t="str">
        <f t="shared" si="162"/>
        <v/>
      </c>
      <c r="LC19" s="235" t="str">
        <f t="shared" si="163"/>
        <v/>
      </c>
      <c r="LD19" s="134" t="str">
        <f t="shared" si="164"/>
        <v/>
      </c>
      <c r="LE19" s="134" t="str">
        <f t="shared" si="96"/>
        <v/>
      </c>
      <c r="LF19" s="134" t="str">
        <f t="shared" si="96"/>
        <v/>
      </c>
      <c r="LG19" s="134" t="str">
        <f t="shared" si="96"/>
        <v/>
      </c>
      <c r="LH19" s="134" t="str">
        <f t="shared" si="96"/>
        <v/>
      </c>
      <c r="LI19" s="134" t="str">
        <f t="shared" si="96"/>
        <v/>
      </c>
      <c r="LJ19" s="134" t="str">
        <f t="shared" si="96"/>
        <v/>
      </c>
      <c r="LK19" s="134" t="str">
        <f t="shared" si="96"/>
        <v/>
      </c>
      <c r="LL19" s="134" t="str">
        <f t="shared" si="96"/>
        <v/>
      </c>
      <c r="LM19" s="134" t="str">
        <f t="shared" si="96"/>
        <v/>
      </c>
      <c r="LN19" s="134" t="str">
        <f t="shared" si="96"/>
        <v/>
      </c>
      <c r="LO19" s="134" t="str">
        <f t="shared" si="96"/>
        <v/>
      </c>
      <c r="LP19" s="134" t="str">
        <f t="shared" si="96"/>
        <v/>
      </c>
      <c r="LQ19" s="134" t="str">
        <f t="shared" si="96"/>
        <v/>
      </c>
      <c r="LR19" s="134" t="str">
        <f t="shared" si="96"/>
        <v/>
      </c>
      <c r="LS19" s="134" t="str">
        <f t="shared" si="96"/>
        <v/>
      </c>
      <c r="LT19" s="134" t="str">
        <f t="shared" si="96"/>
        <v/>
      </c>
      <c r="LU19" s="134" t="str">
        <f t="shared" si="96"/>
        <v/>
      </c>
      <c r="LV19" s="134" t="str">
        <f t="shared" si="96"/>
        <v/>
      </c>
      <c r="LW19" s="134" t="str">
        <f t="shared" si="96"/>
        <v/>
      </c>
      <c r="LX19" s="134" t="str">
        <f t="shared" si="165"/>
        <v/>
      </c>
      <c r="LY19" s="134" t="str">
        <f t="shared" si="166"/>
        <v>  </v>
      </c>
      <c r="LZ19" s="236">
        <f t="shared" si="97"/>
        <v>0</v>
      </c>
      <c r="MA19" s="235" t="str">
        <f t="shared" si="167"/>
        <v/>
      </c>
      <c r="MB19" s="235" t="str">
        <f t="shared" si="168"/>
        <v/>
      </c>
      <c r="MC19" s="235" t="str">
        <f t="shared" si="169"/>
        <v/>
      </c>
      <c r="MD19" s="235" t="str">
        <f t="shared" si="170"/>
        <v/>
      </c>
      <c r="ME19" s="235" t="str">
        <f t="shared" si="171"/>
        <v/>
      </c>
      <c r="MF19" s="235" t="str">
        <f t="shared" si="172"/>
        <v/>
      </c>
      <c r="MG19" s="235" t="str">
        <f t="shared" si="173"/>
        <v/>
      </c>
      <c r="MH19" s="235" t="str">
        <f t="shared" si="174"/>
        <v/>
      </c>
      <c r="MI19" s="235" t="str">
        <f t="shared" si="175"/>
        <v/>
      </c>
      <c r="MJ19" s="235" t="str">
        <f t="shared" si="176"/>
        <v/>
      </c>
      <c r="MK19" s="235" t="str">
        <f t="shared" si="177"/>
        <v/>
      </c>
      <c r="ML19" s="235" t="str">
        <f t="shared" si="178"/>
        <v/>
      </c>
      <c r="MM19" s="235" t="str">
        <f t="shared" si="179"/>
        <v/>
      </c>
      <c r="MN19" s="235" t="str">
        <f t="shared" si="180"/>
        <v/>
      </c>
      <c r="MO19" s="235" t="str">
        <f t="shared" si="181"/>
        <v/>
      </c>
      <c r="MP19" s="235" t="str">
        <f t="shared" si="182"/>
        <v/>
      </c>
      <c r="MQ19" s="235" t="str">
        <f t="shared" si="183"/>
        <v/>
      </c>
      <c r="MR19" s="235" t="str">
        <f t="shared" si="184"/>
        <v/>
      </c>
      <c r="MS19" s="235" t="str">
        <f t="shared" si="185"/>
        <v/>
      </c>
      <c r="MT19" s="235" t="str">
        <f t="shared" si="186"/>
        <v/>
      </c>
      <c r="MU19" s="134" t="str">
        <f t="shared" si="187"/>
        <v/>
      </c>
      <c r="MV19" s="134" t="str">
        <f t="shared" si="110"/>
        <v/>
      </c>
      <c r="MW19" s="134" t="str">
        <f t="shared" si="110"/>
        <v/>
      </c>
      <c r="MX19" s="134" t="str">
        <f t="shared" si="110"/>
        <v/>
      </c>
      <c r="MY19" s="134" t="str">
        <f t="shared" si="110"/>
        <v/>
      </c>
      <c r="MZ19" s="134" t="str">
        <f t="shared" si="110"/>
        <v/>
      </c>
      <c r="NA19" s="134" t="str">
        <f t="shared" si="110"/>
        <v/>
      </c>
      <c r="NB19" s="134" t="str">
        <f t="shared" si="110"/>
        <v/>
      </c>
      <c r="NC19" s="134" t="str">
        <f t="shared" si="110"/>
        <v/>
      </c>
      <c r="ND19" s="134" t="str">
        <f t="shared" si="110"/>
        <v/>
      </c>
      <c r="NE19" s="134" t="str">
        <f t="shared" si="110"/>
        <v/>
      </c>
      <c r="NF19" s="134" t="str">
        <f t="shared" si="110"/>
        <v/>
      </c>
      <c r="NG19" s="134" t="str">
        <f t="shared" si="110"/>
        <v/>
      </c>
      <c r="NH19" s="134" t="str">
        <f t="shared" si="110"/>
        <v/>
      </c>
      <c r="NI19" s="134" t="str">
        <f t="shared" si="110"/>
        <v/>
      </c>
      <c r="NJ19" s="134" t="str">
        <f t="shared" si="110"/>
        <v/>
      </c>
      <c r="NK19" s="134" t="str">
        <f t="shared" si="110"/>
        <v/>
      </c>
      <c r="NL19" s="134" t="str">
        <f t="shared" si="110"/>
        <v/>
      </c>
      <c r="NM19" s="134" t="str">
        <f t="shared" si="110"/>
        <v/>
      </c>
      <c r="NN19" s="134" t="str">
        <f t="shared" si="110"/>
        <v/>
      </c>
      <c r="NO19" s="134" t="str">
        <f>IF(KE19=KH19,"",IF(KG19="","",IF(KG19&gt;=KONVERSI!$A$14,'KI4'!KH19&amp;" dalam"&amp;MU19&amp;MV19&amp;MW19&amp;MX19&amp;MY19&amp;MZ19&amp;NA19&amp;NB19&amp;NC19&amp;ND19&amp;NE19&amp;NF19&amp;NG19&amp;NH19&amp;NI19&amp;NJ19&amp;NK19&amp;NL19&amp;NM19&amp;NN19,KONVERSI!$C$19&amp;" dalam"&amp;MU19&amp;MV19&amp;MW19&amp;MX19&amp;MY19&amp;MZ19&amp;NA19&amp;NB19&amp;NC19&amp;ND19&amp;NE19&amp;NF19&amp;NG19&amp;NH19&amp;NI19&amp;NJ19&amp;NK19&amp;NL19&amp;NM19&amp;NN19)))</f>
        <v/>
      </c>
      <c r="NP19" s="134" t="str">
        <f t="shared" si="188"/>
        <v/>
      </c>
      <c r="NQ19" s="236">
        <f t="shared" si="111"/>
        <v>0</v>
      </c>
      <c r="NR19" s="134" t="str">
        <f t="shared" si="189"/>
        <v/>
      </c>
    </row>
    <row r="20" ht="27.6" customHeight="1" spans="1:382">
      <c r="A20" s="179"/>
      <c r="B20" s="177">
        <v>12</v>
      </c>
      <c r="C20" s="178" t="str">
        <f>siswa!C16</f>
        <v>IQBAL RAMADHAN</v>
      </c>
      <c r="D20" s="174">
        <f>siswa!D16</f>
        <v>2774</v>
      </c>
      <c r="E20" s="175"/>
      <c r="F20" s="176"/>
      <c r="G20" s="176"/>
      <c r="H20" s="176"/>
      <c r="I20" s="176"/>
      <c r="J20" s="176"/>
      <c r="K20" s="176"/>
      <c r="L20" s="176"/>
      <c r="M20" s="194" t="str">
        <f t="shared" si="2"/>
        <v/>
      </c>
      <c r="N20" s="176"/>
      <c r="O20" s="176"/>
      <c r="P20" s="175"/>
      <c r="Q20" s="176"/>
      <c r="R20" s="176"/>
      <c r="S20" s="176"/>
      <c r="T20" s="176"/>
      <c r="U20" s="176"/>
      <c r="V20" s="194" t="str">
        <f t="shared" si="3"/>
        <v/>
      </c>
      <c r="W20" s="176"/>
      <c r="X20" s="176"/>
      <c r="Y20" s="176"/>
      <c r="Z20" s="176"/>
      <c r="AA20" s="176"/>
      <c r="AB20" s="176"/>
      <c r="AC20" s="176"/>
      <c r="AD20" s="176"/>
      <c r="AE20" s="194" t="str">
        <f t="shared" si="4"/>
        <v/>
      </c>
      <c r="AF20" s="176"/>
      <c r="AG20" s="176"/>
      <c r="AH20" s="176"/>
      <c r="AI20" s="176"/>
      <c r="AJ20" s="176"/>
      <c r="AK20" s="176"/>
      <c r="AL20" s="176"/>
      <c r="AM20" s="176"/>
      <c r="AN20" s="194" t="str">
        <f t="shared" si="5"/>
        <v/>
      </c>
      <c r="AO20" s="181"/>
      <c r="AP20" s="176"/>
      <c r="AQ20" s="176"/>
      <c r="AR20" s="176"/>
      <c r="AS20" s="176"/>
      <c r="AT20" s="176"/>
      <c r="AU20" s="176"/>
      <c r="AV20" s="176"/>
      <c r="AW20" s="194" t="str">
        <f t="shared" si="112"/>
        <v/>
      </c>
      <c r="AX20" s="181"/>
      <c r="AY20" s="176"/>
      <c r="AZ20" s="176"/>
      <c r="BA20" s="176"/>
      <c r="BB20" s="176"/>
      <c r="BC20" s="176"/>
      <c r="BD20" s="176"/>
      <c r="BE20" s="176"/>
      <c r="BF20" s="194" t="str">
        <f t="shared" si="6"/>
        <v/>
      </c>
      <c r="BG20" s="181"/>
      <c r="BH20" s="176"/>
      <c r="BI20" s="176"/>
      <c r="BJ20" s="176"/>
      <c r="BK20" s="176"/>
      <c r="BL20" s="176"/>
      <c r="BM20" s="176"/>
      <c r="BN20" s="176"/>
      <c r="BO20" s="194" t="str">
        <f t="shared" si="113"/>
        <v/>
      </c>
      <c r="BP20" s="181"/>
      <c r="BQ20" s="176"/>
      <c r="BR20" s="176"/>
      <c r="BS20" s="176"/>
      <c r="BT20" s="176"/>
      <c r="BU20" s="176"/>
      <c r="BV20" s="176"/>
      <c r="BW20" s="176"/>
      <c r="BX20" s="194" t="str">
        <f t="shared" si="114"/>
        <v/>
      </c>
      <c r="BY20" s="181"/>
      <c r="BZ20" s="176"/>
      <c r="CA20" s="176"/>
      <c r="CB20" s="176"/>
      <c r="CC20" s="176"/>
      <c r="CD20" s="176"/>
      <c r="CE20" s="176"/>
      <c r="CF20" s="176"/>
      <c r="CG20" s="194" t="str">
        <f t="shared" si="115"/>
        <v/>
      </c>
      <c r="CH20" s="181"/>
      <c r="CI20" s="176"/>
      <c r="CJ20" s="176"/>
      <c r="CK20" s="176"/>
      <c r="CL20" s="176"/>
      <c r="CM20" s="176"/>
      <c r="CN20" s="176"/>
      <c r="CO20" s="176"/>
      <c r="CP20" s="194" t="str">
        <f t="shared" si="7"/>
        <v/>
      </c>
      <c r="CQ20" s="181"/>
      <c r="CR20" s="176"/>
      <c r="CS20" s="176"/>
      <c r="CT20" s="176"/>
      <c r="CU20" s="176"/>
      <c r="CV20" s="176"/>
      <c r="CW20" s="176"/>
      <c r="CX20" s="176"/>
      <c r="CY20" s="194" t="str">
        <f t="shared" si="116"/>
        <v/>
      </c>
      <c r="CZ20" s="181"/>
      <c r="DA20" s="176"/>
      <c r="DB20" s="176"/>
      <c r="DC20" s="176"/>
      <c r="DD20" s="176"/>
      <c r="DE20" s="176"/>
      <c r="DF20" s="176"/>
      <c r="DG20" s="176"/>
      <c r="DH20" s="194" t="str">
        <f t="shared" si="8"/>
        <v/>
      </c>
      <c r="DI20" s="181"/>
      <c r="DJ20" s="176"/>
      <c r="DK20" s="176"/>
      <c r="DL20" s="176"/>
      <c r="DM20" s="176"/>
      <c r="DN20" s="176"/>
      <c r="DO20" s="176"/>
      <c r="DP20" s="176"/>
      <c r="DQ20" s="194" t="str">
        <f t="shared" si="117"/>
        <v/>
      </c>
      <c r="DR20" s="181"/>
      <c r="DS20" s="176"/>
      <c r="DT20" s="176"/>
      <c r="DU20" s="176"/>
      <c r="DV20" s="176"/>
      <c r="DW20" s="176"/>
      <c r="DX20" s="176"/>
      <c r="DY20" s="176"/>
      <c r="DZ20" s="194" t="str">
        <f t="shared" si="9"/>
        <v/>
      </c>
      <c r="EA20" s="181"/>
      <c r="EB20" s="176"/>
      <c r="EC20" s="176"/>
      <c r="ED20" s="176"/>
      <c r="EE20" s="176"/>
      <c r="EF20" s="176"/>
      <c r="EG20" s="176"/>
      <c r="EH20" s="176"/>
      <c r="EI20" s="194" t="str">
        <f t="shared" si="10"/>
        <v/>
      </c>
      <c r="EJ20" s="181"/>
      <c r="EK20" s="176"/>
      <c r="EL20" s="176"/>
      <c r="EM20" s="176"/>
      <c r="EN20" s="176"/>
      <c r="EO20" s="176"/>
      <c r="EP20" s="176"/>
      <c r="EQ20" s="176"/>
      <c r="ER20" s="194" t="str">
        <f t="shared" si="11"/>
        <v/>
      </c>
      <c r="ES20" s="181"/>
      <c r="ET20" s="176"/>
      <c r="EU20" s="176"/>
      <c r="EV20" s="176"/>
      <c r="EW20" s="176"/>
      <c r="EX20" s="176"/>
      <c r="EY20" s="176"/>
      <c r="EZ20" s="176"/>
      <c r="FA20" s="194" t="str">
        <f t="shared" si="12"/>
        <v/>
      </c>
      <c r="FB20" s="181"/>
      <c r="FC20" s="176"/>
      <c r="FD20" s="176"/>
      <c r="FE20" s="176"/>
      <c r="FF20" s="176"/>
      <c r="FG20" s="176"/>
      <c r="FH20" s="176"/>
      <c r="FI20" s="176"/>
      <c r="FJ20" s="194" t="str">
        <f t="shared" si="13"/>
        <v/>
      </c>
      <c r="FK20" s="181"/>
      <c r="FL20" s="176"/>
      <c r="FM20" s="176"/>
      <c r="FN20" s="176"/>
      <c r="FO20" s="176"/>
      <c r="FP20" s="176"/>
      <c r="FQ20" s="176"/>
      <c r="FR20" s="176"/>
      <c r="FS20" s="194" t="str">
        <f t="shared" si="14"/>
        <v/>
      </c>
      <c r="FT20" s="181"/>
      <c r="FU20" s="176"/>
      <c r="FV20" s="176"/>
      <c r="FW20" s="176"/>
      <c r="FX20" s="176"/>
      <c r="FY20" s="176"/>
      <c r="FZ20" s="176"/>
      <c r="GA20" s="176"/>
      <c r="GB20" s="194" t="str">
        <f t="shared" si="118"/>
        <v/>
      </c>
      <c r="GC20" s="194" t="str">
        <f t="shared" si="119"/>
        <v/>
      </c>
      <c r="GD20" s="194" t="str">
        <f>IF(GC20="","",IF(GC20&gt;=KONVERSI!$A$5,KONVERSI!$D$5,IF(GC20&gt;=KONVERSI!$A$6,KONVERSI!$D$6,IF(GC20&gt;=KONVERSI!$A$7,KONVERSI!$D$7,KONVERSI!$D$8))))</f>
        <v/>
      </c>
      <c r="GE20" s="194" t="str">
        <f t="shared" si="120"/>
        <v/>
      </c>
      <c r="GF20" s="222"/>
      <c r="GG20" s="223">
        <f t="shared" si="15"/>
        <v>0</v>
      </c>
      <c r="GH20" s="194">
        <f t="shared" si="16"/>
        <v>0</v>
      </c>
      <c r="GI20" s="194">
        <f t="shared" si="17"/>
        <v>0</v>
      </c>
      <c r="GJ20" s="194">
        <f t="shared" si="18"/>
        <v>0</v>
      </c>
      <c r="GK20" s="194">
        <f t="shared" si="19"/>
        <v>0</v>
      </c>
      <c r="GL20" s="194">
        <f t="shared" si="20"/>
        <v>0</v>
      </c>
      <c r="GM20" s="194">
        <f t="shared" si="21"/>
        <v>0</v>
      </c>
      <c r="GN20" s="194">
        <f t="shared" si="22"/>
        <v>0</v>
      </c>
      <c r="GO20" s="194">
        <f t="shared" si="23"/>
        <v>0</v>
      </c>
      <c r="GP20" s="194">
        <f t="shared" si="24"/>
        <v>0</v>
      </c>
      <c r="GQ20" s="194">
        <f t="shared" si="25"/>
        <v>0</v>
      </c>
      <c r="GR20" s="194">
        <f t="shared" si="26"/>
        <v>0</v>
      </c>
      <c r="GS20" s="194">
        <f t="shared" si="27"/>
        <v>0</v>
      </c>
      <c r="GT20" s="194">
        <f t="shared" si="28"/>
        <v>0</v>
      </c>
      <c r="GU20" s="194">
        <f t="shared" si="29"/>
        <v>0</v>
      </c>
      <c r="GV20" s="194">
        <f t="shared" si="30"/>
        <v>0</v>
      </c>
      <c r="GW20" s="194">
        <f t="shared" si="31"/>
        <v>0</v>
      </c>
      <c r="GX20" s="194">
        <f t="shared" si="32"/>
        <v>0</v>
      </c>
      <c r="GY20" s="194">
        <f t="shared" si="33"/>
        <v>0</v>
      </c>
      <c r="GZ20" s="194">
        <f t="shared" si="34"/>
        <v>0</v>
      </c>
      <c r="HA20" s="194">
        <f t="shared" si="35"/>
        <v>0</v>
      </c>
      <c r="HB20" s="194">
        <f t="shared" si="36"/>
        <v>0</v>
      </c>
      <c r="HC20" s="194">
        <f t="shared" si="37"/>
        <v>0</v>
      </c>
      <c r="HD20" s="194">
        <f t="shared" si="38"/>
        <v>0</v>
      </c>
      <c r="HE20" s="194">
        <f t="shared" si="39"/>
        <v>0</v>
      </c>
      <c r="HF20" s="194">
        <f t="shared" si="40"/>
        <v>0</v>
      </c>
      <c r="HG20" s="194">
        <f t="shared" si="41"/>
        <v>0</v>
      </c>
      <c r="HH20" s="194">
        <f t="shared" si="42"/>
        <v>0</v>
      </c>
      <c r="HI20" s="194">
        <f t="shared" si="43"/>
        <v>0</v>
      </c>
      <c r="HJ20" s="194">
        <f t="shared" si="44"/>
        <v>0</v>
      </c>
      <c r="HK20" s="194">
        <f t="shared" si="45"/>
        <v>0</v>
      </c>
      <c r="HL20" s="194">
        <f t="shared" si="46"/>
        <v>0</v>
      </c>
      <c r="HM20" s="194">
        <f t="shared" si="47"/>
        <v>0</v>
      </c>
      <c r="HN20" s="194">
        <f t="shared" si="48"/>
        <v>0</v>
      </c>
      <c r="HO20" s="194">
        <f t="shared" si="49"/>
        <v>0</v>
      </c>
      <c r="HP20" s="194">
        <f t="shared" si="50"/>
        <v>0</v>
      </c>
      <c r="HQ20" s="194">
        <f t="shared" si="51"/>
        <v>0</v>
      </c>
      <c r="HR20" s="194">
        <f t="shared" si="52"/>
        <v>0</v>
      </c>
      <c r="HS20" s="194">
        <f t="shared" si="53"/>
        <v>0</v>
      </c>
      <c r="HT20" s="194">
        <f t="shared" si="54"/>
        <v>0</v>
      </c>
      <c r="HU20" s="194">
        <f t="shared" si="55"/>
        <v>0</v>
      </c>
      <c r="HV20" s="194">
        <f t="shared" si="56"/>
        <v>0</v>
      </c>
      <c r="HW20" s="194">
        <f t="shared" si="57"/>
        <v>0</v>
      </c>
      <c r="HX20" s="194">
        <f t="shared" si="58"/>
        <v>0</v>
      </c>
      <c r="HY20" s="194">
        <f t="shared" si="59"/>
        <v>0</v>
      </c>
      <c r="HZ20" s="194">
        <f t="shared" si="60"/>
        <v>0</v>
      </c>
      <c r="IA20" s="194">
        <f t="shared" si="61"/>
        <v>0</v>
      </c>
      <c r="IB20" s="194">
        <f t="shared" si="62"/>
        <v>0</v>
      </c>
      <c r="IC20" s="194">
        <f t="shared" si="63"/>
        <v>0</v>
      </c>
      <c r="ID20" s="194">
        <f t="shared" si="64"/>
        <v>0</v>
      </c>
      <c r="IE20" s="194">
        <f t="shared" si="65"/>
        <v>0</v>
      </c>
      <c r="IF20" s="194">
        <f t="shared" si="66"/>
        <v>0</v>
      </c>
      <c r="IG20" s="194">
        <f t="shared" si="67"/>
        <v>0</v>
      </c>
      <c r="IH20" s="194">
        <f t="shared" si="68"/>
        <v>0</v>
      </c>
      <c r="II20" s="194">
        <f t="shared" si="69"/>
        <v>0</v>
      </c>
      <c r="IJ20" s="194">
        <f t="shared" si="70"/>
        <v>0</v>
      </c>
      <c r="IK20" s="194">
        <f t="shared" si="71"/>
        <v>0</v>
      </c>
      <c r="IL20" s="194">
        <f t="shared" si="72"/>
        <v>0</v>
      </c>
      <c r="IM20" s="194">
        <f t="shared" si="73"/>
        <v>0</v>
      </c>
      <c r="IN20" s="194">
        <f t="shared" si="74"/>
        <v>0</v>
      </c>
      <c r="IO20" s="194">
        <f t="shared" si="75"/>
        <v>0</v>
      </c>
      <c r="IP20" s="194">
        <f t="shared" si="76"/>
        <v>0</v>
      </c>
      <c r="IQ20" s="194">
        <f t="shared" si="77"/>
        <v>0</v>
      </c>
      <c r="IR20" s="194">
        <f t="shared" si="78"/>
        <v>0</v>
      </c>
      <c r="IS20" s="194">
        <f t="shared" si="79"/>
        <v>0</v>
      </c>
      <c r="IT20" s="194">
        <f t="shared" si="80"/>
        <v>0</v>
      </c>
      <c r="IU20" s="194">
        <f t="shared" si="81"/>
        <v>0</v>
      </c>
      <c r="IV20" s="194">
        <f t="shared" si="82"/>
        <v>0</v>
      </c>
      <c r="IW20" s="194">
        <f t="shared" si="83"/>
        <v>0</v>
      </c>
      <c r="IX20" s="194">
        <f t="shared" si="84"/>
        <v>0</v>
      </c>
      <c r="IY20" s="194">
        <f t="shared" si="85"/>
        <v>0</v>
      </c>
      <c r="IZ20" s="194">
        <f t="shared" si="86"/>
        <v>0</v>
      </c>
      <c r="JA20" s="194">
        <f t="shared" si="87"/>
        <v>0</v>
      </c>
      <c r="JB20" s="194">
        <f t="shared" si="88"/>
        <v>0</v>
      </c>
      <c r="JC20" s="194">
        <f t="shared" si="89"/>
        <v>0</v>
      </c>
      <c r="JD20" s="194">
        <f t="shared" si="90"/>
        <v>0</v>
      </c>
      <c r="JE20" s="194">
        <f t="shared" si="91"/>
        <v>0</v>
      </c>
      <c r="JF20" s="194">
        <f t="shared" si="92"/>
        <v>0</v>
      </c>
      <c r="JG20" s="194">
        <f t="shared" si="93"/>
        <v>0</v>
      </c>
      <c r="JH20" s="194">
        <f t="shared" si="94"/>
        <v>0</v>
      </c>
      <c r="JI20" s="228">
        <v>12</v>
      </c>
      <c r="JJ20" s="229" t="str">
        <f t="shared" si="121"/>
        <v/>
      </c>
      <c r="JK20" s="229" t="str">
        <f t="shared" si="122"/>
        <v/>
      </c>
      <c r="JL20" s="229" t="str">
        <f t="shared" si="123"/>
        <v/>
      </c>
      <c r="JM20" s="229" t="str">
        <f t="shared" si="124"/>
        <v/>
      </c>
      <c r="JN20" s="229" t="str">
        <f t="shared" si="125"/>
        <v/>
      </c>
      <c r="JO20" s="229" t="str">
        <f t="shared" si="126"/>
        <v/>
      </c>
      <c r="JP20" s="229" t="str">
        <f t="shared" si="127"/>
        <v/>
      </c>
      <c r="JQ20" s="229" t="str">
        <f t="shared" si="128"/>
        <v/>
      </c>
      <c r="JR20" s="229" t="str">
        <f t="shared" si="129"/>
        <v/>
      </c>
      <c r="JS20" s="229" t="str">
        <f t="shared" si="130"/>
        <v/>
      </c>
      <c r="JT20" s="229" t="str">
        <f t="shared" si="131"/>
        <v/>
      </c>
      <c r="JU20" s="229" t="str">
        <f t="shared" si="132"/>
        <v/>
      </c>
      <c r="JV20" s="229" t="str">
        <f t="shared" si="133"/>
        <v/>
      </c>
      <c r="JW20" s="229" t="str">
        <f t="shared" si="134"/>
        <v/>
      </c>
      <c r="JX20" s="229" t="str">
        <f t="shared" si="135"/>
        <v/>
      </c>
      <c r="JY20" s="229" t="str">
        <f t="shared" si="136"/>
        <v/>
      </c>
      <c r="JZ20" s="229" t="str">
        <f t="shared" si="137"/>
        <v/>
      </c>
      <c r="KA20" s="229" t="str">
        <f t="shared" si="138"/>
        <v/>
      </c>
      <c r="KB20" s="229" t="str">
        <f t="shared" si="139"/>
        <v/>
      </c>
      <c r="KC20" s="229" t="str">
        <f t="shared" si="140"/>
        <v/>
      </c>
      <c r="KD20" s="231" t="str">
        <f t="shared" si="141"/>
        <v/>
      </c>
      <c r="KE20" s="232" t="str">
        <f>IF(KD20="","",IF(KD20&gt;=KONVERSI!$A$5,KONVERSI!$E$12,IF(KD20&gt;=KONVERSI!$A$6,KONVERSI!$E$13,IF(KD20&gt;=KONVERSI!$A$7,KONVERSI!$E$14,KONVERSI!$E$15))))</f>
        <v/>
      </c>
      <c r="KF20" s="233" t="str">
        <f t="shared" si="142"/>
        <v/>
      </c>
      <c r="KG20" s="234" t="str">
        <f t="shared" si="143"/>
        <v/>
      </c>
      <c r="KH20" s="232" t="str">
        <f>IF(KG20="","",IF(KG20&gt;=KONVERSI!$A$5,KONVERSI!$E$12,IF(KG20&gt;=KONVERSI!$A$6,KONVERSI!$E$13,IF(KG20&gt;=KONVERSI!$A$7,KONVERSI!$E$14,KONVERSI!$E$15))))</f>
        <v/>
      </c>
      <c r="KI20" s="134" t="str">
        <f>IF(GC20="","",IF(GC20&lt;$GD$3," "&amp;KONVERSI!$C$19&amp;INDEX($JJ$8:$KC$8,MATCH(KG21,JJ21:KC21,0))&amp;".",IF(GC20=0,"",IF(KG20&lt;&gt;0,KF20&amp;KH20&amp;".",KF20&amp;"."))))</f>
        <v/>
      </c>
      <c r="KJ20" s="235" t="str">
        <f t="shared" si="144"/>
        <v/>
      </c>
      <c r="KK20" s="235" t="str">
        <f t="shared" si="145"/>
        <v/>
      </c>
      <c r="KL20" s="235" t="str">
        <f t="shared" si="146"/>
        <v/>
      </c>
      <c r="KM20" s="235" t="str">
        <f t="shared" si="147"/>
        <v/>
      </c>
      <c r="KN20" s="235" t="str">
        <f t="shared" si="148"/>
        <v/>
      </c>
      <c r="KO20" s="235" t="str">
        <f t="shared" si="149"/>
        <v/>
      </c>
      <c r="KP20" s="235" t="str">
        <f t="shared" si="150"/>
        <v/>
      </c>
      <c r="KQ20" s="235" t="str">
        <f t="shared" si="151"/>
        <v/>
      </c>
      <c r="KR20" s="235" t="str">
        <f t="shared" si="152"/>
        <v/>
      </c>
      <c r="KS20" s="235" t="str">
        <f t="shared" si="153"/>
        <v/>
      </c>
      <c r="KT20" s="235" t="str">
        <f t="shared" si="154"/>
        <v/>
      </c>
      <c r="KU20" s="235" t="str">
        <f t="shared" si="155"/>
        <v/>
      </c>
      <c r="KV20" s="235" t="str">
        <f t="shared" si="156"/>
        <v/>
      </c>
      <c r="KW20" s="235" t="str">
        <f t="shared" si="157"/>
        <v/>
      </c>
      <c r="KX20" s="235" t="str">
        <f t="shared" si="158"/>
        <v/>
      </c>
      <c r="KY20" s="235" t="str">
        <f t="shared" si="159"/>
        <v/>
      </c>
      <c r="KZ20" s="235" t="str">
        <f t="shared" si="160"/>
        <v/>
      </c>
      <c r="LA20" s="235" t="str">
        <f t="shared" si="161"/>
        <v/>
      </c>
      <c r="LB20" s="235" t="str">
        <f t="shared" si="162"/>
        <v/>
      </c>
      <c r="LC20" s="235" t="str">
        <f t="shared" si="163"/>
        <v/>
      </c>
      <c r="LD20" s="134" t="str">
        <f t="shared" si="164"/>
        <v/>
      </c>
      <c r="LE20" s="134" t="str">
        <f t="shared" si="96"/>
        <v/>
      </c>
      <c r="LF20" s="134" t="str">
        <f t="shared" si="96"/>
        <v/>
      </c>
      <c r="LG20" s="134" t="str">
        <f t="shared" si="96"/>
        <v/>
      </c>
      <c r="LH20" s="134" t="str">
        <f t="shared" si="96"/>
        <v/>
      </c>
      <c r="LI20" s="134" t="str">
        <f t="shared" si="96"/>
        <v/>
      </c>
      <c r="LJ20" s="134" t="str">
        <f t="shared" si="96"/>
        <v/>
      </c>
      <c r="LK20" s="134" t="str">
        <f t="shared" si="96"/>
        <v/>
      </c>
      <c r="LL20" s="134" t="str">
        <f t="shared" si="96"/>
        <v/>
      </c>
      <c r="LM20" s="134" t="str">
        <f t="shared" si="96"/>
        <v/>
      </c>
      <c r="LN20" s="134" t="str">
        <f t="shared" si="96"/>
        <v/>
      </c>
      <c r="LO20" s="134" t="str">
        <f t="shared" si="96"/>
        <v/>
      </c>
      <c r="LP20" s="134" t="str">
        <f t="shared" si="96"/>
        <v/>
      </c>
      <c r="LQ20" s="134" t="str">
        <f t="shared" si="96"/>
        <v/>
      </c>
      <c r="LR20" s="134" t="str">
        <f t="shared" si="96"/>
        <v/>
      </c>
      <c r="LS20" s="134" t="str">
        <f t="shared" si="96"/>
        <v/>
      </c>
      <c r="LT20" s="134" t="str">
        <f t="shared" si="96"/>
        <v/>
      </c>
      <c r="LU20" s="134" t="str">
        <f t="shared" si="96"/>
        <v/>
      </c>
      <c r="LV20" s="134" t="str">
        <f t="shared" si="96"/>
        <v/>
      </c>
      <c r="LW20" s="134" t="str">
        <f t="shared" si="96"/>
        <v/>
      </c>
      <c r="LX20" s="134" t="str">
        <f t="shared" si="165"/>
        <v/>
      </c>
      <c r="LY20" s="134" t="str">
        <f t="shared" si="166"/>
        <v>  </v>
      </c>
      <c r="LZ20" s="236">
        <f t="shared" si="97"/>
        <v>0</v>
      </c>
      <c r="MA20" s="235" t="str">
        <f t="shared" si="167"/>
        <v/>
      </c>
      <c r="MB20" s="235" t="str">
        <f t="shared" si="168"/>
        <v/>
      </c>
      <c r="MC20" s="235" t="str">
        <f t="shared" si="169"/>
        <v/>
      </c>
      <c r="MD20" s="235" t="str">
        <f t="shared" si="170"/>
        <v/>
      </c>
      <c r="ME20" s="235" t="str">
        <f t="shared" si="171"/>
        <v/>
      </c>
      <c r="MF20" s="235" t="str">
        <f t="shared" si="172"/>
        <v/>
      </c>
      <c r="MG20" s="235" t="str">
        <f t="shared" si="173"/>
        <v/>
      </c>
      <c r="MH20" s="235" t="str">
        <f t="shared" si="174"/>
        <v/>
      </c>
      <c r="MI20" s="235" t="str">
        <f t="shared" si="175"/>
        <v/>
      </c>
      <c r="MJ20" s="235" t="str">
        <f t="shared" si="176"/>
        <v/>
      </c>
      <c r="MK20" s="235" t="str">
        <f t="shared" si="177"/>
        <v/>
      </c>
      <c r="ML20" s="235" t="str">
        <f t="shared" si="178"/>
        <v/>
      </c>
      <c r="MM20" s="235" t="str">
        <f t="shared" si="179"/>
        <v/>
      </c>
      <c r="MN20" s="235" t="str">
        <f t="shared" si="180"/>
        <v/>
      </c>
      <c r="MO20" s="235" t="str">
        <f t="shared" si="181"/>
        <v/>
      </c>
      <c r="MP20" s="235" t="str">
        <f t="shared" si="182"/>
        <v/>
      </c>
      <c r="MQ20" s="235" t="str">
        <f t="shared" si="183"/>
        <v/>
      </c>
      <c r="MR20" s="235" t="str">
        <f t="shared" si="184"/>
        <v/>
      </c>
      <c r="MS20" s="235" t="str">
        <f t="shared" si="185"/>
        <v/>
      </c>
      <c r="MT20" s="235" t="str">
        <f t="shared" si="186"/>
        <v/>
      </c>
      <c r="MU20" s="134" t="str">
        <f t="shared" si="187"/>
        <v/>
      </c>
      <c r="MV20" s="134" t="str">
        <f t="shared" si="110"/>
        <v/>
      </c>
      <c r="MW20" s="134" t="str">
        <f t="shared" si="110"/>
        <v/>
      </c>
      <c r="MX20" s="134" t="str">
        <f t="shared" si="110"/>
        <v/>
      </c>
      <c r="MY20" s="134" t="str">
        <f t="shared" si="110"/>
        <v/>
      </c>
      <c r="MZ20" s="134" t="str">
        <f t="shared" si="110"/>
        <v/>
      </c>
      <c r="NA20" s="134" t="str">
        <f t="shared" si="110"/>
        <v/>
      </c>
      <c r="NB20" s="134" t="str">
        <f t="shared" si="110"/>
        <v/>
      </c>
      <c r="NC20" s="134" t="str">
        <f t="shared" si="110"/>
        <v/>
      </c>
      <c r="ND20" s="134" t="str">
        <f t="shared" si="110"/>
        <v/>
      </c>
      <c r="NE20" s="134" t="str">
        <f t="shared" si="110"/>
        <v/>
      </c>
      <c r="NF20" s="134" t="str">
        <f t="shared" si="110"/>
        <v/>
      </c>
      <c r="NG20" s="134" t="str">
        <f t="shared" si="110"/>
        <v/>
      </c>
      <c r="NH20" s="134" t="str">
        <f t="shared" si="110"/>
        <v/>
      </c>
      <c r="NI20" s="134" t="str">
        <f t="shared" si="110"/>
        <v/>
      </c>
      <c r="NJ20" s="134" t="str">
        <f t="shared" si="110"/>
        <v/>
      </c>
      <c r="NK20" s="134" t="str">
        <f t="shared" si="110"/>
        <v/>
      </c>
      <c r="NL20" s="134" t="str">
        <f t="shared" si="110"/>
        <v/>
      </c>
      <c r="NM20" s="134" t="str">
        <f t="shared" si="110"/>
        <v/>
      </c>
      <c r="NN20" s="134" t="str">
        <f t="shared" si="110"/>
        <v/>
      </c>
      <c r="NO20" s="134" t="str">
        <f>IF(KE20=KH20,"",IF(KG20="","",IF(KG20&gt;=KONVERSI!$A$14,'KI4'!KH20&amp;" dalam"&amp;MU20&amp;MV20&amp;MW20&amp;MX20&amp;MY20&amp;MZ20&amp;NA20&amp;NB20&amp;NC20&amp;ND20&amp;NE20&amp;NF20&amp;NG20&amp;NH20&amp;NI20&amp;NJ20&amp;NK20&amp;NL20&amp;NM20&amp;NN20,KONVERSI!$C$19&amp;" dalam"&amp;MU20&amp;MV20&amp;MW20&amp;MX20&amp;MY20&amp;MZ20&amp;NA20&amp;NB20&amp;NC20&amp;ND20&amp;NE20&amp;NF20&amp;NG20&amp;NH20&amp;NI20&amp;NJ20&amp;NK20&amp;NL20&amp;NM20&amp;NN20)))</f>
        <v/>
      </c>
      <c r="NP20" s="134" t="str">
        <f t="shared" si="188"/>
        <v/>
      </c>
      <c r="NQ20" s="236">
        <f t="shared" si="111"/>
        <v>0</v>
      </c>
      <c r="NR20" s="134" t="str">
        <f t="shared" si="189"/>
        <v/>
      </c>
    </row>
    <row r="21" ht="27.6" customHeight="1" spans="1:382">
      <c r="A21" s="179"/>
      <c r="B21" s="177">
        <v>13</v>
      </c>
      <c r="C21" s="178" t="str">
        <f>siswa!C17</f>
        <v>JHONATAN MARCEL TAMPUBOLON</v>
      </c>
      <c r="D21" s="174">
        <f>siswa!D17</f>
        <v>2777</v>
      </c>
      <c r="E21" s="175">
        <v>84</v>
      </c>
      <c r="F21" s="176"/>
      <c r="G21" s="176"/>
      <c r="H21" s="176"/>
      <c r="I21" s="176"/>
      <c r="J21" s="176"/>
      <c r="K21" s="176"/>
      <c r="L21" s="176"/>
      <c r="M21" s="194">
        <f t="shared" si="2"/>
        <v>84</v>
      </c>
      <c r="N21" s="176"/>
      <c r="O21" s="176"/>
      <c r="P21" s="175">
        <v>84</v>
      </c>
      <c r="Q21" s="176"/>
      <c r="R21" s="176"/>
      <c r="S21" s="176"/>
      <c r="T21" s="176"/>
      <c r="U21" s="176"/>
      <c r="V21" s="194">
        <f t="shared" si="3"/>
        <v>84</v>
      </c>
      <c r="W21" s="176"/>
      <c r="X21" s="176"/>
      <c r="Y21" s="176"/>
      <c r="Z21" s="176"/>
      <c r="AA21" s="176"/>
      <c r="AB21" s="176"/>
      <c r="AC21" s="176"/>
      <c r="AD21" s="176"/>
      <c r="AE21" s="194" t="str">
        <f t="shared" si="4"/>
        <v/>
      </c>
      <c r="AF21" s="176"/>
      <c r="AG21" s="176"/>
      <c r="AH21" s="176"/>
      <c r="AI21" s="176"/>
      <c r="AJ21" s="176"/>
      <c r="AK21" s="176"/>
      <c r="AL21" s="176"/>
      <c r="AM21" s="176"/>
      <c r="AN21" s="194" t="str">
        <f t="shared" si="5"/>
        <v/>
      </c>
      <c r="AO21" s="181"/>
      <c r="AP21" s="176"/>
      <c r="AQ21" s="176"/>
      <c r="AR21" s="176"/>
      <c r="AS21" s="176"/>
      <c r="AT21" s="176"/>
      <c r="AU21" s="176"/>
      <c r="AV21" s="176"/>
      <c r="AW21" s="194" t="str">
        <f t="shared" si="112"/>
        <v/>
      </c>
      <c r="AX21" s="181"/>
      <c r="AY21" s="176"/>
      <c r="AZ21" s="176"/>
      <c r="BA21" s="176"/>
      <c r="BB21" s="176"/>
      <c r="BC21" s="176"/>
      <c r="BD21" s="176"/>
      <c r="BE21" s="176"/>
      <c r="BF21" s="194" t="str">
        <f t="shared" si="6"/>
        <v/>
      </c>
      <c r="BG21" s="181"/>
      <c r="BH21" s="176"/>
      <c r="BI21" s="176"/>
      <c r="BJ21" s="176"/>
      <c r="BK21" s="176"/>
      <c r="BL21" s="176"/>
      <c r="BM21" s="176"/>
      <c r="BN21" s="176"/>
      <c r="BO21" s="194" t="str">
        <f t="shared" si="113"/>
        <v/>
      </c>
      <c r="BP21" s="181"/>
      <c r="BQ21" s="176"/>
      <c r="BR21" s="176"/>
      <c r="BS21" s="176"/>
      <c r="BT21" s="176"/>
      <c r="BU21" s="176"/>
      <c r="BV21" s="176"/>
      <c r="BW21" s="176"/>
      <c r="BX21" s="194" t="str">
        <f t="shared" si="114"/>
        <v/>
      </c>
      <c r="BY21" s="181"/>
      <c r="BZ21" s="176"/>
      <c r="CA21" s="176"/>
      <c r="CB21" s="176"/>
      <c r="CC21" s="176"/>
      <c r="CD21" s="176"/>
      <c r="CE21" s="176"/>
      <c r="CF21" s="176"/>
      <c r="CG21" s="194" t="str">
        <f t="shared" si="115"/>
        <v/>
      </c>
      <c r="CH21" s="181"/>
      <c r="CI21" s="176"/>
      <c r="CJ21" s="176"/>
      <c r="CK21" s="176"/>
      <c r="CL21" s="176"/>
      <c r="CM21" s="176"/>
      <c r="CN21" s="176"/>
      <c r="CO21" s="176"/>
      <c r="CP21" s="194" t="str">
        <f t="shared" si="7"/>
        <v/>
      </c>
      <c r="CQ21" s="181"/>
      <c r="CR21" s="176"/>
      <c r="CS21" s="176"/>
      <c r="CT21" s="176"/>
      <c r="CU21" s="176"/>
      <c r="CV21" s="176"/>
      <c r="CW21" s="176"/>
      <c r="CX21" s="176"/>
      <c r="CY21" s="194" t="str">
        <f t="shared" si="116"/>
        <v/>
      </c>
      <c r="CZ21" s="181"/>
      <c r="DA21" s="176"/>
      <c r="DB21" s="176"/>
      <c r="DC21" s="176"/>
      <c r="DD21" s="176"/>
      <c r="DE21" s="176"/>
      <c r="DF21" s="176"/>
      <c r="DG21" s="176"/>
      <c r="DH21" s="194" t="str">
        <f t="shared" si="8"/>
        <v/>
      </c>
      <c r="DI21" s="181"/>
      <c r="DJ21" s="176"/>
      <c r="DK21" s="176"/>
      <c r="DL21" s="176"/>
      <c r="DM21" s="176"/>
      <c r="DN21" s="176"/>
      <c r="DO21" s="176"/>
      <c r="DP21" s="176"/>
      <c r="DQ21" s="194" t="str">
        <f t="shared" si="117"/>
        <v/>
      </c>
      <c r="DR21" s="181"/>
      <c r="DS21" s="176"/>
      <c r="DT21" s="176"/>
      <c r="DU21" s="176"/>
      <c r="DV21" s="176"/>
      <c r="DW21" s="176"/>
      <c r="DX21" s="176"/>
      <c r="DY21" s="176"/>
      <c r="DZ21" s="194" t="str">
        <f t="shared" si="9"/>
        <v/>
      </c>
      <c r="EA21" s="181"/>
      <c r="EB21" s="176"/>
      <c r="EC21" s="176"/>
      <c r="ED21" s="176"/>
      <c r="EE21" s="176"/>
      <c r="EF21" s="176"/>
      <c r="EG21" s="176"/>
      <c r="EH21" s="176"/>
      <c r="EI21" s="194" t="str">
        <f t="shared" si="10"/>
        <v/>
      </c>
      <c r="EJ21" s="181"/>
      <c r="EK21" s="176"/>
      <c r="EL21" s="176"/>
      <c r="EM21" s="176"/>
      <c r="EN21" s="176"/>
      <c r="EO21" s="176"/>
      <c r="EP21" s="176"/>
      <c r="EQ21" s="176"/>
      <c r="ER21" s="194" t="str">
        <f t="shared" si="11"/>
        <v/>
      </c>
      <c r="ES21" s="181"/>
      <c r="ET21" s="176"/>
      <c r="EU21" s="176"/>
      <c r="EV21" s="176"/>
      <c r="EW21" s="176"/>
      <c r="EX21" s="176"/>
      <c r="EY21" s="176"/>
      <c r="EZ21" s="176"/>
      <c r="FA21" s="194" t="str">
        <f t="shared" si="12"/>
        <v/>
      </c>
      <c r="FB21" s="181"/>
      <c r="FC21" s="176"/>
      <c r="FD21" s="176"/>
      <c r="FE21" s="176"/>
      <c r="FF21" s="176"/>
      <c r="FG21" s="176"/>
      <c r="FH21" s="176"/>
      <c r="FI21" s="176"/>
      <c r="FJ21" s="194" t="str">
        <f t="shared" si="13"/>
        <v/>
      </c>
      <c r="FK21" s="181"/>
      <c r="FL21" s="176"/>
      <c r="FM21" s="176"/>
      <c r="FN21" s="176"/>
      <c r="FO21" s="176"/>
      <c r="FP21" s="176"/>
      <c r="FQ21" s="176"/>
      <c r="FR21" s="176"/>
      <c r="FS21" s="194" t="str">
        <f t="shared" si="14"/>
        <v/>
      </c>
      <c r="FT21" s="181"/>
      <c r="FU21" s="176"/>
      <c r="FV21" s="176"/>
      <c r="FW21" s="176"/>
      <c r="FX21" s="176"/>
      <c r="FY21" s="176"/>
      <c r="FZ21" s="176"/>
      <c r="GA21" s="176"/>
      <c r="GB21" s="194" t="str">
        <f t="shared" si="118"/>
        <v/>
      </c>
      <c r="GC21" s="194">
        <f t="shared" si="119"/>
        <v>84</v>
      </c>
      <c r="GD21" s="194" t="str">
        <f>IF(GC21="","",IF(GC21&gt;=KONVERSI!$A$5,KONVERSI!$D$5,IF(GC21&gt;=KONVERSI!$A$6,KONVERSI!$D$6,IF(GC21&gt;=KONVERSI!$A$7,KONVERSI!$D$7,KONVERSI!$D$8))))</f>
        <v>B</v>
      </c>
      <c r="GE21" s="194" t="str">
        <f t="shared" si="120"/>
        <v>Tuntas</v>
      </c>
      <c r="GF21" s="222"/>
      <c r="GG21" s="223">
        <f t="shared" si="15"/>
        <v>84</v>
      </c>
      <c r="GH21" s="194">
        <f t="shared" si="16"/>
        <v>0</v>
      </c>
      <c r="GI21" s="194">
        <f t="shared" si="17"/>
        <v>0</v>
      </c>
      <c r="GJ21" s="194">
        <f t="shared" si="18"/>
        <v>0</v>
      </c>
      <c r="GK21" s="194">
        <f t="shared" si="19"/>
        <v>0</v>
      </c>
      <c r="GL21" s="194">
        <f t="shared" si="20"/>
        <v>84</v>
      </c>
      <c r="GM21" s="194">
        <f t="shared" si="21"/>
        <v>0</v>
      </c>
      <c r="GN21" s="194">
        <f t="shared" si="22"/>
        <v>0</v>
      </c>
      <c r="GO21" s="194">
        <f t="shared" si="23"/>
        <v>0</v>
      </c>
      <c r="GP21" s="194">
        <f t="shared" si="24"/>
        <v>0</v>
      </c>
      <c r="GQ21" s="194">
        <f t="shared" si="25"/>
        <v>0</v>
      </c>
      <c r="GR21" s="194">
        <f t="shared" si="26"/>
        <v>0</v>
      </c>
      <c r="GS21" s="194">
        <f t="shared" si="27"/>
        <v>0</v>
      </c>
      <c r="GT21" s="194">
        <f t="shared" si="28"/>
        <v>0</v>
      </c>
      <c r="GU21" s="194">
        <f t="shared" si="29"/>
        <v>0</v>
      </c>
      <c r="GV21" s="194">
        <f t="shared" si="30"/>
        <v>0</v>
      </c>
      <c r="GW21" s="194">
        <f t="shared" si="31"/>
        <v>0</v>
      </c>
      <c r="GX21" s="194">
        <f t="shared" si="32"/>
        <v>0</v>
      </c>
      <c r="GY21" s="194">
        <f t="shared" si="33"/>
        <v>0</v>
      </c>
      <c r="GZ21" s="194">
        <f t="shared" si="34"/>
        <v>0</v>
      </c>
      <c r="HA21" s="194">
        <f t="shared" si="35"/>
        <v>0</v>
      </c>
      <c r="HB21" s="194">
        <f t="shared" si="36"/>
        <v>0</v>
      </c>
      <c r="HC21" s="194">
        <f t="shared" si="37"/>
        <v>0</v>
      </c>
      <c r="HD21" s="194">
        <f t="shared" si="38"/>
        <v>0</v>
      </c>
      <c r="HE21" s="194">
        <f t="shared" si="39"/>
        <v>0</v>
      </c>
      <c r="HF21" s="194">
        <f t="shared" si="40"/>
        <v>0</v>
      </c>
      <c r="HG21" s="194">
        <f t="shared" si="41"/>
        <v>0</v>
      </c>
      <c r="HH21" s="194">
        <f t="shared" si="42"/>
        <v>0</v>
      </c>
      <c r="HI21" s="194">
        <f t="shared" si="43"/>
        <v>0</v>
      </c>
      <c r="HJ21" s="194">
        <f t="shared" si="44"/>
        <v>0</v>
      </c>
      <c r="HK21" s="194">
        <f t="shared" si="45"/>
        <v>0</v>
      </c>
      <c r="HL21" s="194">
        <f t="shared" si="46"/>
        <v>0</v>
      </c>
      <c r="HM21" s="194">
        <f t="shared" si="47"/>
        <v>0</v>
      </c>
      <c r="HN21" s="194">
        <f t="shared" si="48"/>
        <v>0</v>
      </c>
      <c r="HO21" s="194">
        <f t="shared" si="49"/>
        <v>0</v>
      </c>
      <c r="HP21" s="194">
        <f t="shared" si="50"/>
        <v>0</v>
      </c>
      <c r="HQ21" s="194">
        <f t="shared" si="51"/>
        <v>0</v>
      </c>
      <c r="HR21" s="194">
        <f t="shared" si="52"/>
        <v>0</v>
      </c>
      <c r="HS21" s="194">
        <f t="shared" si="53"/>
        <v>0</v>
      </c>
      <c r="HT21" s="194">
        <f t="shared" si="54"/>
        <v>0</v>
      </c>
      <c r="HU21" s="194">
        <f t="shared" si="55"/>
        <v>0</v>
      </c>
      <c r="HV21" s="194">
        <f t="shared" si="56"/>
        <v>0</v>
      </c>
      <c r="HW21" s="194">
        <f t="shared" si="57"/>
        <v>0</v>
      </c>
      <c r="HX21" s="194">
        <f t="shared" si="58"/>
        <v>0</v>
      </c>
      <c r="HY21" s="194">
        <f t="shared" si="59"/>
        <v>0</v>
      </c>
      <c r="HZ21" s="194">
        <f t="shared" si="60"/>
        <v>0</v>
      </c>
      <c r="IA21" s="194">
        <f t="shared" si="61"/>
        <v>0</v>
      </c>
      <c r="IB21" s="194">
        <f t="shared" si="62"/>
        <v>0</v>
      </c>
      <c r="IC21" s="194">
        <f t="shared" si="63"/>
        <v>0</v>
      </c>
      <c r="ID21" s="194">
        <f t="shared" si="64"/>
        <v>0</v>
      </c>
      <c r="IE21" s="194">
        <f t="shared" si="65"/>
        <v>0</v>
      </c>
      <c r="IF21" s="194">
        <f t="shared" si="66"/>
        <v>0</v>
      </c>
      <c r="IG21" s="194">
        <f t="shared" si="67"/>
        <v>0</v>
      </c>
      <c r="IH21" s="194">
        <f t="shared" si="68"/>
        <v>0</v>
      </c>
      <c r="II21" s="194">
        <f t="shared" si="69"/>
        <v>0</v>
      </c>
      <c r="IJ21" s="194">
        <f t="shared" si="70"/>
        <v>0</v>
      </c>
      <c r="IK21" s="194">
        <f t="shared" si="71"/>
        <v>0</v>
      </c>
      <c r="IL21" s="194">
        <f t="shared" si="72"/>
        <v>0</v>
      </c>
      <c r="IM21" s="194">
        <f t="shared" si="73"/>
        <v>0</v>
      </c>
      <c r="IN21" s="194">
        <f t="shared" si="74"/>
        <v>0</v>
      </c>
      <c r="IO21" s="194">
        <f t="shared" si="75"/>
        <v>0</v>
      </c>
      <c r="IP21" s="194">
        <f t="shared" si="76"/>
        <v>0</v>
      </c>
      <c r="IQ21" s="194">
        <f t="shared" si="77"/>
        <v>0</v>
      </c>
      <c r="IR21" s="194">
        <f t="shared" si="78"/>
        <v>0</v>
      </c>
      <c r="IS21" s="194">
        <f t="shared" si="79"/>
        <v>0</v>
      </c>
      <c r="IT21" s="194">
        <f t="shared" si="80"/>
        <v>0</v>
      </c>
      <c r="IU21" s="194">
        <f t="shared" si="81"/>
        <v>0</v>
      </c>
      <c r="IV21" s="194">
        <f t="shared" si="82"/>
        <v>0</v>
      </c>
      <c r="IW21" s="194">
        <f t="shared" si="83"/>
        <v>0</v>
      </c>
      <c r="IX21" s="194">
        <f t="shared" si="84"/>
        <v>0</v>
      </c>
      <c r="IY21" s="194">
        <f t="shared" si="85"/>
        <v>0</v>
      </c>
      <c r="IZ21" s="194">
        <f t="shared" si="86"/>
        <v>0</v>
      </c>
      <c r="JA21" s="194">
        <f t="shared" si="87"/>
        <v>0</v>
      </c>
      <c r="JB21" s="194">
        <f t="shared" si="88"/>
        <v>0</v>
      </c>
      <c r="JC21" s="194">
        <f t="shared" si="89"/>
        <v>0</v>
      </c>
      <c r="JD21" s="194">
        <f t="shared" si="90"/>
        <v>0</v>
      </c>
      <c r="JE21" s="194">
        <f t="shared" si="91"/>
        <v>0</v>
      </c>
      <c r="JF21" s="194">
        <f t="shared" si="92"/>
        <v>0</v>
      </c>
      <c r="JG21" s="194">
        <f t="shared" si="93"/>
        <v>0</v>
      </c>
      <c r="JH21" s="194">
        <f t="shared" si="94"/>
        <v>0</v>
      </c>
      <c r="JI21" s="228">
        <v>13</v>
      </c>
      <c r="JJ21" s="229">
        <f t="shared" si="121"/>
        <v>84</v>
      </c>
      <c r="JK21" s="229">
        <f t="shared" si="122"/>
        <v>84</v>
      </c>
      <c r="JL21" s="229" t="str">
        <f t="shared" si="123"/>
        <v/>
      </c>
      <c r="JM21" s="229" t="str">
        <f t="shared" si="124"/>
        <v/>
      </c>
      <c r="JN21" s="229" t="str">
        <f t="shared" si="125"/>
        <v/>
      </c>
      <c r="JO21" s="229" t="str">
        <f t="shared" si="126"/>
        <v/>
      </c>
      <c r="JP21" s="229" t="str">
        <f t="shared" si="127"/>
        <v/>
      </c>
      <c r="JQ21" s="229" t="str">
        <f t="shared" si="128"/>
        <v/>
      </c>
      <c r="JR21" s="229" t="str">
        <f t="shared" si="129"/>
        <v/>
      </c>
      <c r="JS21" s="229" t="str">
        <f t="shared" si="130"/>
        <v/>
      </c>
      <c r="JT21" s="229" t="str">
        <f t="shared" si="131"/>
        <v/>
      </c>
      <c r="JU21" s="229" t="str">
        <f t="shared" si="132"/>
        <v/>
      </c>
      <c r="JV21" s="229" t="str">
        <f t="shared" si="133"/>
        <v/>
      </c>
      <c r="JW21" s="229" t="str">
        <f t="shared" si="134"/>
        <v/>
      </c>
      <c r="JX21" s="229" t="str">
        <f t="shared" si="135"/>
        <v/>
      </c>
      <c r="JY21" s="229" t="str">
        <f t="shared" si="136"/>
        <v/>
      </c>
      <c r="JZ21" s="229" t="str">
        <f t="shared" si="137"/>
        <v/>
      </c>
      <c r="KA21" s="229" t="str">
        <f t="shared" si="138"/>
        <v/>
      </c>
      <c r="KB21" s="229" t="str">
        <f t="shared" si="139"/>
        <v/>
      </c>
      <c r="KC21" s="229" t="str">
        <f t="shared" si="140"/>
        <v/>
      </c>
      <c r="KD21" s="231">
        <f t="shared" si="141"/>
        <v>84</v>
      </c>
      <c r="KE21" s="232" t="str">
        <f>IF(KD21="","",IF(KD21&gt;=KONVERSI!$A$5,KONVERSI!$E$12,IF(KD21&gt;=KONVERSI!$A$6,KONVERSI!$E$13,IF(KD21&gt;=KONVERSI!$A$7,KONVERSI!$E$14,KONVERSI!$E$15))))</f>
        <v>Terampil</v>
      </c>
      <c r="KF21" s="233" t="str">
        <f t="shared" si="142"/>
        <v>Terampil dalammemilih jenis, bahan dan teknik pengolahan kerang, kaca, keramik dan botol plastik sesuai dengan potensi daerah setempat</v>
      </c>
      <c r="KG21" s="234">
        <f t="shared" si="143"/>
        <v>84</v>
      </c>
      <c r="KH21" s="232" t="str">
        <f>IF(KG21="","",IF(KG21&gt;=KONVERSI!$A$5,KONVERSI!$E$12,IF(KG21&gt;=KONVERSI!$A$6,KONVERSI!$E$13,IF(KG21&gt;=KONVERSI!$A$7,KONVERSI!$E$14,KONVERSI!$E$15))))</f>
        <v>Terampil</v>
      </c>
      <c r="KI21" s="134" t="str">
        <f>IF(GC21="","",IF(GC21&lt;$GD$3," "&amp;KONVERSI!$C$19&amp;INDEX($JJ$8:$KC$8,MATCH(KG22,JJ22:KC22,0))&amp;".",IF(GC21=0,"",IF(KG21&lt;&gt;0,KF21&amp;KH21&amp;".",KF21&amp;"."))))</f>
        <v>Terampil dalammemilih jenis, bahan dan teknik pengolahan kerang, kaca, keramik dan botol plastik sesuai dengan potensi daerah setempatTerampil.</v>
      </c>
      <c r="KJ21" s="235" t="str">
        <f t="shared" si="144"/>
        <v>OK</v>
      </c>
      <c r="KK21" s="235" t="str">
        <f t="shared" si="145"/>
        <v>OK</v>
      </c>
      <c r="KL21" s="235" t="str">
        <f t="shared" si="146"/>
        <v/>
      </c>
      <c r="KM21" s="235" t="str">
        <f t="shared" si="147"/>
        <v/>
      </c>
      <c r="KN21" s="235" t="str">
        <f t="shared" si="148"/>
        <v/>
      </c>
      <c r="KO21" s="235" t="str">
        <f t="shared" si="149"/>
        <v/>
      </c>
      <c r="KP21" s="235" t="str">
        <f t="shared" si="150"/>
        <v/>
      </c>
      <c r="KQ21" s="235" t="str">
        <f t="shared" si="151"/>
        <v/>
      </c>
      <c r="KR21" s="235" t="str">
        <f t="shared" si="152"/>
        <v/>
      </c>
      <c r="KS21" s="235" t="str">
        <f t="shared" si="153"/>
        <v/>
      </c>
      <c r="KT21" s="235" t="str">
        <f t="shared" si="154"/>
        <v/>
      </c>
      <c r="KU21" s="235" t="str">
        <f t="shared" si="155"/>
        <v/>
      </c>
      <c r="KV21" s="235" t="str">
        <f t="shared" si="156"/>
        <v/>
      </c>
      <c r="KW21" s="235" t="str">
        <f t="shared" si="157"/>
        <v/>
      </c>
      <c r="KX21" s="235" t="str">
        <f t="shared" si="158"/>
        <v/>
      </c>
      <c r="KY21" s="235" t="str">
        <f t="shared" si="159"/>
        <v/>
      </c>
      <c r="KZ21" s="235" t="str">
        <f t="shared" si="160"/>
        <v/>
      </c>
      <c r="LA21" s="235" t="str">
        <f t="shared" si="161"/>
        <v/>
      </c>
      <c r="LB21" s="235" t="str">
        <f t="shared" si="162"/>
        <v/>
      </c>
      <c r="LC21" s="235" t="str">
        <f t="shared" si="163"/>
        <v/>
      </c>
      <c r="LD21" s="134" t="str">
        <f t="shared" si="164"/>
        <v>memilih jenis, bahan dan teknik pengolahan kerang, kaca, keramik dan botol plastik sesuai dengan potensi daerah setempat</v>
      </c>
      <c r="LE21" s="134" t="str">
        <f t="shared" si="96"/>
        <v>perancangan pembuatan dan penyajian kerajinan kerang, kaca, keramik dan botol plastik yang kreatif dan inovatif</v>
      </c>
      <c r="LF21" s="134" t="str">
        <f t="shared" si="96"/>
        <v/>
      </c>
      <c r="LG21" s="134" t="str">
        <f t="shared" si="96"/>
        <v/>
      </c>
      <c r="LH21" s="134" t="str">
        <f t="shared" si="96"/>
        <v/>
      </c>
      <c r="LI21" s="134" t="str">
        <f t="shared" si="96"/>
        <v/>
      </c>
      <c r="LJ21" s="134" t="str">
        <f t="shared" si="96"/>
        <v/>
      </c>
      <c r="LK21" s="134" t="str">
        <f t="shared" si="96"/>
        <v/>
      </c>
      <c r="LL21" s="134" t="str">
        <f t="shared" si="96"/>
        <v/>
      </c>
      <c r="LM21" s="134" t="str">
        <f t="shared" si="96"/>
        <v/>
      </c>
      <c r="LN21" s="134" t="str">
        <f t="shared" si="96"/>
        <v/>
      </c>
      <c r="LO21" s="134" t="str">
        <f t="shared" si="96"/>
        <v/>
      </c>
      <c r="LP21" s="134" t="str">
        <f t="shared" si="96"/>
        <v/>
      </c>
      <c r="LQ21" s="134" t="str">
        <f t="shared" si="96"/>
        <v/>
      </c>
      <c r="LR21" s="134" t="str">
        <f t="shared" si="96"/>
        <v/>
      </c>
      <c r="LS21" s="134" t="str">
        <f t="shared" si="96"/>
        <v/>
      </c>
      <c r="LT21" s="134" t="str">
        <f t="shared" si="96"/>
        <v/>
      </c>
      <c r="LU21" s="134" t="str">
        <f t="shared" si="96"/>
        <v/>
      </c>
      <c r="LV21" s="134" t="str">
        <f t="shared" si="96"/>
        <v/>
      </c>
      <c r="LW21" s="134" t="str">
        <f t="shared" si="96"/>
        <v/>
      </c>
      <c r="LX21" s="134" t="str">
        <f t="shared" si="165"/>
        <v>Terampil dalam memilih jenis, bahan dan teknik pengolahan kerang, kaca, keramik dan botol plastik sesuai dengan potensi daerah setempatperancangan pembuatan dan penyajian kerajinan kerang, kaca, keramik dan botol plastik yang kreatif dan inovatif</v>
      </c>
      <c r="LY21" s="134" t="str">
        <f t="shared" si="166"/>
        <v>Terampil dalam memilih jenis, bahan dan teknik pengolahan kerang, kaca, keramik dan botol plastik sesuai dengan potensi daerah setempatperancangan pembuatan dan penyajian kerajinan kerang, kaca, keramik dan botol plastik yang kreatif dan inovati.  </v>
      </c>
      <c r="LZ21" s="236">
        <f t="shared" si="97"/>
        <v>2</v>
      </c>
      <c r="MA21" s="235" t="str">
        <f t="shared" si="167"/>
        <v>OK</v>
      </c>
      <c r="MB21" s="235" t="str">
        <f t="shared" si="168"/>
        <v>OK</v>
      </c>
      <c r="MC21" s="235" t="str">
        <f t="shared" si="169"/>
        <v/>
      </c>
      <c r="MD21" s="235" t="str">
        <f t="shared" si="170"/>
        <v/>
      </c>
      <c r="ME21" s="235" t="str">
        <f t="shared" si="171"/>
        <v/>
      </c>
      <c r="MF21" s="235" t="str">
        <f t="shared" si="172"/>
        <v/>
      </c>
      <c r="MG21" s="235" t="str">
        <f t="shared" si="173"/>
        <v/>
      </c>
      <c r="MH21" s="235" t="str">
        <f t="shared" si="174"/>
        <v/>
      </c>
      <c r="MI21" s="235" t="str">
        <f t="shared" si="175"/>
        <v/>
      </c>
      <c r="MJ21" s="235" t="str">
        <f t="shared" si="176"/>
        <v/>
      </c>
      <c r="MK21" s="235" t="str">
        <f t="shared" si="177"/>
        <v/>
      </c>
      <c r="ML21" s="235" t="str">
        <f t="shared" si="178"/>
        <v/>
      </c>
      <c r="MM21" s="235" t="str">
        <f t="shared" si="179"/>
        <v/>
      </c>
      <c r="MN21" s="235" t="str">
        <f t="shared" si="180"/>
        <v/>
      </c>
      <c r="MO21" s="235" t="str">
        <f t="shared" si="181"/>
        <v/>
      </c>
      <c r="MP21" s="235" t="str">
        <f t="shared" si="182"/>
        <v/>
      </c>
      <c r="MQ21" s="235" t="str">
        <f t="shared" si="183"/>
        <v/>
      </c>
      <c r="MR21" s="235" t="str">
        <f t="shared" si="184"/>
        <v/>
      </c>
      <c r="MS21" s="235" t="str">
        <f t="shared" si="185"/>
        <v/>
      </c>
      <c r="MT21" s="235" t="str">
        <f t="shared" si="186"/>
        <v/>
      </c>
      <c r="MU21" s="134" t="str">
        <f t="shared" si="187"/>
        <v>memilih jenis, bahan dan teknik pengolahan kerang, kaca, keramik dan botol plastik sesuai dengan potensi daerah setempat</v>
      </c>
      <c r="MV21" s="134" t="str">
        <f t="shared" si="110"/>
        <v>perancangan pembuatan dan penyajian kerajinan kerang, kaca, keramik dan botol plastik yang kreatif dan inovatif</v>
      </c>
      <c r="MW21" s="134" t="str">
        <f t="shared" si="110"/>
        <v/>
      </c>
      <c r="MX21" s="134" t="str">
        <f t="shared" si="110"/>
        <v/>
      </c>
      <c r="MY21" s="134" t="str">
        <f t="shared" si="110"/>
        <v/>
      </c>
      <c r="MZ21" s="134" t="str">
        <f t="shared" si="110"/>
        <v/>
      </c>
      <c r="NA21" s="134" t="str">
        <f t="shared" si="110"/>
        <v/>
      </c>
      <c r="NB21" s="134" t="str">
        <f t="shared" si="110"/>
        <v/>
      </c>
      <c r="NC21" s="134" t="str">
        <f t="shared" si="110"/>
        <v/>
      </c>
      <c r="ND21" s="134" t="str">
        <f t="shared" si="110"/>
        <v/>
      </c>
      <c r="NE21" s="134" t="str">
        <f t="shared" si="110"/>
        <v/>
      </c>
      <c r="NF21" s="134" t="str">
        <f t="shared" si="110"/>
        <v/>
      </c>
      <c r="NG21" s="134" t="str">
        <f t="shared" si="110"/>
        <v/>
      </c>
      <c r="NH21" s="134" t="str">
        <f t="shared" si="110"/>
        <v/>
      </c>
      <c r="NI21" s="134" t="str">
        <f t="shared" si="110"/>
        <v/>
      </c>
      <c r="NJ21" s="134" t="str">
        <f t="shared" si="110"/>
        <v/>
      </c>
      <c r="NK21" s="134" t="str">
        <f t="shared" si="110"/>
        <v/>
      </c>
      <c r="NL21" s="134" t="str">
        <f t="shared" si="110"/>
        <v/>
      </c>
      <c r="NM21" s="134" t="str">
        <f t="shared" si="110"/>
        <v/>
      </c>
      <c r="NN21" s="134" t="str">
        <f t="shared" si="110"/>
        <v/>
      </c>
      <c r="NO21" s="134" t="str">
        <f>IF(KE21=KH21,"",IF(KG21="","",IF(KG21&gt;=KONVERSI!$A$14,'KI4'!KH21&amp;" dalam"&amp;MU21&amp;MV21&amp;MW21&amp;MX21&amp;MY21&amp;MZ21&amp;NA21&amp;NB21&amp;NC21&amp;ND21&amp;NE21&amp;NF21&amp;NG21&amp;NH21&amp;NI21&amp;NJ21&amp;NK21&amp;NL21&amp;NM21&amp;NN21,KONVERSI!$C$19&amp;" dalam"&amp;MU21&amp;MV21&amp;MW21&amp;MX21&amp;MY21&amp;MZ21&amp;NA21&amp;NB21&amp;NC21&amp;ND21&amp;NE21&amp;NF21&amp;NG21&amp;NH21&amp;NI21&amp;NJ21&amp;NK21&amp;NL21&amp;NM21&amp;NN21)))</f>
        <v/>
      </c>
      <c r="NP21" s="134" t="str">
        <f t="shared" si="188"/>
        <v/>
      </c>
      <c r="NQ21" s="236">
        <f t="shared" si="111"/>
        <v>2</v>
      </c>
      <c r="NR21" s="134" t="str">
        <f t="shared" si="189"/>
        <v>Terampil dalam memilih jenis, bahan dan teknik pengolahan kerang, kaca, keramik dan botol plastik sesuai dengan potensi daerah setempatperancangan pembuatan dan penyajian kerajinan kerang, kaca, keramik dan botol plastik yang kreatif dan inovati.  </v>
      </c>
    </row>
    <row r="22" ht="27.6" customHeight="1" spans="1:382">
      <c r="A22" s="179"/>
      <c r="B22" s="177">
        <v>14</v>
      </c>
      <c r="C22" s="178" t="str">
        <f>siswa!C18</f>
        <v>JULFAN HANDIKA TELAUMBANUA</v>
      </c>
      <c r="D22" s="174">
        <f>siswa!D18</f>
        <v>2781</v>
      </c>
      <c r="E22" s="175">
        <v>86</v>
      </c>
      <c r="F22" s="176"/>
      <c r="G22" s="176"/>
      <c r="H22" s="176"/>
      <c r="I22" s="176"/>
      <c r="J22" s="176"/>
      <c r="K22" s="176"/>
      <c r="L22" s="176"/>
      <c r="M22" s="194">
        <f t="shared" si="2"/>
        <v>86</v>
      </c>
      <c r="N22" s="176"/>
      <c r="O22" s="176"/>
      <c r="P22" s="175">
        <v>86</v>
      </c>
      <c r="Q22" s="176"/>
      <c r="R22" s="176"/>
      <c r="S22" s="176"/>
      <c r="T22" s="176"/>
      <c r="U22" s="176"/>
      <c r="V22" s="194">
        <f t="shared" si="3"/>
        <v>86</v>
      </c>
      <c r="W22" s="176"/>
      <c r="X22" s="176"/>
      <c r="Y22" s="176"/>
      <c r="Z22" s="176"/>
      <c r="AA22" s="176"/>
      <c r="AB22" s="176"/>
      <c r="AC22" s="176"/>
      <c r="AD22" s="176"/>
      <c r="AE22" s="194" t="str">
        <f t="shared" si="4"/>
        <v/>
      </c>
      <c r="AF22" s="176"/>
      <c r="AG22" s="176"/>
      <c r="AH22" s="176"/>
      <c r="AI22" s="176"/>
      <c r="AJ22" s="176"/>
      <c r="AK22" s="176"/>
      <c r="AL22" s="176"/>
      <c r="AM22" s="176"/>
      <c r="AN22" s="194" t="str">
        <f t="shared" si="5"/>
        <v/>
      </c>
      <c r="AO22" s="181"/>
      <c r="AP22" s="176"/>
      <c r="AQ22" s="176"/>
      <c r="AR22" s="176"/>
      <c r="AS22" s="176"/>
      <c r="AT22" s="176"/>
      <c r="AU22" s="176"/>
      <c r="AV22" s="176"/>
      <c r="AW22" s="194" t="str">
        <f t="shared" si="112"/>
        <v/>
      </c>
      <c r="AX22" s="181"/>
      <c r="AY22" s="176"/>
      <c r="AZ22" s="176"/>
      <c r="BA22" s="176"/>
      <c r="BB22" s="176"/>
      <c r="BC22" s="176"/>
      <c r="BD22" s="176"/>
      <c r="BE22" s="176"/>
      <c r="BF22" s="194" t="str">
        <f t="shared" si="6"/>
        <v/>
      </c>
      <c r="BG22" s="181"/>
      <c r="BH22" s="176"/>
      <c r="BI22" s="176"/>
      <c r="BJ22" s="176"/>
      <c r="BK22" s="176"/>
      <c r="BL22" s="176"/>
      <c r="BM22" s="176"/>
      <c r="BN22" s="176"/>
      <c r="BO22" s="194" t="str">
        <f t="shared" si="113"/>
        <v/>
      </c>
      <c r="BP22" s="181"/>
      <c r="BQ22" s="176"/>
      <c r="BR22" s="176"/>
      <c r="BS22" s="176"/>
      <c r="BT22" s="176"/>
      <c r="BU22" s="176"/>
      <c r="BV22" s="176"/>
      <c r="BW22" s="176"/>
      <c r="BX22" s="194" t="str">
        <f t="shared" si="114"/>
        <v/>
      </c>
      <c r="BY22" s="181"/>
      <c r="BZ22" s="176"/>
      <c r="CA22" s="176"/>
      <c r="CB22" s="176"/>
      <c r="CC22" s="176"/>
      <c r="CD22" s="176"/>
      <c r="CE22" s="176"/>
      <c r="CF22" s="176"/>
      <c r="CG22" s="194" t="str">
        <f t="shared" si="115"/>
        <v/>
      </c>
      <c r="CH22" s="181"/>
      <c r="CI22" s="176"/>
      <c r="CJ22" s="176"/>
      <c r="CK22" s="176"/>
      <c r="CL22" s="176"/>
      <c r="CM22" s="176"/>
      <c r="CN22" s="176"/>
      <c r="CO22" s="176"/>
      <c r="CP22" s="194" t="str">
        <f t="shared" si="7"/>
        <v/>
      </c>
      <c r="CQ22" s="181"/>
      <c r="CR22" s="176"/>
      <c r="CS22" s="176"/>
      <c r="CT22" s="176"/>
      <c r="CU22" s="176"/>
      <c r="CV22" s="176"/>
      <c r="CW22" s="176"/>
      <c r="CX22" s="176"/>
      <c r="CY22" s="194" t="str">
        <f t="shared" si="116"/>
        <v/>
      </c>
      <c r="CZ22" s="181"/>
      <c r="DA22" s="176"/>
      <c r="DB22" s="176"/>
      <c r="DC22" s="176"/>
      <c r="DD22" s="176"/>
      <c r="DE22" s="176"/>
      <c r="DF22" s="176"/>
      <c r="DG22" s="176"/>
      <c r="DH22" s="194" t="str">
        <f t="shared" si="8"/>
        <v/>
      </c>
      <c r="DI22" s="181"/>
      <c r="DJ22" s="176"/>
      <c r="DK22" s="176"/>
      <c r="DL22" s="176"/>
      <c r="DM22" s="176"/>
      <c r="DN22" s="176"/>
      <c r="DO22" s="176"/>
      <c r="DP22" s="176"/>
      <c r="DQ22" s="194" t="str">
        <f t="shared" si="117"/>
        <v/>
      </c>
      <c r="DR22" s="181"/>
      <c r="DS22" s="176"/>
      <c r="DT22" s="176"/>
      <c r="DU22" s="176"/>
      <c r="DV22" s="176"/>
      <c r="DW22" s="176"/>
      <c r="DX22" s="176"/>
      <c r="DY22" s="176"/>
      <c r="DZ22" s="194" t="str">
        <f t="shared" si="9"/>
        <v/>
      </c>
      <c r="EA22" s="181"/>
      <c r="EB22" s="176"/>
      <c r="EC22" s="176"/>
      <c r="ED22" s="176"/>
      <c r="EE22" s="176"/>
      <c r="EF22" s="176"/>
      <c r="EG22" s="176"/>
      <c r="EH22" s="176"/>
      <c r="EI22" s="194" t="str">
        <f t="shared" si="10"/>
        <v/>
      </c>
      <c r="EJ22" s="181"/>
      <c r="EK22" s="176"/>
      <c r="EL22" s="176"/>
      <c r="EM22" s="176"/>
      <c r="EN22" s="176"/>
      <c r="EO22" s="176"/>
      <c r="EP22" s="176"/>
      <c r="EQ22" s="176"/>
      <c r="ER22" s="194" t="str">
        <f t="shared" si="11"/>
        <v/>
      </c>
      <c r="ES22" s="181"/>
      <c r="ET22" s="176"/>
      <c r="EU22" s="176"/>
      <c r="EV22" s="176"/>
      <c r="EW22" s="176"/>
      <c r="EX22" s="176"/>
      <c r="EY22" s="176"/>
      <c r="EZ22" s="176"/>
      <c r="FA22" s="194" t="str">
        <f t="shared" si="12"/>
        <v/>
      </c>
      <c r="FB22" s="181"/>
      <c r="FC22" s="176"/>
      <c r="FD22" s="176"/>
      <c r="FE22" s="176"/>
      <c r="FF22" s="176"/>
      <c r="FG22" s="176"/>
      <c r="FH22" s="176"/>
      <c r="FI22" s="176"/>
      <c r="FJ22" s="194" t="str">
        <f t="shared" si="13"/>
        <v/>
      </c>
      <c r="FK22" s="181"/>
      <c r="FL22" s="176"/>
      <c r="FM22" s="176"/>
      <c r="FN22" s="176"/>
      <c r="FO22" s="176"/>
      <c r="FP22" s="176"/>
      <c r="FQ22" s="176"/>
      <c r="FR22" s="176"/>
      <c r="FS22" s="194" t="str">
        <f t="shared" si="14"/>
        <v/>
      </c>
      <c r="FT22" s="181"/>
      <c r="FU22" s="176"/>
      <c r="FV22" s="176"/>
      <c r="FW22" s="176"/>
      <c r="FX22" s="176"/>
      <c r="FY22" s="176"/>
      <c r="FZ22" s="176"/>
      <c r="GA22" s="176"/>
      <c r="GB22" s="194" t="str">
        <f t="shared" si="118"/>
        <v/>
      </c>
      <c r="GC22" s="194">
        <f t="shared" si="119"/>
        <v>86</v>
      </c>
      <c r="GD22" s="194" t="str">
        <f>IF(GC22="","",IF(GC22&gt;=KONVERSI!$A$5,KONVERSI!$D$5,IF(GC22&gt;=KONVERSI!$A$6,KONVERSI!$D$6,IF(GC22&gt;=KONVERSI!$A$7,KONVERSI!$D$7,KONVERSI!$D$8))))</f>
        <v>B</v>
      </c>
      <c r="GE22" s="194" t="str">
        <f t="shared" si="120"/>
        <v>Tuntas</v>
      </c>
      <c r="GF22" s="222"/>
      <c r="GG22" s="223">
        <f t="shared" si="15"/>
        <v>86</v>
      </c>
      <c r="GH22" s="194">
        <f t="shared" si="16"/>
        <v>0</v>
      </c>
      <c r="GI22" s="194">
        <f t="shared" si="17"/>
        <v>0</v>
      </c>
      <c r="GJ22" s="194">
        <f t="shared" si="18"/>
        <v>0</v>
      </c>
      <c r="GK22" s="194">
        <f t="shared" si="19"/>
        <v>0</v>
      </c>
      <c r="GL22" s="194">
        <f t="shared" si="20"/>
        <v>86</v>
      </c>
      <c r="GM22" s="194">
        <f t="shared" si="21"/>
        <v>0</v>
      </c>
      <c r="GN22" s="194">
        <f t="shared" si="22"/>
        <v>0</v>
      </c>
      <c r="GO22" s="194">
        <f t="shared" si="23"/>
        <v>0</v>
      </c>
      <c r="GP22" s="194">
        <f t="shared" si="24"/>
        <v>0</v>
      </c>
      <c r="GQ22" s="194">
        <f t="shared" si="25"/>
        <v>0</v>
      </c>
      <c r="GR22" s="194">
        <f t="shared" si="26"/>
        <v>0</v>
      </c>
      <c r="GS22" s="194">
        <f t="shared" si="27"/>
        <v>0</v>
      </c>
      <c r="GT22" s="194">
        <f t="shared" si="28"/>
        <v>0</v>
      </c>
      <c r="GU22" s="194">
        <f t="shared" si="29"/>
        <v>0</v>
      </c>
      <c r="GV22" s="194">
        <f t="shared" si="30"/>
        <v>0</v>
      </c>
      <c r="GW22" s="194">
        <f t="shared" si="31"/>
        <v>0</v>
      </c>
      <c r="GX22" s="194">
        <f t="shared" si="32"/>
        <v>0</v>
      </c>
      <c r="GY22" s="194">
        <f t="shared" si="33"/>
        <v>0</v>
      </c>
      <c r="GZ22" s="194">
        <f t="shared" si="34"/>
        <v>0</v>
      </c>
      <c r="HA22" s="194">
        <f t="shared" si="35"/>
        <v>0</v>
      </c>
      <c r="HB22" s="194">
        <f t="shared" si="36"/>
        <v>0</v>
      </c>
      <c r="HC22" s="194">
        <f t="shared" si="37"/>
        <v>0</v>
      </c>
      <c r="HD22" s="194">
        <f t="shared" si="38"/>
        <v>0</v>
      </c>
      <c r="HE22" s="194">
        <f t="shared" si="39"/>
        <v>0</v>
      </c>
      <c r="HF22" s="194">
        <f t="shared" si="40"/>
        <v>0</v>
      </c>
      <c r="HG22" s="194">
        <f t="shared" si="41"/>
        <v>0</v>
      </c>
      <c r="HH22" s="194">
        <f t="shared" si="42"/>
        <v>0</v>
      </c>
      <c r="HI22" s="194">
        <f t="shared" si="43"/>
        <v>0</v>
      </c>
      <c r="HJ22" s="194">
        <f t="shared" si="44"/>
        <v>0</v>
      </c>
      <c r="HK22" s="194">
        <f t="shared" si="45"/>
        <v>0</v>
      </c>
      <c r="HL22" s="194">
        <f t="shared" si="46"/>
        <v>0</v>
      </c>
      <c r="HM22" s="194">
        <f t="shared" si="47"/>
        <v>0</v>
      </c>
      <c r="HN22" s="194">
        <f t="shared" si="48"/>
        <v>0</v>
      </c>
      <c r="HO22" s="194">
        <f t="shared" si="49"/>
        <v>0</v>
      </c>
      <c r="HP22" s="194">
        <f t="shared" si="50"/>
        <v>0</v>
      </c>
      <c r="HQ22" s="194">
        <f t="shared" si="51"/>
        <v>0</v>
      </c>
      <c r="HR22" s="194">
        <f t="shared" si="52"/>
        <v>0</v>
      </c>
      <c r="HS22" s="194">
        <f t="shared" si="53"/>
        <v>0</v>
      </c>
      <c r="HT22" s="194">
        <f t="shared" si="54"/>
        <v>0</v>
      </c>
      <c r="HU22" s="194">
        <f t="shared" si="55"/>
        <v>0</v>
      </c>
      <c r="HV22" s="194">
        <f t="shared" si="56"/>
        <v>0</v>
      </c>
      <c r="HW22" s="194">
        <f t="shared" si="57"/>
        <v>0</v>
      </c>
      <c r="HX22" s="194">
        <f t="shared" si="58"/>
        <v>0</v>
      </c>
      <c r="HY22" s="194">
        <f t="shared" si="59"/>
        <v>0</v>
      </c>
      <c r="HZ22" s="194">
        <f t="shared" si="60"/>
        <v>0</v>
      </c>
      <c r="IA22" s="194">
        <f t="shared" si="61"/>
        <v>0</v>
      </c>
      <c r="IB22" s="194">
        <f t="shared" si="62"/>
        <v>0</v>
      </c>
      <c r="IC22" s="194">
        <f t="shared" si="63"/>
        <v>0</v>
      </c>
      <c r="ID22" s="194">
        <f t="shared" si="64"/>
        <v>0</v>
      </c>
      <c r="IE22" s="194">
        <f t="shared" si="65"/>
        <v>0</v>
      </c>
      <c r="IF22" s="194">
        <f t="shared" si="66"/>
        <v>0</v>
      </c>
      <c r="IG22" s="194">
        <f t="shared" si="67"/>
        <v>0</v>
      </c>
      <c r="IH22" s="194">
        <f t="shared" si="68"/>
        <v>0</v>
      </c>
      <c r="II22" s="194">
        <f t="shared" si="69"/>
        <v>0</v>
      </c>
      <c r="IJ22" s="194">
        <f t="shared" si="70"/>
        <v>0</v>
      </c>
      <c r="IK22" s="194">
        <f t="shared" si="71"/>
        <v>0</v>
      </c>
      <c r="IL22" s="194">
        <f t="shared" si="72"/>
        <v>0</v>
      </c>
      <c r="IM22" s="194">
        <f t="shared" si="73"/>
        <v>0</v>
      </c>
      <c r="IN22" s="194">
        <f t="shared" si="74"/>
        <v>0</v>
      </c>
      <c r="IO22" s="194">
        <f t="shared" si="75"/>
        <v>0</v>
      </c>
      <c r="IP22" s="194">
        <f t="shared" si="76"/>
        <v>0</v>
      </c>
      <c r="IQ22" s="194">
        <f t="shared" si="77"/>
        <v>0</v>
      </c>
      <c r="IR22" s="194">
        <f t="shared" si="78"/>
        <v>0</v>
      </c>
      <c r="IS22" s="194">
        <f t="shared" si="79"/>
        <v>0</v>
      </c>
      <c r="IT22" s="194">
        <f t="shared" si="80"/>
        <v>0</v>
      </c>
      <c r="IU22" s="194">
        <f t="shared" si="81"/>
        <v>0</v>
      </c>
      <c r="IV22" s="194">
        <f t="shared" si="82"/>
        <v>0</v>
      </c>
      <c r="IW22" s="194">
        <f t="shared" si="83"/>
        <v>0</v>
      </c>
      <c r="IX22" s="194">
        <f t="shared" si="84"/>
        <v>0</v>
      </c>
      <c r="IY22" s="194">
        <f t="shared" si="85"/>
        <v>0</v>
      </c>
      <c r="IZ22" s="194">
        <f t="shared" si="86"/>
        <v>0</v>
      </c>
      <c r="JA22" s="194">
        <f t="shared" si="87"/>
        <v>0</v>
      </c>
      <c r="JB22" s="194">
        <f t="shared" si="88"/>
        <v>0</v>
      </c>
      <c r="JC22" s="194">
        <f t="shared" si="89"/>
        <v>0</v>
      </c>
      <c r="JD22" s="194">
        <f t="shared" si="90"/>
        <v>0</v>
      </c>
      <c r="JE22" s="194">
        <f t="shared" si="91"/>
        <v>0</v>
      </c>
      <c r="JF22" s="194">
        <f t="shared" si="92"/>
        <v>0</v>
      </c>
      <c r="JG22" s="194">
        <f t="shared" si="93"/>
        <v>0</v>
      </c>
      <c r="JH22" s="194">
        <f t="shared" si="94"/>
        <v>0</v>
      </c>
      <c r="JI22" s="228">
        <v>14</v>
      </c>
      <c r="JJ22" s="229">
        <f t="shared" si="121"/>
        <v>86</v>
      </c>
      <c r="JK22" s="229">
        <f t="shared" si="122"/>
        <v>86</v>
      </c>
      <c r="JL22" s="229" t="str">
        <f t="shared" si="123"/>
        <v/>
      </c>
      <c r="JM22" s="229" t="str">
        <f t="shared" si="124"/>
        <v/>
      </c>
      <c r="JN22" s="229" t="str">
        <f t="shared" si="125"/>
        <v/>
      </c>
      <c r="JO22" s="229" t="str">
        <f t="shared" si="126"/>
        <v/>
      </c>
      <c r="JP22" s="229" t="str">
        <f t="shared" si="127"/>
        <v/>
      </c>
      <c r="JQ22" s="229" t="str">
        <f t="shared" si="128"/>
        <v/>
      </c>
      <c r="JR22" s="229" t="str">
        <f t="shared" si="129"/>
        <v/>
      </c>
      <c r="JS22" s="229" t="str">
        <f t="shared" si="130"/>
        <v/>
      </c>
      <c r="JT22" s="229" t="str">
        <f t="shared" si="131"/>
        <v/>
      </c>
      <c r="JU22" s="229" t="str">
        <f t="shared" si="132"/>
        <v/>
      </c>
      <c r="JV22" s="229" t="str">
        <f t="shared" si="133"/>
        <v/>
      </c>
      <c r="JW22" s="229" t="str">
        <f t="shared" si="134"/>
        <v/>
      </c>
      <c r="JX22" s="229" t="str">
        <f t="shared" si="135"/>
        <v/>
      </c>
      <c r="JY22" s="229" t="str">
        <f t="shared" si="136"/>
        <v/>
      </c>
      <c r="JZ22" s="229" t="str">
        <f t="shared" si="137"/>
        <v/>
      </c>
      <c r="KA22" s="229" t="str">
        <f t="shared" si="138"/>
        <v/>
      </c>
      <c r="KB22" s="229" t="str">
        <f t="shared" si="139"/>
        <v/>
      </c>
      <c r="KC22" s="229" t="str">
        <f t="shared" si="140"/>
        <v/>
      </c>
      <c r="KD22" s="231">
        <f t="shared" si="141"/>
        <v>86</v>
      </c>
      <c r="KE22" s="232" t="str">
        <f>IF(KD22="","",IF(KD22&gt;=KONVERSI!$A$5,KONVERSI!$E$12,IF(KD22&gt;=KONVERSI!$A$6,KONVERSI!$E$13,IF(KD22&gt;=KONVERSI!$A$7,KONVERSI!$E$14,KONVERSI!$E$15))))</f>
        <v>Terampil</v>
      </c>
      <c r="KF22" s="233" t="str">
        <f t="shared" si="142"/>
        <v>Terampil dalammemilih jenis, bahan dan teknik pengolahan kerang, kaca, keramik dan botol plastik sesuai dengan potensi daerah setempat</v>
      </c>
      <c r="KG22" s="234">
        <f t="shared" si="143"/>
        <v>86</v>
      </c>
      <c r="KH22" s="232" t="str">
        <f>IF(KG22="","",IF(KG22&gt;=KONVERSI!$A$5,KONVERSI!$E$12,IF(KG22&gt;=KONVERSI!$A$6,KONVERSI!$E$13,IF(KG22&gt;=KONVERSI!$A$7,KONVERSI!$E$14,KONVERSI!$E$15))))</f>
        <v>Terampil</v>
      </c>
      <c r="KI22" s="134" t="str">
        <f>IF(GC22="","",IF(GC22&lt;$GD$3," "&amp;KONVERSI!$C$19&amp;INDEX($JJ$8:$KC$8,MATCH(KG23,JJ23:KC23,0))&amp;".",IF(GC22=0,"",IF(KG22&lt;&gt;0,KF22&amp;KH22&amp;".",KF22&amp;"."))))</f>
        <v>Terampil dalammemilih jenis, bahan dan teknik pengolahan kerang, kaca, keramik dan botol plastik sesuai dengan potensi daerah setempatTerampil.</v>
      </c>
      <c r="KJ22" s="235" t="str">
        <f t="shared" si="144"/>
        <v>OK</v>
      </c>
      <c r="KK22" s="235" t="str">
        <f t="shared" si="145"/>
        <v>OK</v>
      </c>
      <c r="KL22" s="235" t="str">
        <f t="shared" si="146"/>
        <v/>
      </c>
      <c r="KM22" s="235" t="str">
        <f t="shared" si="147"/>
        <v/>
      </c>
      <c r="KN22" s="235" t="str">
        <f t="shared" si="148"/>
        <v/>
      </c>
      <c r="KO22" s="235" t="str">
        <f t="shared" si="149"/>
        <v/>
      </c>
      <c r="KP22" s="235" t="str">
        <f t="shared" si="150"/>
        <v/>
      </c>
      <c r="KQ22" s="235" t="str">
        <f t="shared" si="151"/>
        <v/>
      </c>
      <c r="KR22" s="235" t="str">
        <f t="shared" si="152"/>
        <v/>
      </c>
      <c r="KS22" s="235" t="str">
        <f t="shared" si="153"/>
        <v/>
      </c>
      <c r="KT22" s="235" t="str">
        <f t="shared" si="154"/>
        <v/>
      </c>
      <c r="KU22" s="235" t="str">
        <f t="shared" si="155"/>
        <v/>
      </c>
      <c r="KV22" s="235" t="str">
        <f t="shared" si="156"/>
        <v/>
      </c>
      <c r="KW22" s="235" t="str">
        <f t="shared" si="157"/>
        <v/>
      </c>
      <c r="KX22" s="235" t="str">
        <f t="shared" si="158"/>
        <v/>
      </c>
      <c r="KY22" s="235" t="str">
        <f t="shared" si="159"/>
        <v/>
      </c>
      <c r="KZ22" s="235" t="str">
        <f t="shared" si="160"/>
        <v/>
      </c>
      <c r="LA22" s="235" t="str">
        <f t="shared" si="161"/>
        <v/>
      </c>
      <c r="LB22" s="235" t="str">
        <f t="shared" si="162"/>
        <v/>
      </c>
      <c r="LC22" s="235" t="str">
        <f t="shared" si="163"/>
        <v/>
      </c>
      <c r="LD22" s="134" t="str">
        <f t="shared" si="164"/>
        <v>memilih jenis, bahan dan teknik pengolahan kerang, kaca, keramik dan botol plastik sesuai dengan potensi daerah setempat</v>
      </c>
      <c r="LE22" s="134" t="str">
        <f t="shared" si="96"/>
        <v>perancangan pembuatan dan penyajian kerajinan kerang, kaca, keramik dan botol plastik yang kreatif dan inovatif</v>
      </c>
      <c r="LF22" s="134" t="str">
        <f t="shared" si="96"/>
        <v/>
      </c>
      <c r="LG22" s="134" t="str">
        <f t="shared" si="96"/>
        <v/>
      </c>
      <c r="LH22" s="134" t="str">
        <f t="shared" si="96"/>
        <v/>
      </c>
      <c r="LI22" s="134" t="str">
        <f t="shared" si="96"/>
        <v/>
      </c>
      <c r="LJ22" s="134" t="str">
        <f t="shared" si="96"/>
        <v/>
      </c>
      <c r="LK22" s="134" t="str">
        <f t="shared" si="96"/>
        <v/>
      </c>
      <c r="LL22" s="134" t="str">
        <f t="shared" si="96"/>
        <v/>
      </c>
      <c r="LM22" s="134" t="str">
        <f t="shared" ref="LM22:LW45" si="190">IF(KS22="OK",KS$8,"")</f>
        <v/>
      </c>
      <c r="LN22" s="134" t="str">
        <f t="shared" si="190"/>
        <v/>
      </c>
      <c r="LO22" s="134" t="str">
        <f t="shared" si="190"/>
        <v/>
      </c>
      <c r="LP22" s="134" t="str">
        <f t="shared" si="190"/>
        <v/>
      </c>
      <c r="LQ22" s="134" t="str">
        <f t="shared" si="190"/>
        <v/>
      </c>
      <c r="LR22" s="134" t="str">
        <f t="shared" si="190"/>
        <v/>
      </c>
      <c r="LS22" s="134" t="str">
        <f t="shared" si="190"/>
        <v/>
      </c>
      <c r="LT22" s="134" t="str">
        <f t="shared" si="190"/>
        <v/>
      </c>
      <c r="LU22" s="134" t="str">
        <f t="shared" si="190"/>
        <v/>
      </c>
      <c r="LV22" s="134" t="str">
        <f t="shared" si="190"/>
        <v/>
      </c>
      <c r="LW22" s="134" t="str">
        <f t="shared" si="190"/>
        <v/>
      </c>
      <c r="LX22" s="134" t="str">
        <f t="shared" si="165"/>
        <v>Terampil dalam memilih jenis, bahan dan teknik pengolahan kerang, kaca, keramik dan botol plastik sesuai dengan potensi daerah setempatperancangan pembuatan dan penyajian kerajinan kerang, kaca, keramik dan botol plastik yang kreatif dan inovatif</v>
      </c>
      <c r="LY22" s="134" t="str">
        <f t="shared" si="166"/>
        <v>Terampil dalam memilih jenis, bahan dan teknik pengolahan kerang, kaca, keramik dan botol plastik sesuai dengan potensi daerah setempatperancangan pembuatan dan penyajian kerajinan kerang, kaca, keramik dan botol plastik yang kreatif dan inovati.  </v>
      </c>
      <c r="LZ22" s="236">
        <f t="shared" si="97"/>
        <v>2</v>
      </c>
      <c r="MA22" s="235" t="str">
        <f t="shared" si="167"/>
        <v>OK</v>
      </c>
      <c r="MB22" s="235" t="str">
        <f t="shared" si="168"/>
        <v>OK</v>
      </c>
      <c r="MC22" s="235" t="str">
        <f t="shared" si="169"/>
        <v/>
      </c>
      <c r="MD22" s="235" t="str">
        <f t="shared" si="170"/>
        <v/>
      </c>
      <c r="ME22" s="235" t="str">
        <f t="shared" si="171"/>
        <v/>
      </c>
      <c r="MF22" s="235" t="str">
        <f t="shared" si="172"/>
        <v/>
      </c>
      <c r="MG22" s="235" t="str">
        <f t="shared" si="173"/>
        <v/>
      </c>
      <c r="MH22" s="235" t="str">
        <f t="shared" si="174"/>
        <v/>
      </c>
      <c r="MI22" s="235" t="str">
        <f t="shared" si="175"/>
        <v/>
      </c>
      <c r="MJ22" s="235" t="str">
        <f t="shared" si="176"/>
        <v/>
      </c>
      <c r="MK22" s="235" t="str">
        <f t="shared" si="177"/>
        <v/>
      </c>
      <c r="ML22" s="235" t="str">
        <f t="shared" si="178"/>
        <v/>
      </c>
      <c r="MM22" s="235" t="str">
        <f t="shared" si="179"/>
        <v/>
      </c>
      <c r="MN22" s="235" t="str">
        <f t="shared" si="180"/>
        <v/>
      </c>
      <c r="MO22" s="235" t="str">
        <f t="shared" si="181"/>
        <v/>
      </c>
      <c r="MP22" s="235" t="str">
        <f t="shared" si="182"/>
        <v/>
      </c>
      <c r="MQ22" s="235" t="str">
        <f t="shared" si="183"/>
        <v/>
      </c>
      <c r="MR22" s="235" t="str">
        <f t="shared" si="184"/>
        <v/>
      </c>
      <c r="MS22" s="235" t="str">
        <f t="shared" si="185"/>
        <v/>
      </c>
      <c r="MT22" s="235" t="str">
        <f t="shared" si="186"/>
        <v/>
      </c>
      <c r="MU22" s="134" t="str">
        <f t="shared" si="187"/>
        <v>memilih jenis, bahan dan teknik pengolahan kerang, kaca, keramik dan botol plastik sesuai dengan potensi daerah setempat</v>
      </c>
      <c r="MV22" s="134" t="str">
        <f t="shared" si="110"/>
        <v>perancangan pembuatan dan penyajian kerajinan kerang, kaca, keramik dan botol plastik yang kreatif dan inovatif</v>
      </c>
      <c r="MW22" s="134" t="str">
        <f t="shared" si="110"/>
        <v/>
      </c>
      <c r="MX22" s="134" t="str">
        <f t="shared" si="110"/>
        <v/>
      </c>
      <c r="MY22" s="134" t="str">
        <f t="shared" si="110"/>
        <v/>
      </c>
      <c r="MZ22" s="134" t="str">
        <f t="shared" si="110"/>
        <v/>
      </c>
      <c r="NA22" s="134" t="str">
        <f t="shared" si="110"/>
        <v/>
      </c>
      <c r="NB22" s="134" t="str">
        <f t="shared" si="110"/>
        <v/>
      </c>
      <c r="NC22" s="134" t="str">
        <f t="shared" si="110"/>
        <v/>
      </c>
      <c r="ND22" s="134" t="str">
        <f t="shared" ref="ND22:NN45" si="191">IF(MJ22="OK",MJ$8,"")</f>
        <v/>
      </c>
      <c r="NE22" s="134" t="str">
        <f t="shared" si="191"/>
        <v/>
      </c>
      <c r="NF22" s="134" t="str">
        <f t="shared" si="191"/>
        <v/>
      </c>
      <c r="NG22" s="134" t="str">
        <f t="shared" si="191"/>
        <v/>
      </c>
      <c r="NH22" s="134" t="str">
        <f t="shared" si="191"/>
        <v/>
      </c>
      <c r="NI22" s="134" t="str">
        <f t="shared" si="191"/>
        <v/>
      </c>
      <c r="NJ22" s="134" t="str">
        <f t="shared" si="191"/>
        <v/>
      </c>
      <c r="NK22" s="134" t="str">
        <f t="shared" si="191"/>
        <v/>
      </c>
      <c r="NL22" s="134" t="str">
        <f t="shared" si="191"/>
        <v/>
      </c>
      <c r="NM22" s="134" t="str">
        <f t="shared" si="191"/>
        <v/>
      </c>
      <c r="NN22" s="134" t="str">
        <f t="shared" si="191"/>
        <v/>
      </c>
      <c r="NO22" s="134" t="str">
        <f>IF(KE22=KH22,"",IF(KG22="","",IF(KG22&gt;=KONVERSI!$A$14,'KI4'!KH22&amp;" dalam"&amp;MU22&amp;MV22&amp;MW22&amp;MX22&amp;MY22&amp;MZ22&amp;NA22&amp;NB22&amp;NC22&amp;ND22&amp;NE22&amp;NF22&amp;NG22&amp;NH22&amp;NI22&amp;NJ22&amp;NK22&amp;NL22&amp;NM22&amp;NN22,KONVERSI!$C$19&amp;" dalam"&amp;MU22&amp;MV22&amp;MW22&amp;MX22&amp;MY22&amp;MZ22&amp;NA22&amp;NB22&amp;NC22&amp;ND22&amp;NE22&amp;NF22&amp;NG22&amp;NH22&amp;NI22&amp;NJ22&amp;NK22&amp;NL22&amp;NM22&amp;NN22)))</f>
        <v/>
      </c>
      <c r="NP22" s="134" t="str">
        <f t="shared" si="188"/>
        <v/>
      </c>
      <c r="NQ22" s="236">
        <f t="shared" si="111"/>
        <v>2</v>
      </c>
      <c r="NR22" s="134" t="str">
        <f t="shared" si="189"/>
        <v>Terampil dalam memilih jenis, bahan dan teknik pengolahan kerang, kaca, keramik dan botol plastik sesuai dengan potensi daerah setempatperancangan pembuatan dan penyajian kerajinan kerang, kaca, keramik dan botol plastik yang kreatif dan inovati.  </v>
      </c>
    </row>
    <row r="23" ht="27.6" customHeight="1" spans="1:382">
      <c r="A23" s="179"/>
      <c r="B23" s="177">
        <v>15</v>
      </c>
      <c r="C23" s="178" t="str">
        <f>siswa!C19</f>
        <v>JULI ROSISKA</v>
      </c>
      <c r="D23" s="174">
        <f>siswa!D19</f>
        <v>2782</v>
      </c>
      <c r="E23" s="175">
        <v>88</v>
      </c>
      <c r="F23" s="176"/>
      <c r="G23" s="176"/>
      <c r="H23" s="176"/>
      <c r="I23" s="176"/>
      <c r="J23" s="176"/>
      <c r="K23" s="176"/>
      <c r="L23" s="176"/>
      <c r="M23" s="194">
        <f t="shared" si="2"/>
        <v>88</v>
      </c>
      <c r="N23" s="176"/>
      <c r="O23" s="176"/>
      <c r="P23" s="175">
        <v>88</v>
      </c>
      <c r="Q23" s="176"/>
      <c r="R23" s="176"/>
      <c r="S23" s="176"/>
      <c r="T23" s="176"/>
      <c r="U23" s="176"/>
      <c r="V23" s="194">
        <f t="shared" si="3"/>
        <v>88</v>
      </c>
      <c r="W23" s="176"/>
      <c r="X23" s="176"/>
      <c r="Y23" s="176"/>
      <c r="Z23" s="176"/>
      <c r="AA23" s="176"/>
      <c r="AB23" s="176"/>
      <c r="AC23" s="176"/>
      <c r="AD23" s="176"/>
      <c r="AE23" s="194" t="str">
        <f t="shared" si="4"/>
        <v/>
      </c>
      <c r="AF23" s="176"/>
      <c r="AG23" s="176"/>
      <c r="AH23" s="176"/>
      <c r="AI23" s="176"/>
      <c r="AJ23" s="176"/>
      <c r="AK23" s="176"/>
      <c r="AL23" s="176"/>
      <c r="AM23" s="176"/>
      <c r="AN23" s="194" t="str">
        <f t="shared" si="5"/>
        <v/>
      </c>
      <c r="AO23" s="181"/>
      <c r="AP23" s="176"/>
      <c r="AQ23" s="176"/>
      <c r="AR23" s="176"/>
      <c r="AS23" s="176"/>
      <c r="AT23" s="176"/>
      <c r="AU23" s="176"/>
      <c r="AV23" s="176"/>
      <c r="AW23" s="194" t="str">
        <f t="shared" si="112"/>
        <v/>
      </c>
      <c r="AX23" s="181"/>
      <c r="AY23" s="176"/>
      <c r="AZ23" s="176"/>
      <c r="BA23" s="176"/>
      <c r="BB23" s="176"/>
      <c r="BC23" s="176"/>
      <c r="BD23" s="176"/>
      <c r="BE23" s="176"/>
      <c r="BF23" s="194" t="str">
        <f t="shared" si="6"/>
        <v/>
      </c>
      <c r="BG23" s="181"/>
      <c r="BH23" s="176"/>
      <c r="BI23" s="176"/>
      <c r="BJ23" s="176"/>
      <c r="BK23" s="176"/>
      <c r="BL23" s="176"/>
      <c r="BM23" s="176"/>
      <c r="BN23" s="176"/>
      <c r="BO23" s="194" t="str">
        <f t="shared" si="113"/>
        <v/>
      </c>
      <c r="BP23" s="181"/>
      <c r="BQ23" s="176"/>
      <c r="BR23" s="176"/>
      <c r="BS23" s="176"/>
      <c r="BT23" s="176"/>
      <c r="BU23" s="176"/>
      <c r="BV23" s="176"/>
      <c r="BW23" s="176"/>
      <c r="BX23" s="194" t="str">
        <f t="shared" si="114"/>
        <v/>
      </c>
      <c r="BY23" s="181"/>
      <c r="BZ23" s="176"/>
      <c r="CA23" s="176"/>
      <c r="CB23" s="176"/>
      <c r="CC23" s="176"/>
      <c r="CD23" s="176"/>
      <c r="CE23" s="176"/>
      <c r="CF23" s="176"/>
      <c r="CG23" s="194" t="str">
        <f t="shared" si="115"/>
        <v/>
      </c>
      <c r="CH23" s="181"/>
      <c r="CI23" s="176"/>
      <c r="CJ23" s="176"/>
      <c r="CK23" s="176"/>
      <c r="CL23" s="176"/>
      <c r="CM23" s="176"/>
      <c r="CN23" s="176"/>
      <c r="CO23" s="176"/>
      <c r="CP23" s="194" t="str">
        <f t="shared" si="7"/>
        <v/>
      </c>
      <c r="CQ23" s="181"/>
      <c r="CR23" s="176"/>
      <c r="CS23" s="176"/>
      <c r="CT23" s="176"/>
      <c r="CU23" s="176"/>
      <c r="CV23" s="176"/>
      <c r="CW23" s="176"/>
      <c r="CX23" s="176"/>
      <c r="CY23" s="194" t="str">
        <f t="shared" si="116"/>
        <v/>
      </c>
      <c r="CZ23" s="181"/>
      <c r="DA23" s="176"/>
      <c r="DB23" s="176"/>
      <c r="DC23" s="176"/>
      <c r="DD23" s="176"/>
      <c r="DE23" s="176"/>
      <c r="DF23" s="176"/>
      <c r="DG23" s="176"/>
      <c r="DH23" s="194" t="str">
        <f t="shared" si="8"/>
        <v/>
      </c>
      <c r="DI23" s="181"/>
      <c r="DJ23" s="176"/>
      <c r="DK23" s="176"/>
      <c r="DL23" s="176"/>
      <c r="DM23" s="176"/>
      <c r="DN23" s="176"/>
      <c r="DO23" s="176"/>
      <c r="DP23" s="176"/>
      <c r="DQ23" s="194" t="str">
        <f t="shared" si="117"/>
        <v/>
      </c>
      <c r="DR23" s="181"/>
      <c r="DS23" s="176"/>
      <c r="DT23" s="176"/>
      <c r="DU23" s="176"/>
      <c r="DV23" s="176"/>
      <c r="DW23" s="176"/>
      <c r="DX23" s="176"/>
      <c r="DY23" s="176"/>
      <c r="DZ23" s="194" t="str">
        <f t="shared" si="9"/>
        <v/>
      </c>
      <c r="EA23" s="181"/>
      <c r="EB23" s="176"/>
      <c r="EC23" s="176"/>
      <c r="ED23" s="176"/>
      <c r="EE23" s="176"/>
      <c r="EF23" s="176"/>
      <c r="EG23" s="176"/>
      <c r="EH23" s="176"/>
      <c r="EI23" s="194" t="str">
        <f t="shared" si="10"/>
        <v/>
      </c>
      <c r="EJ23" s="181"/>
      <c r="EK23" s="176"/>
      <c r="EL23" s="176"/>
      <c r="EM23" s="176"/>
      <c r="EN23" s="176"/>
      <c r="EO23" s="176"/>
      <c r="EP23" s="176"/>
      <c r="EQ23" s="176"/>
      <c r="ER23" s="194" t="str">
        <f t="shared" si="11"/>
        <v/>
      </c>
      <c r="ES23" s="181"/>
      <c r="ET23" s="176"/>
      <c r="EU23" s="176"/>
      <c r="EV23" s="176"/>
      <c r="EW23" s="176"/>
      <c r="EX23" s="176"/>
      <c r="EY23" s="176"/>
      <c r="EZ23" s="176"/>
      <c r="FA23" s="194" t="str">
        <f t="shared" si="12"/>
        <v/>
      </c>
      <c r="FB23" s="181"/>
      <c r="FC23" s="176"/>
      <c r="FD23" s="176"/>
      <c r="FE23" s="176"/>
      <c r="FF23" s="176"/>
      <c r="FG23" s="176"/>
      <c r="FH23" s="176"/>
      <c r="FI23" s="176"/>
      <c r="FJ23" s="194" t="str">
        <f t="shared" si="13"/>
        <v/>
      </c>
      <c r="FK23" s="181"/>
      <c r="FL23" s="176"/>
      <c r="FM23" s="176"/>
      <c r="FN23" s="176"/>
      <c r="FO23" s="176"/>
      <c r="FP23" s="176"/>
      <c r="FQ23" s="176"/>
      <c r="FR23" s="176"/>
      <c r="FS23" s="194" t="str">
        <f t="shared" si="14"/>
        <v/>
      </c>
      <c r="FT23" s="181"/>
      <c r="FU23" s="176"/>
      <c r="FV23" s="176"/>
      <c r="FW23" s="176"/>
      <c r="FX23" s="176"/>
      <c r="FY23" s="176"/>
      <c r="FZ23" s="176"/>
      <c r="GA23" s="176"/>
      <c r="GB23" s="194" t="str">
        <f t="shared" si="118"/>
        <v/>
      </c>
      <c r="GC23" s="194">
        <f t="shared" si="119"/>
        <v>88</v>
      </c>
      <c r="GD23" s="194" t="str">
        <f>IF(GC23="","",IF(GC23&gt;=KONVERSI!$A$5,KONVERSI!$D$5,IF(GC23&gt;=KONVERSI!$A$6,KONVERSI!$D$6,IF(GC23&gt;=KONVERSI!$A$7,KONVERSI!$D$7,KONVERSI!$D$8))))</f>
        <v>B</v>
      </c>
      <c r="GE23" s="194" t="str">
        <f t="shared" si="120"/>
        <v>Tuntas</v>
      </c>
      <c r="GF23" s="222"/>
      <c r="GG23" s="223">
        <f t="shared" si="15"/>
        <v>88</v>
      </c>
      <c r="GH23" s="194">
        <f t="shared" si="16"/>
        <v>0</v>
      </c>
      <c r="GI23" s="194">
        <f t="shared" si="17"/>
        <v>0</v>
      </c>
      <c r="GJ23" s="194">
        <f t="shared" si="18"/>
        <v>0</v>
      </c>
      <c r="GK23" s="194">
        <f t="shared" si="19"/>
        <v>0</v>
      </c>
      <c r="GL23" s="194">
        <f t="shared" si="20"/>
        <v>88</v>
      </c>
      <c r="GM23" s="194">
        <f t="shared" si="21"/>
        <v>0</v>
      </c>
      <c r="GN23" s="194">
        <f t="shared" si="22"/>
        <v>0</v>
      </c>
      <c r="GO23" s="194">
        <f t="shared" si="23"/>
        <v>0</v>
      </c>
      <c r="GP23" s="194">
        <f t="shared" si="24"/>
        <v>0</v>
      </c>
      <c r="GQ23" s="194">
        <f t="shared" si="25"/>
        <v>0</v>
      </c>
      <c r="GR23" s="194">
        <f t="shared" si="26"/>
        <v>0</v>
      </c>
      <c r="GS23" s="194">
        <f t="shared" si="27"/>
        <v>0</v>
      </c>
      <c r="GT23" s="194">
        <f t="shared" si="28"/>
        <v>0</v>
      </c>
      <c r="GU23" s="194">
        <f t="shared" si="29"/>
        <v>0</v>
      </c>
      <c r="GV23" s="194">
        <f t="shared" si="30"/>
        <v>0</v>
      </c>
      <c r="GW23" s="194">
        <f t="shared" si="31"/>
        <v>0</v>
      </c>
      <c r="GX23" s="194">
        <f t="shared" si="32"/>
        <v>0</v>
      </c>
      <c r="GY23" s="194">
        <f t="shared" si="33"/>
        <v>0</v>
      </c>
      <c r="GZ23" s="194">
        <f t="shared" si="34"/>
        <v>0</v>
      </c>
      <c r="HA23" s="194">
        <f t="shared" si="35"/>
        <v>0</v>
      </c>
      <c r="HB23" s="194">
        <f t="shared" si="36"/>
        <v>0</v>
      </c>
      <c r="HC23" s="194">
        <f t="shared" si="37"/>
        <v>0</v>
      </c>
      <c r="HD23" s="194">
        <f t="shared" si="38"/>
        <v>0</v>
      </c>
      <c r="HE23" s="194">
        <f t="shared" si="39"/>
        <v>0</v>
      </c>
      <c r="HF23" s="194">
        <f t="shared" si="40"/>
        <v>0</v>
      </c>
      <c r="HG23" s="194">
        <f t="shared" si="41"/>
        <v>0</v>
      </c>
      <c r="HH23" s="194">
        <f t="shared" si="42"/>
        <v>0</v>
      </c>
      <c r="HI23" s="194">
        <f t="shared" si="43"/>
        <v>0</v>
      </c>
      <c r="HJ23" s="194">
        <f t="shared" si="44"/>
        <v>0</v>
      </c>
      <c r="HK23" s="194">
        <f t="shared" si="45"/>
        <v>0</v>
      </c>
      <c r="HL23" s="194">
        <f t="shared" si="46"/>
        <v>0</v>
      </c>
      <c r="HM23" s="194">
        <f t="shared" si="47"/>
        <v>0</v>
      </c>
      <c r="HN23" s="194">
        <f t="shared" si="48"/>
        <v>0</v>
      </c>
      <c r="HO23" s="194">
        <f t="shared" si="49"/>
        <v>0</v>
      </c>
      <c r="HP23" s="194">
        <f t="shared" si="50"/>
        <v>0</v>
      </c>
      <c r="HQ23" s="194">
        <f t="shared" si="51"/>
        <v>0</v>
      </c>
      <c r="HR23" s="194">
        <f t="shared" si="52"/>
        <v>0</v>
      </c>
      <c r="HS23" s="194">
        <f t="shared" si="53"/>
        <v>0</v>
      </c>
      <c r="HT23" s="194">
        <f t="shared" si="54"/>
        <v>0</v>
      </c>
      <c r="HU23" s="194">
        <f t="shared" si="55"/>
        <v>0</v>
      </c>
      <c r="HV23" s="194">
        <f t="shared" si="56"/>
        <v>0</v>
      </c>
      <c r="HW23" s="194">
        <f t="shared" si="57"/>
        <v>0</v>
      </c>
      <c r="HX23" s="194">
        <f t="shared" si="58"/>
        <v>0</v>
      </c>
      <c r="HY23" s="194">
        <f t="shared" si="59"/>
        <v>0</v>
      </c>
      <c r="HZ23" s="194">
        <f t="shared" si="60"/>
        <v>0</v>
      </c>
      <c r="IA23" s="194">
        <f t="shared" si="61"/>
        <v>0</v>
      </c>
      <c r="IB23" s="194">
        <f t="shared" si="62"/>
        <v>0</v>
      </c>
      <c r="IC23" s="194">
        <f t="shared" si="63"/>
        <v>0</v>
      </c>
      <c r="ID23" s="194">
        <f t="shared" si="64"/>
        <v>0</v>
      </c>
      <c r="IE23" s="194">
        <f t="shared" si="65"/>
        <v>0</v>
      </c>
      <c r="IF23" s="194">
        <f t="shared" si="66"/>
        <v>0</v>
      </c>
      <c r="IG23" s="194">
        <f t="shared" si="67"/>
        <v>0</v>
      </c>
      <c r="IH23" s="194">
        <f t="shared" si="68"/>
        <v>0</v>
      </c>
      <c r="II23" s="194">
        <f t="shared" si="69"/>
        <v>0</v>
      </c>
      <c r="IJ23" s="194">
        <f t="shared" si="70"/>
        <v>0</v>
      </c>
      <c r="IK23" s="194">
        <f t="shared" si="71"/>
        <v>0</v>
      </c>
      <c r="IL23" s="194">
        <f t="shared" si="72"/>
        <v>0</v>
      </c>
      <c r="IM23" s="194">
        <f t="shared" si="73"/>
        <v>0</v>
      </c>
      <c r="IN23" s="194">
        <f t="shared" si="74"/>
        <v>0</v>
      </c>
      <c r="IO23" s="194">
        <f t="shared" si="75"/>
        <v>0</v>
      </c>
      <c r="IP23" s="194">
        <f t="shared" si="76"/>
        <v>0</v>
      </c>
      <c r="IQ23" s="194">
        <f t="shared" si="77"/>
        <v>0</v>
      </c>
      <c r="IR23" s="194">
        <f t="shared" si="78"/>
        <v>0</v>
      </c>
      <c r="IS23" s="194">
        <f t="shared" si="79"/>
        <v>0</v>
      </c>
      <c r="IT23" s="194">
        <f t="shared" si="80"/>
        <v>0</v>
      </c>
      <c r="IU23" s="194">
        <f t="shared" si="81"/>
        <v>0</v>
      </c>
      <c r="IV23" s="194">
        <f t="shared" si="82"/>
        <v>0</v>
      </c>
      <c r="IW23" s="194">
        <f t="shared" si="83"/>
        <v>0</v>
      </c>
      <c r="IX23" s="194">
        <f t="shared" si="84"/>
        <v>0</v>
      </c>
      <c r="IY23" s="194">
        <f t="shared" si="85"/>
        <v>0</v>
      </c>
      <c r="IZ23" s="194">
        <f t="shared" si="86"/>
        <v>0</v>
      </c>
      <c r="JA23" s="194">
        <f t="shared" si="87"/>
        <v>0</v>
      </c>
      <c r="JB23" s="194">
        <f t="shared" si="88"/>
        <v>0</v>
      </c>
      <c r="JC23" s="194">
        <f t="shared" si="89"/>
        <v>0</v>
      </c>
      <c r="JD23" s="194">
        <f t="shared" si="90"/>
        <v>0</v>
      </c>
      <c r="JE23" s="194">
        <f t="shared" si="91"/>
        <v>0</v>
      </c>
      <c r="JF23" s="194">
        <f t="shared" si="92"/>
        <v>0</v>
      </c>
      <c r="JG23" s="194">
        <f t="shared" si="93"/>
        <v>0</v>
      </c>
      <c r="JH23" s="194">
        <f t="shared" si="94"/>
        <v>0</v>
      </c>
      <c r="JI23" s="228">
        <v>15</v>
      </c>
      <c r="JJ23" s="229">
        <f t="shared" si="121"/>
        <v>88</v>
      </c>
      <c r="JK23" s="229">
        <f t="shared" si="122"/>
        <v>88</v>
      </c>
      <c r="JL23" s="229" t="str">
        <f t="shared" si="123"/>
        <v/>
      </c>
      <c r="JM23" s="229" t="str">
        <f t="shared" si="124"/>
        <v/>
      </c>
      <c r="JN23" s="229" t="str">
        <f t="shared" si="125"/>
        <v/>
      </c>
      <c r="JO23" s="229" t="str">
        <f t="shared" si="126"/>
        <v/>
      </c>
      <c r="JP23" s="229" t="str">
        <f t="shared" si="127"/>
        <v/>
      </c>
      <c r="JQ23" s="229" t="str">
        <f t="shared" si="128"/>
        <v/>
      </c>
      <c r="JR23" s="229" t="str">
        <f t="shared" si="129"/>
        <v/>
      </c>
      <c r="JS23" s="229" t="str">
        <f t="shared" si="130"/>
        <v/>
      </c>
      <c r="JT23" s="229" t="str">
        <f t="shared" si="131"/>
        <v/>
      </c>
      <c r="JU23" s="229" t="str">
        <f t="shared" si="132"/>
        <v/>
      </c>
      <c r="JV23" s="229" t="str">
        <f t="shared" si="133"/>
        <v/>
      </c>
      <c r="JW23" s="229" t="str">
        <f t="shared" si="134"/>
        <v/>
      </c>
      <c r="JX23" s="229" t="str">
        <f t="shared" si="135"/>
        <v/>
      </c>
      <c r="JY23" s="229" t="str">
        <f t="shared" si="136"/>
        <v/>
      </c>
      <c r="JZ23" s="229" t="str">
        <f t="shared" si="137"/>
        <v/>
      </c>
      <c r="KA23" s="229" t="str">
        <f t="shared" si="138"/>
        <v/>
      </c>
      <c r="KB23" s="229" t="str">
        <f t="shared" si="139"/>
        <v/>
      </c>
      <c r="KC23" s="229" t="str">
        <f t="shared" si="140"/>
        <v/>
      </c>
      <c r="KD23" s="231">
        <f t="shared" si="141"/>
        <v>88</v>
      </c>
      <c r="KE23" s="232" t="str">
        <f>IF(KD23="","",IF(KD23&gt;=KONVERSI!$A$5,KONVERSI!$E$12,IF(KD23&gt;=KONVERSI!$A$6,KONVERSI!$E$13,IF(KD23&gt;=KONVERSI!$A$7,KONVERSI!$E$14,KONVERSI!$E$15))))</f>
        <v>Terampil</v>
      </c>
      <c r="KF23" s="233" t="str">
        <f t="shared" si="142"/>
        <v>Terampil dalammemilih jenis, bahan dan teknik pengolahan kerang, kaca, keramik dan botol plastik sesuai dengan potensi daerah setempat</v>
      </c>
      <c r="KG23" s="234">
        <f t="shared" si="143"/>
        <v>88</v>
      </c>
      <c r="KH23" s="232" t="str">
        <f>IF(KG23="","",IF(KG23&gt;=KONVERSI!$A$5,KONVERSI!$E$12,IF(KG23&gt;=KONVERSI!$A$6,KONVERSI!$E$13,IF(KG23&gt;=KONVERSI!$A$7,KONVERSI!$E$14,KONVERSI!$E$15))))</f>
        <v>Terampil</v>
      </c>
      <c r="KI23" s="134" t="str">
        <f>IF(GC23="","",IF(GC23&lt;$GD$3," "&amp;KONVERSI!$C$19&amp;INDEX($JJ$8:$KC$8,MATCH(KG24,JJ24:KC24,0))&amp;".",IF(GC23=0,"",IF(KG23&lt;&gt;0,KF23&amp;KH23&amp;".",KF23&amp;"."))))</f>
        <v>Terampil dalammemilih jenis, bahan dan teknik pengolahan kerang, kaca, keramik dan botol plastik sesuai dengan potensi daerah setempatTerampil.</v>
      </c>
      <c r="KJ23" s="235" t="str">
        <f t="shared" si="144"/>
        <v>OK</v>
      </c>
      <c r="KK23" s="235" t="str">
        <f t="shared" si="145"/>
        <v>OK</v>
      </c>
      <c r="KL23" s="235" t="str">
        <f t="shared" si="146"/>
        <v/>
      </c>
      <c r="KM23" s="235" t="str">
        <f t="shared" si="147"/>
        <v/>
      </c>
      <c r="KN23" s="235" t="str">
        <f t="shared" si="148"/>
        <v/>
      </c>
      <c r="KO23" s="235" t="str">
        <f t="shared" si="149"/>
        <v/>
      </c>
      <c r="KP23" s="235" t="str">
        <f t="shared" si="150"/>
        <v/>
      </c>
      <c r="KQ23" s="235" t="str">
        <f t="shared" si="151"/>
        <v/>
      </c>
      <c r="KR23" s="235" t="str">
        <f t="shared" si="152"/>
        <v/>
      </c>
      <c r="KS23" s="235" t="str">
        <f t="shared" si="153"/>
        <v/>
      </c>
      <c r="KT23" s="235" t="str">
        <f t="shared" si="154"/>
        <v/>
      </c>
      <c r="KU23" s="235" t="str">
        <f t="shared" si="155"/>
        <v/>
      </c>
      <c r="KV23" s="235" t="str">
        <f t="shared" si="156"/>
        <v/>
      </c>
      <c r="KW23" s="235" t="str">
        <f t="shared" si="157"/>
        <v/>
      </c>
      <c r="KX23" s="235" t="str">
        <f t="shared" si="158"/>
        <v/>
      </c>
      <c r="KY23" s="235" t="str">
        <f t="shared" si="159"/>
        <v/>
      </c>
      <c r="KZ23" s="235" t="str">
        <f t="shared" si="160"/>
        <v/>
      </c>
      <c r="LA23" s="235" t="str">
        <f t="shared" si="161"/>
        <v/>
      </c>
      <c r="LB23" s="235" t="str">
        <f t="shared" si="162"/>
        <v/>
      </c>
      <c r="LC23" s="235" t="str">
        <f t="shared" si="163"/>
        <v/>
      </c>
      <c r="LD23" s="134" t="str">
        <f t="shared" si="164"/>
        <v>memilih jenis, bahan dan teknik pengolahan kerang, kaca, keramik dan botol plastik sesuai dengan potensi daerah setempat</v>
      </c>
      <c r="LE23" s="134" t="str">
        <f t="shared" si="164"/>
        <v>perancangan pembuatan dan penyajian kerajinan kerang, kaca, keramik dan botol plastik yang kreatif dan inovatif</v>
      </c>
      <c r="LF23" s="134" t="str">
        <f t="shared" si="164"/>
        <v/>
      </c>
      <c r="LG23" s="134" t="str">
        <f t="shared" si="164"/>
        <v/>
      </c>
      <c r="LH23" s="134" t="str">
        <f t="shared" si="164"/>
        <v/>
      </c>
      <c r="LI23" s="134" t="str">
        <f t="shared" si="164"/>
        <v/>
      </c>
      <c r="LJ23" s="134" t="str">
        <f t="shared" si="164"/>
        <v/>
      </c>
      <c r="LK23" s="134" t="str">
        <f t="shared" si="164"/>
        <v/>
      </c>
      <c r="LL23" s="134" t="str">
        <f t="shared" si="164"/>
        <v/>
      </c>
      <c r="LM23" s="134" t="str">
        <f t="shared" si="190"/>
        <v/>
      </c>
      <c r="LN23" s="134" t="str">
        <f t="shared" si="190"/>
        <v/>
      </c>
      <c r="LO23" s="134" t="str">
        <f t="shared" si="190"/>
        <v/>
      </c>
      <c r="LP23" s="134" t="str">
        <f t="shared" si="190"/>
        <v/>
      </c>
      <c r="LQ23" s="134" t="str">
        <f t="shared" si="190"/>
        <v/>
      </c>
      <c r="LR23" s="134" t="str">
        <f t="shared" si="190"/>
        <v/>
      </c>
      <c r="LS23" s="134" t="str">
        <f t="shared" si="190"/>
        <v/>
      </c>
      <c r="LT23" s="134" t="str">
        <f t="shared" si="190"/>
        <v/>
      </c>
      <c r="LU23" s="134" t="str">
        <f t="shared" si="190"/>
        <v/>
      </c>
      <c r="LV23" s="134" t="str">
        <f t="shared" si="190"/>
        <v/>
      </c>
      <c r="LW23" s="134" t="str">
        <f t="shared" si="190"/>
        <v/>
      </c>
      <c r="LX23" s="134" t="str">
        <f t="shared" si="165"/>
        <v>Terampil dalam memilih jenis, bahan dan teknik pengolahan kerang, kaca, keramik dan botol plastik sesuai dengan potensi daerah setempatperancangan pembuatan dan penyajian kerajinan kerang, kaca, keramik dan botol plastik yang kreatif dan inovatif</v>
      </c>
      <c r="LY23" s="134" t="str">
        <f t="shared" si="166"/>
        <v>Terampil dalam memilih jenis, bahan dan teknik pengolahan kerang, kaca, keramik dan botol plastik sesuai dengan potensi daerah setempatperancangan pembuatan dan penyajian kerajinan kerang, kaca, keramik dan botol plastik yang kreatif dan inovati.  </v>
      </c>
      <c r="LZ23" s="236">
        <f t="shared" si="97"/>
        <v>2</v>
      </c>
      <c r="MA23" s="235" t="str">
        <f t="shared" si="167"/>
        <v>OK</v>
      </c>
      <c r="MB23" s="235" t="str">
        <f t="shared" si="168"/>
        <v>OK</v>
      </c>
      <c r="MC23" s="235" t="str">
        <f t="shared" si="169"/>
        <v/>
      </c>
      <c r="MD23" s="235" t="str">
        <f t="shared" si="170"/>
        <v/>
      </c>
      <c r="ME23" s="235" t="str">
        <f t="shared" si="171"/>
        <v/>
      </c>
      <c r="MF23" s="235" t="str">
        <f t="shared" si="172"/>
        <v/>
      </c>
      <c r="MG23" s="235" t="str">
        <f t="shared" si="173"/>
        <v/>
      </c>
      <c r="MH23" s="235" t="str">
        <f t="shared" si="174"/>
        <v/>
      </c>
      <c r="MI23" s="235" t="str">
        <f t="shared" si="175"/>
        <v/>
      </c>
      <c r="MJ23" s="235" t="str">
        <f t="shared" si="176"/>
        <v/>
      </c>
      <c r="MK23" s="235" t="str">
        <f t="shared" si="177"/>
        <v/>
      </c>
      <c r="ML23" s="235" t="str">
        <f t="shared" si="178"/>
        <v/>
      </c>
      <c r="MM23" s="235" t="str">
        <f t="shared" si="179"/>
        <v/>
      </c>
      <c r="MN23" s="235" t="str">
        <f t="shared" si="180"/>
        <v/>
      </c>
      <c r="MO23" s="235" t="str">
        <f t="shared" si="181"/>
        <v/>
      </c>
      <c r="MP23" s="235" t="str">
        <f t="shared" si="182"/>
        <v/>
      </c>
      <c r="MQ23" s="235" t="str">
        <f t="shared" si="183"/>
        <v/>
      </c>
      <c r="MR23" s="235" t="str">
        <f t="shared" si="184"/>
        <v/>
      </c>
      <c r="MS23" s="235" t="str">
        <f t="shared" si="185"/>
        <v/>
      </c>
      <c r="MT23" s="235" t="str">
        <f t="shared" si="186"/>
        <v/>
      </c>
      <c r="MU23" s="134" t="str">
        <f t="shared" si="187"/>
        <v>memilih jenis, bahan dan teknik pengolahan kerang, kaca, keramik dan botol plastik sesuai dengan potensi daerah setempat</v>
      </c>
      <c r="MV23" s="134" t="str">
        <f t="shared" si="187"/>
        <v>perancangan pembuatan dan penyajian kerajinan kerang, kaca, keramik dan botol plastik yang kreatif dan inovatif</v>
      </c>
      <c r="MW23" s="134" t="str">
        <f t="shared" si="187"/>
        <v/>
      </c>
      <c r="MX23" s="134" t="str">
        <f t="shared" si="187"/>
        <v/>
      </c>
      <c r="MY23" s="134" t="str">
        <f t="shared" si="187"/>
        <v/>
      </c>
      <c r="MZ23" s="134" t="str">
        <f t="shared" si="187"/>
        <v/>
      </c>
      <c r="NA23" s="134" t="str">
        <f t="shared" si="187"/>
        <v/>
      </c>
      <c r="NB23" s="134" t="str">
        <f t="shared" si="187"/>
        <v/>
      </c>
      <c r="NC23" s="134" t="str">
        <f t="shared" si="187"/>
        <v/>
      </c>
      <c r="ND23" s="134" t="str">
        <f t="shared" si="191"/>
        <v/>
      </c>
      <c r="NE23" s="134" t="str">
        <f t="shared" si="191"/>
        <v/>
      </c>
      <c r="NF23" s="134" t="str">
        <f t="shared" si="191"/>
        <v/>
      </c>
      <c r="NG23" s="134" t="str">
        <f t="shared" si="191"/>
        <v/>
      </c>
      <c r="NH23" s="134" t="str">
        <f t="shared" si="191"/>
        <v/>
      </c>
      <c r="NI23" s="134" t="str">
        <f t="shared" si="191"/>
        <v/>
      </c>
      <c r="NJ23" s="134" t="str">
        <f t="shared" si="191"/>
        <v/>
      </c>
      <c r="NK23" s="134" t="str">
        <f t="shared" si="191"/>
        <v/>
      </c>
      <c r="NL23" s="134" t="str">
        <f t="shared" si="191"/>
        <v/>
      </c>
      <c r="NM23" s="134" t="str">
        <f t="shared" si="191"/>
        <v/>
      </c>
      <c r="NN23" s="134" t="str">
        <f t="shared" si="191"/>
        <v/>
      </c>
      <c r="NO23" s="134" t="str">
        <f>IF(KE23=KH23,"",IF(KG23="","",IF(KG23&gt;=KONVERSI!$A$14,'KI4'!KH23&amp;" dalam"&amp;MU23&amp;MV23&amp;MW23&amp;MX23&amp;MY23&amp;MZ23&amp;NA23&amp;NB23&amp;NC23&amp;ND23&amp;NE23&amp;NF23&amp;NG23&amp;NH23&amp;NI23&amp;NJ23&amp;NK23&amp;NL23&amp;NM23&amp;NN23,KONVERSI!$C$19&amp;" dalam"&amp;MU23&amp;MV23&amp;MW23&amp;MX23&amp;MY23&amp;MZ23&amp;NA23&amp;NB23&amp;NC23&amp;ND23&amp;NE23&amp;NF23&amp;NG23&amp;NH23&amp;NI23&amp;NJ23&amp;NK23&amp;NL23&amp;NM23&amp;NN23)))</f>
        <v/>
      </c>
      <c r="NP23" s="134" t="str">
        <f t="shared" si="188"/>
        <v/>
      </c>
      <c r="NQ23" s="236">
        <f t="shared" si="111"/>
        <v>2</v>
      </c>
      <c r="NR23" s="134" t="str">
        <f t="shared" si="189"/>
        <v>Terampil dalam memilih jenis, bahan dan teknik pengolahan kerang, kaca, keramik dan botol plastik sesuai dengan potensi daerah setempatperancangan pembuatan dan penyajian kerajinan kerang, kaca, keramik dan botol plastik yang kreatif dan inovati.  </v>
      </c>
    </row>
    <row r="24" ht="27.6" customHeight="1" spans="1:382">
      <c r="A24" s="179"/>
      <c r="B24" s="177">
        <v>16</v>
      </c>
      <c r="C24" s="178" t="str">
        <f>siswa!C20</f>
        <v>MAWARNI ZAI</v>
      </c>
      <c r="D24" s="174">
        <f>siswa!D20</f>
        <v>2795</v>
      </c>
      <c r="E24" s="175">
        <v>86</v>
      </c>
      <c r="F24" s="176"/>
      <c r="G24" s="176"/>
      <c r="H24" s="176"/>
      <c r="I24" s="176"/>
      <c r="J24" s="176"/>
      <c r="K24" s="176"/>
      <c r="L24" s="176"/>
      <c r="M24" s="194">
        <f t="shared" si="2"/>
        <v>86</v>
      </c>
      <c r="N24" s="176"/>
      <c r="O24" s="176"/>
      <c r="P24" s="175">
        <v>86</v>
      </c>
      <c r="Q24" s="176"/>
      <c r="R24" s="176"/>
      <c r="S24" s="176"/>
      <c r="T24" s="176"/>
      <c r="U24" s="176"/>
      <c r="V24" s="194">
        <f t="shared" si="3"/>
        <v>86</v>
      </c>
      <c r="W24" s="176"/>
      <c r="X24" s="176"/>
      <c r="Y24" s="176"/>
      <c r="Z24" s="176"/>
      <c r="AA24" s="176"/>
      <c r="AB24" s="176"/>
      <c r="AC24" s="176"/>
      <c r="AD24" s="176"/>
      <c r="AE24" s="194" t="str">
        <f t="shared" si="4"/>
        <v/>
      </c>
      <c r="AF24" s="176"/>
      <c r="AG24" s="176"/>
      <c r="AH24" s="176"/>
      <c r="AI24" s="176"/>
      <c r="AJ24" s="176"/>
      <c r="AK24" s="176"/>
      <c r="AL24" s="176"/>
      <c r="AM24" s="176"/>
      <c r="AN24" s="194" t="str">
        <f t="shared" si="5"/>
        <v/>
      </c>
      <c r="AO24" s="181"/>
      <c r="AP24" s="176"/>
      <c r="AQ24" s="176"/>
      <c r="AR24" s="176"/>
      <c r="AS24" s="176"/>
      <c r="AT24" s="176"/>
      <c r="AU24" s="176"/>
      <c r="AV24" s="176"/>
      <c r="AW24" s="194" t="str">
        <f t="shared" si="112"/>
        <v/>
      </c>
      <c r="AX24" s="181"/>
      <c r="AY24" s="176"/>
      <c r="AZ24" s="176"/>
      <c r="BA24" s="176"/>
      <c r="BB24" s="176"/>
      <c r="BC24" s="176"/>
      <c r="BD24" s="176"/>
      <c r="BE24" s="176"/>
      <c r="BF24" s="194" t="str">
        <f t="shared" si="6"/>
        <v/>
      </c>
      <c r="BG24" s="181"/>
      <c r="BH24" s="176"/>
      <c r="BI24" s="176"/>
      <c r="BJ24" s="176"/>
      <c r="BK24" s="176"/>
      <c r="BL24" s="176"/>
      <c r="BM24" s="176"/>
      <c r="BN24" s="176"/>
      <c r="BO24" s="194" t="str">
        <f t="shared" si="113"/>
        <v/>
      </c>
      <c r="BP24" s="181"/>
      <c r="BQ24" s="176"/>
      <c r="BR24" s="176"/>
      <c r="BS24" s="176"/>
      <c r="BT24" s="176"/>
      <c r="BU24" s="176"/>
      <c r="BV24" s="176"/>
      <c r="BW24" s="176"/>
      <c r="BX24" s="194" t="str">
        <f t="shared" si="114"/>
        <v/>
      </c>
      <c r="BY24" s="181"/>
      <c r="BZ24" s="176"/>
      <c r="CA24" s="176"/>
      <c r="CB24" s="176"/>
      <c r="CC24" s="176"/>
      <c r="CD24" s="176"/>
      <c r="CE24" s="176"/>
      <c r="CF24" s="176"/>
      <c r="CG24" s="194" t="str">
        <f t="shared" si="115"/>
        <v/>
      </c>
      <c r="CH24" s="181"/>
      <c r="CI24" s="176"/>
      <c r="CJ24" s="176"/>
      <c r="CK24" s="176"/>
      <c r="CL24" s="176"/>
      <c r="CM24" s="176"/>
      <c r="CN24" s="176"/>
      <c r="CO24" s="176"/>
      <c r="CP24" s="194" t="str">
        <f t="shared" si="7"/>
        <v/>
      </c>
      <c r="CQ24" s="181"/>
      <c r="CR24" s="176"/>
      <c r="CS24" s="176"/>
      <c r="CT24" s="176"/>
      <c r="CU24" s="176"/>
      <c r="CV24" s="176"/>
      <c r="CW24" s="176"/>
      <c r="CX24" s="176"/>
      <c r="CY24" s="194" t="str">
        <f t="shared" si="116"/>
        <v/>
      </c>
      <c r="CZ24" s="181"/>
      <c r="DA24" s="176"/>
      <c r="DB24" s="176"/>
      <c r="DC24" s="176"/>
      <c r="DD24" s="176"/>
      <c r="DE24" s="176"/>
      <c r="DF24" s="176"/>
      <c r="DG24" s="176"/>
      <c r="DH24" s="194" t="str">
        <f t="shared" si="8"/>
        <v/>
      </c>
      <c r="DI24" s="181"/>
      <c r="DJ24" s="176"/>
      <c r="DK24" s="176"/>
      <c r="DL24" s="176"/>
      <c r="DM24" s="176"/>
      <c r="DN24" s="176"/>
      <c r="DO24" s="176"/>
      <c r="DP24" s="176"/>
      <c r="DQ24" s="194" t="str">
        <f t="shared" si="117"/>
        <v/>
      </c>
      <c r="DR24" s="181"/>
      <c r="DS24" s="176"/>
      <c r="DT24" s="176"/>
      <c r="DU24" s="176"/>
      <c r="DV24" s="176"/>
      <c r="DW24" s="176"/>
      <c r="DX24" s="176"/>
      <c r="DY24" s="176"/>
      <c r="DZ24" s="194" t="str">
        <f t="shared" si="9"/>
        <v/>
      </c>
      <c r="EA24" s="181"/>
      <c r="EB24" s="176"/>
      <c r="EC24" s="176"/>
      <c r="ED24" s="176"/>
      <c r="EE24" s="176"/>
      <c r="EF24" s="176"/>
      <c r="EG24" s="176"/>
      <c r="EH24" s="176"/>
      <c r="EI24" s="194" t="str">
        <f t="shared" si="10"/>
        <v/>
      </c>
      <c r="EJ24" s="181"/>
      <c r="EK24" s="176"/>
      <c r="EL24" s="176"/>
      <c r="EM24" s="176"/>
      <c r="EN24" s="176"/>
      <c r="EO24" s="176"/>
      <c r="EP24" s="176"/>
      <c r="EQ24" s="176"/>
      <c r="ER24" s="194" t="str">
        <f t="shared" si="11"/>
        <v/>
      </c>
      <c r="ES24" s="181"/>
      <c r="ET24" s="176"/>
      <c r="EU24" s="176"/>
      <c r="EV24" s="176"/>
      <c r="EW24" s="176"/>
      <c r="EX24" s="176"/>
      <c r="EY24" s="176"/>
      <c r="EZ24" s="176"/>
      <c r="FA24" s="194" t="str">
        <f t="shared" si="12"/>
        <v/>
      </c>
      <c r="FB24" s="181"/>
      <c r="FC24" s="176"/>
      <c r="FD24" s="176"/>
      <c r="FE24" s="176"/>
      <c r="FF24" s="176"/>
      <c r="FG24" s="176"/>
      <c r="FH24" s="176"/>
      <c r="FI24" s="176"/>
      <c r="FJ24" s="194" t="str">
        <f t="shared" si="13"/>
        <v/>
      </c>
      <c r="FK24" s="181"/>
      <c r="FL24" s="176"/>
      <c r="FM24" s="176"/>
      <c r="FN24" s="176"/>
      <c r="FO24" s="176"/>
      <c r="FP24" s="176"/>
      <c r="FQ24" s="176"/>
      <c r="FR24" s="176"/>
      <c r="FS24" s="194" t="str">
        <f t="shared" si="14"/>
        <v/>
      </c>
      <c r="FT24" s="181"/>
      <c r="FU24" s="176"/>
      <c r="FV24" s="176"/>
      <c r="FW24" s="176"/>
      <c r="FX24" s="176"/>
      <c r="FY24" s="176"/>
      <c r="FZ24" s="176"/>
      <c r="GA24" s="176"/>
      <c r="GB24" s="194" t="str">
        <f t="shared" si="118"/>
        <v/>
      </c>
      <c r="GC24" s="194">
        <f t="shared" si="119"/>
        <v>86</v>
      </c>
      <c r="GD24" s="194" t="str">
        <f>IF(GC24="","",IF(GC24&gt;=KONVERSI!$A$5,KONVERSI!$D$5,IF(GC24&gt;=KONVERSI!$A$6,KONVERSI!$D$6,IF(GC24&gt;=KONVERSI!$A$7,KONVERSI!$D$7,KONVERSI!$D$8))))</f>
        <v>B</v>
      </c>
      <c r="GE24" s="194" t="str">
        <f t="shared" si="120"/>
        <v>Tuntas</v>
      </c>
      <c r="GF24" s="222"/>
      <c r="GG24" s="223">
        <f t="shared" si="15"/>
        <v>86</v>
      </c>
      <c r="GH24" s="194">
        <f t="shared" si="16"/>
        <v>0</v>
      </c>
      <c r="GI24" s="194">
        <f t="shared" si="17"/>
        <v>0</v>
      </c>
      <c r="GJ24" s="194">
        <f t="shared" si="18"/>
        <v>0</v>
      </c>
      <c r="GK24" s="194">
        <f t="shared" si="19"/>
        <v>0</v>
      </c>
      <c r="GL24" s="194">
        <f t="shared" si="20"/>
        <v>86</v>
      </c>
      <c r="GM24" s="194">
        <f t="shared" si="21"/>
        <v>0</v>
      </c>
      <c r="GN24" s="194">
        <f t="shared" si="22"/>
        <v>0</v>
      </c>
      <c r="GO24" s="194">
        <f t="shared" si="23"/>
        <v>0</v>
      </c>
      <c r="GP24" s="194">
        <f t="shared" si="24"/>
        <v>0</v>
      </c>
      <c r="GQ24" s="194">
        <f t="shared" si="25"/>
        <v>0</v>
      </c>
      <c r="GR24" s="194">
        <f t="shared" si="26"/>
        <v>0</v>
      </c>
      <c r="GS24" s="194">
        <f t="shared" si="27"/>
        <v>0</v>
      </c>
      <c r="GT24" s="194">
        <f t="shared" si="28"/>
        <v>0</v>
      </c>
      <c r="GU24" s="194">
        <f t="shared" si="29"/>
        <v>0</v>
      </c>
      <c r="GV24" s="194">
        <f t="shared" si="30"/>
        <v>0</v>
      </c>
      <c r="GW24" s="194">
        <f t="shared" si="31"/>
        <v>0</v>
      </c>
      <c r="GX24" s="194">
        <f t="shared" si="32"/>
        <v>0</v>
      </c>
      <c r="GY24" s="194">
        <f t="shared" si="33"/>
        <v>0</v>
      </c>
      <c r="GZ24" s="194">
        <f t="shared" si="34"/>
        <v>0</v>
      </c>
      <c r="HA24" s="194">
        <f t="shared" si="35"/>
        <v>0</v>
      </c>
      <c r="HB24" s="194">
        <f t="shared" si="36"/>
        <v>0</v>
      </c>
      <c r="HC24" s="194">
        <f t="shared" si="37"/>
        <v>0</v>
      </c>
      <c r="HD24" s="194">
        <f t="shared" si="38"/>
        <v>0</v>
      </c>
      <c r="HE24" s="194">
        <f t="shared" si="39"/>
        <v>0</v>
      </c>
      <c r="HF24" s="194">
        <f t="shared" si="40"/>
        <v>0</v>
      </c>
      <c r="HG24" s="194">
        <f t="shared" si="41"/>
        <v>0</v>
      </c>
      <c r="HH24" s="194">
        <f t="shared" si="42"/>
        <v>0</v>
      </c>
      <c r="HI24" s="194">
        <f t="shared" si="43"/>
        <v>0</v>
      </c>
      <c r="HJ24" s="194">
        <f t="shared" si="44"/>
        <v>0</v>
      </c>
      <c r="HK24" s="194">
        <f t="shared" si="45"/>
        <v>0</v>
      </c>
      <c r="HL24" s="194">
        <f t="shared" si="46"/>
        <v>0</v>
      </c>
      <c r="HM24" s="194">
        <f t="shared" si="47"/>
        <v>0</v>
      </c>
      <c r="HN24" s="194">
        <f t="shared" si="48"/>
        <v>0</v>
      </c>
      <c r="HO24" s="194">
        <f t="shared" si="49"/>
        <v>0</v>
      </c>
      <c r="HP24" s="194">
        <f t="shared" si="50"/>
        <v>0</v>
      </c>
      <c r="HQ24" s="194">
        <f t="shared" si="51"/>
        <v>0</v>
      </c>
      <c r="HR24" s="194">
        <f t="shared" si="52"/>
        <v>0</v>
      </c>
      <c r="HS24" s="194">
        <f t="shared" si="53"/>
        <v>0</v>
      </c>
      <c r="HT24" s="194">
        <f t="shared" si="54"/>
        <v>0</v>
      </c>
      <c r="HU24" s="194">
        <f t="shared" si="55"/>
        <v>0</v>
      </c>
      <c r="HV24" s="194">
        <f t="shared" si="56"/>
        <v>0</v>
      </c>
      <c r="HW24" s="194">
        <f t="shared" si="57"/>
        <v>0</v>
      </c>
      <c r="HX24" s="194">
        <f t="shared" si="58"/>
        <v>0</v>
      </c>
      <c r="HY24" s="194">
        <f t="shared" si="59"/>
        <v>0</v>
      </c>
      <c r="HZ24" s="194">
        <f t="shared" si="60"/>
        <v>0</v>
      </c>
      <c r="IA24" s="194">
        <f t="shared" si="61"/>
        <v>0</v>
      </c>
      <c r="IB24" s="194">
        <f t="shared" si="62"/>
        <v>0</v>
      </c>
      <c r="IC24" s="194">
        <f t="shared" si="63"/>
        <v>0</v>
      </c>
      <c r="ID24" s="194">
        <f t="shared" si="64"/>
        <v>0</v>
      </c>
      <c r="IE24" s="194">
        <f t="shared" si="65"/>
        <v>0</v>
      </c>
      <c r="IF24" s="194">
        <f t="shared" si="66"/>
        <v>0</v>
      </c>
      <c r="IG24" s="194">
        <f t="shared" si="67"/>
        <v>0</v>
      </c>
      <c r="IH24" s="194">
        <f t="shared" si="68"/>
        <v>0</v>
      </c>
      <c r="II24" s="194">
        <f t="shared" si="69"/>
        <v>0</v>
      </c>
      <c r="IJ24" s="194">
        <f t="shared" si="70"/>
        <v>0</v>
      </c>
      <c r="IK24" s="194">
        <f t="shared" si="71"/>
        <v>0</v>
      </c>
      <c r="IL24" s="194">
        <f t="shared" si="72"/>
        <v>0</v>
      </c>
      <c r="IM24" s="194">
        <f t="shared" si="73"/>
        <v>0</v>
      </c>
      <c r="IN24" s="194">
        <f t="shared" si="74"/>
        <v>0</v>
      </c>
      <c r="IO24" s="194">
        <f t="shared" si="75"/>
        <v>0</v>
      </c>
      <c r="IP24" s="194">
        <f t="shared" si="76"/>
        <v>0</v>
      </c>
      <c r="IQ24" s="194">
        <f t="shared" si="77"/>
        <v>0</v>
      </c>
      <c r="IR24" s="194">
        <f t="shared" si="78"/>
        <v>0</v>
      </c>
      <c r="IS24" s="194">
        <f t="shared" si="79"/>
        <v>0</v>
      </c>
      <c r="IT24" s="194">
        <f t="shared" si="80"/>
        <v>0</v>
      </c>
      <c r="IU24" s="194">
        <f t="shared" si="81"/>
        <v>0</v>
      </c>
      <c r="IV24" s="194">
        <f t="shared" si="82"/>
        <v>0</v>
      </c>
      <c r="IW24" s="194">
        <f t="shared" si="83"/>
        <v>0</v>
      </c>
      <c r="IX24" s="194">
        <f t="shared" si="84"/>
        <v>0</v>
      </c>
      <c r="IY24" s="194">
        <f t="shared" si="85"/>
        <v>0</v>
      </c>
      <c r="IZ24" s="194">
        <f t="shared" si="86"/>
        <v>0</v>
      </c>
      <c r="JA24" s="194">
        <f t="shared" si="87"/>
        <v>0</v>
      </c>
      <c r="JB24" s="194">
        <f t="shared" si="88"/>
        <v>0</v>
      </c>
      <c r="JC24" s="194">
        <f t="shared" si="89"/>
        <v>0</v>
      </c>
      <c r="JD24" s="194">
        <f t="shared" si="90"/>
        <v>0</v>
      </c>
      <c r="JE24" s="194">
        <f t="shared" si="91"/>
        <v>0</v>
      </c>
      <c r="JF24" s="194">
        <f t="shared" si="92"/>
        <v>0</v>
      </c>
      <c r="JG24" s="194">
        <f t="shared" si="93"/>
        <v>0</v>
      </c>
      <c r="JH24" s="194">
        <f t="shared" si="94"/>
        <v>0</v>
      </c>
      <c r="JI24" s="228">
        <v>16</v>
      </c>
      <c r="JJ24" s="229">
        <f t="shared" si="121"/>
        <v>86</v>
      </c>
      <c r="JK24" s="229">
        <f t="shared" si="122"/>
        <v>86</v>
      </c>
      <c r="JL24" s="229" t="str">
        <f t="shared" si="123"/>
        <v/>
      </c>
      <c r="JM24" s="229" t="str">
        <f t="shared" si="124"/>
        <v/>
      </c>
      <c r="JN24" s="229" t="str">
        <f t="shared" si="125"/>
        <v/>
      </c>
      <c r="JO24" s="229" t="str">
        <f t="shared" si="126"/>
        <v/>
      </c>
      <c r="JP24" s="229" t="str">
        <f t="shared" si="127"/>
        <v/>
      </c>
      <c r="JQ24" s="229" t="str">
        <f t="shared" si="128"/>
        <v/>
      </c>
      <c r="JR24" s="229" t="str">
        <f t="shared" si="129"/>
        <v/>
      </c>
      <c r="JS24" s="229" t="str">
        <f t="shared" si="130"/>
        <v/>
      </c>
      <c r="JT24" s="229" t="str">
        <f t="shared" si="131"/>
        <v/>
      </c>
      <c r="JU24" s="229" t="str">
        <f t="shared" si="132"/>
        <v/>
      </c>
      <c r="JV24" s="229" t="str">
        <f t="shared" si="133"/>
        <v/>
      </c>
      <c r="JW24" s="229" t="str">
        <f t="shared" si="134"/>
        <v/>
      </c>
      <c r="JX24" s="229" t="str">
        <f t="shared" si="135"/>
        <v/>
      </c>
      <c r="JY24" s="229" t="str">
        <f t="shared" si="136"/>
        <v/>
      </c>
      <c r="JZ24" s="229" t="str">
        <f t="shared" si="137"/>
        <v/>
      </c>
      <c r="KA24" s="229" t="str">
        <f t="shared" si="138"/>
        <v/>
      </c>
      <c r="KB24" s="229" t="str">
        <f t="shared" si="139"/>
        <v/>
      </c>
      <c r="KC24" s="229" t="str">
        <f t="shared" si="140"/>
        <v/>
      </c>
      <c r="KD24" s="231">
        <f t="shared" si="141"/>
        <v>86</v>
      </c>
      <c r="KE24" s="232" t="str">
        <f>IF(KD24="","",IF(KD24&gt;=KONVERSI!$A$5,KONVERSI!$E$12,IF(KD24&gt;=KONVERSI!$A$6,KONVERSI!$E$13,IF(KD24&gt;=KONVERSI!$A$7,KONVERSI!$E$14,KONVERSI!$E$15))))</f>
        <v>Terampil</v>
      </c>
      <c r="KF24" s="233" t="str">
        <f t="shared" si="142"/>
        <v>Terampil dalammemilih jenis, bahan dan teknik pengolahan kerang, kaca, keramik dan botol plastik sesuai dengan potensi daerah setempat</v>
      </c>
      <c r="KG24" s="234">
        <f t="shared" si="143"/>
        <v>86</v>
      </c>
      <c r="KH24" s="232" t="str">
        <f>IF(KG24="","",IF(KG24&gt;=KONVERSI!$A$5,KONVERSI!$E$12,IF(KG24&gt;=KONVERSI!$A$6,KONVERSI!$E$13,IF(KG24&gt;=KONVERSI!$A$7,KONVERSI!$E$14,KONVERSI!$E$15))))</f>
        <v>Terampil</v>
      </c>
      <c r="KI24" s="134" t="str">
        <f>IF(GC24="","",IF(GC24&lt;$GD$3," "&amp;KONVERSI!$C$19&amp;INDEX($JJ$8:$KC$8,MATCH(KG25,JJ25:KC25,0))&amp;".",IF(GC24=0,"",IF(KG24&lt;&gt;0,KF24&amp;KH24&amp;".",KF24&amp;"."))))</f>
        <v>Terampil dalammemilih jenis, bahan dan teknik pengolahan kerang, kaca, keramik dan botol plastik sesuai dengan potensi daerah setempatTerampil.</v>
      </c>
      <c r="KJ24" s="235" t="str">
        <f t="shared" si="144"/>
        <v>OK</v>
      </c>
      <c r="KK24" s="235" t="str">
        <f t="shared" si="145"/>
        <v>OK</v>
      </c>
      <c r="KL24" s="235" t="str">
        <f t="shared" si="146"/>
        <v/>
      </c>
      <c r="KM24" s="235" t="str">
        <f t="shared" si="147"/>
        <v/>
      </c>
      <c r="KN24" s="235" t="str">
        <f t="shared" si="148"/>
        <v/>
      </c>
      <c r="KO24" s="235" t="str">
        <f t="shared" si="149"/>
        <v/>
      </c>
      <c r="KP24" s="235" t="str">
        <f t="shared" si="150"/>
        <v/>
      </c>
      <c r="KQ24" s="235" t="str">
        <f t="shared" si="151"/>
        <v/>
      </c>
      <c r="KR24" s="235" t="str">
        <f t="shared" si="152"/>
        <v/>
      </c>
      <c r="KS24" s="235" t="str">
        <f t="shared" si="153"/>
        <v/>
      </c>
      <c r="KT24" s="235" t="str">
        <f t="shared" si="154"/>
        <v/>
      </c>
      <c r="KU24" s="235" t="str">
        <f t="shared" si="155"/>
        <v/>
      </c>
      <c r="KV24" s="235" t="str">
        <f t="shared" si="156"/>
        <v/>
      </c>
      <c r="KW24" s="235" t="str">
        <f t="shared" si="157"/>
        <v/>
      </c>
      <c r="KX24" s="235" t="str">
        <f t="shared" si="158"/>
        <v/>
      </c>
      <c r="KY24" s="235" t="str">
        <f t="shared" si="159"/>
        <v/>
      </c>
      <c r="KZ24" s="235" t="str">
        <f t="shared" si="160"/>
        <v/>
      </c>
      <c r="LA24" s="235" t="str">
        <f t="shared" si="161"/>
        <v/>
      </c>
      <c r="LB24" s="235" t="str">
        <f t="shared" si="162"/>
        <v/>
      </c>
      <c r="LC24" s="235" t="str">
        <f t="shared" si="163"/>
        <v/>
      </c>
      <c r="LD24" s="134" t="str">
        <f t="shared" si="164"/>
        <v>memilih jenis, bahan dan teknik pengolahan kerang, kaca, keramik dan botol plastik sesuai dengan potensi daerah setempat</v>
      </c>
      <c r="LE24" s="134" t="str">
        <f t="shared" si="164"/>
        <v>perancangan pembuatan dan penyajian kerajinan kerang, kaca, keramik dan botol plastik yang kreatif dan inovatif</v>
      </c>
      <c r="LF24" s="134" t="str">
        <f t="shared" si="164"/>
        <v/>
      </c>
      <c r="LG24" s="134" t="str">
        <f t="shared" si="164"/>
        <v/>
      </c>
      <c r="LH24" s="134" t="str">
        <f t="shared" si="164"/>
        <v/>
      </c>
      <c r="LI24" s="134" t="str">
        <f t="shared" si="164"/>
        <v/>
      </c>
      <c r="LJ24" s="134" t="str">
        <f t="shared" si="164"/>
        <v/>
      </c>
      <c r="LK24" s="134" t="str">
        <f t="shared" si="164"/>
        <v/>
      </c>
      <c r="LL24" s="134" t="str">
        <f t="shared" si="164"/>
        <v/>
      </c>
      <c r="LM24" s="134" t="str">
        <f t="shared" si="190"/>
        <v/>
      </c>
      <c r="LN24" s="134" t="str">
        <f t="shared" si="190"/>
        <v/>
      </c>
      <c r="LO24" s="134" t="str">
        <f t="shared" si="190"/>
        <v/>
      </c>
      <c r="LP24" s="134" t="str">
        <f t="shared" si="190"/>
        <v/>
      </c>
      <c r="LQ24" s="134" t="str">
        <f t="shared" si="190"/>
        <v/>
      </c>
      <c r="LR24" s="134" t="str">
        <f t="shared" si="190"/>
        <v/>
      </c>
      <c r="LS24" s="134" t="str">
        <f t="shared" si="190"/>
        <v/>
      </c>
      <c r="LT24" s="134" t="str">
        <f t="shared" si="190"/>
        <v/>
      </c>
      <c r="LU24" s="134" t="str">
        <f t="shared" si="190"/>
        <v/>
      </c>
      <c r="LV24" s="134" t="str">
        <f t="shared" si="190"/>
        <v/>
      </c>
      <c r="LW24" s="134" t="str">
        <f t="shared" si="190"/>
        <v/>
      </c>
      <c r="LX24" s="134" t="str">
        <f t="shared" si="165"/>
        <v>Terampil dalam memilih jenis, bahan dan teknik pengolahan kerang, kaca, keramik dan botol plastik sesuai dengan potensi daerah setempatperancangan pembuatan dan penyajian kerajinan kerang, kaca, keramik dan botol plastik yang kreatif dan inovatif</v>
      </c>
      <c r="LY24" s="134" t="str">
        <f t="shared" si="166"/>
        <v>Terampil dalam memilih jenis, bahan dan teknik pengolahan kerang, kaca, keramik dan botol plastik sesuai dengan potensi daerah setempatperancangan pembuatan dan penyajian kerajinan kerang, kaca, keramik dan botol plastik yang kreatif dan inovati.  </v>
      </c>
      <c r="LZ24" s="236">
        <f t="shared" si="97"/>
        <v>2</v>
      </c>
      <c r="MA24" s="235" t="str">
        <f t="shared" si="167"/>
        <v>OK</v>
      </c>
      <c r="MB24" s="235" t="str">
        <f t="shared" si="168"/>
        <v>OK</v>
      </c>
      <c r="MC24" s="235" t="str">
        <f t="shared" si="169"/>
        <v/>
      </c>
      <c r="MD24" s="235" t="str">
        <f t="shared" si="170"/>
        <v/>
      </c>
      <c r="ME24" s="235" t="str">
        <f t="shared" si="171"/>
        <v/>
      </c>
      <c r="MF24" s="235" t="str">
        <f t="shared" si="172"/>
        <v/>
      </c>
      <c r="MG24" s="235" t="str">
        <f t="shared" si="173"/>
        <v/>
      </c>
      <c r="MH24" s="235" t="str">
        <f t="shared" si="174"/>
        <v/>
      </c>
      <c r="MI24" s="235" t="str">
        <f t="shared" si="175"/>
        <v/>
      </c>
      <c r="MJ24" s="235" t="str">
        <f t="shared" si="176"/>
        <v/>
      </c>
      <c r="MK24" s="235" t="str">
        <f t="shared" si="177"/>
        <v/>
      </c>
      <c r="ML24" s="235" t="str">
        <f t="shared" si="178"/>
        <v/>
      </c>
      <c r="MM24" s="235" t="str">
        <f t="shared" si="179"/>
        <v/>
      </c>
      <c r="MN24" s="235" t="str">
        <f t="shared" si="180"/>
        <v/>
      </c>
      <c r="MO24" s="235" t="str">
        <f t="shared" si="181"/>
        <v/>
      </c>
      <c r="MP24" s="235" t="str">
        <f t="shared" si="182"/>
        <v/>
      </c>
      <c r="MQ24" s="235" t="str">
        <f t="shared" si="183"/>
        <v/>
      </c>
      <c r="MR24" s="235" t="str">
        <f t="shared" si="184"/>
        <v/>
      </c>
      <c r="MS24" s="235" t="str">
        <f t="shared" si="185"/>
        <v/>
      </c>
      <c r="MT24" s="235" t="str">
        <f t="shared" si="186"/>
        <v/>
      </c>
      <c r="MU24" s="134" t="str">
        <f t="shared" si="187"/>
        <v>memilih jenis, bahan dan teknik pengolahan kerang, kaca, keramik dan botol plastik sesuai dengan potensi daerah setempat</v>
      </c>
      <c r="MV24" s="134" t="str">
        <f t="shared" si="187"/>
        <v>perancangan pembuatan dan penyajian kerajinan kerang, kaca, keramik dan botol plastik yang kreatif dan inovatif</v>
      </c>
      <c r="MW24" s="134" t="str">
        <f t="shared" si="187"/>
        <v/>
      </c>
      <c r="MX24" s="134" t="str">
        <f t="shared" si="187"/>
        <v/>
      </c>
      <c r="MY24" s="134" t="str">
        <f t="shared" si="187"/>
        <v/>
      </c>
      <c r="MZ24" s="134" t="str">
        <f t="shared" si="187"/>
        <v/>
      </c>
      <c r="NA24" s="134" t="str">
        <f t="shared" si="187"/>
        <v/>
      </c>
      <c r="NB24" s="134" t="str">
        <f t="shared" si="187"/>
        <v/>
      </c>
      <c r="NC24" s="134" t="str">
        <f t="shared" si="187"/>
        <v/>
      </c>
      <c r="ND24" s="134" t="str">
        <f t="shared" si="191"/>
        <v/>
      </c>
      <c r="NE24" s="134" t="str">
        <f t="shared" si="191"/>
        <v/>
      </c>
      <c r="NF24" s="134" t="str">
        <f t="shared" si="191"/>
        <v/>
      </c>
      <c r="NG24" s="134" t="str">
        <f t="shared" si="191"/>
        <v/>
      </c>
      <c r="NH24" s="134" t="str">
        <f t="shared" si="191"/>
        <v/>
      </c>
      <c r="NI24" s="134" t="str">
        <f t="shared" si="191"/>
        <v/>
      </c>
      <c r="NJ24" s="134" t="str">
        <f t="shared" si="191"/>
        <v/>
      </c>
      <c r="NK24" s="134" t="str">
        <f t="shared" si="191"/>
        <v/>
      </c>
      <c r="NL24" s="134" t="str">
        <f t="shared" si="191"/>
        <v/>
      </c>
      <c r="NM24" s="134" t="str">
        <f t="shared" si="191"/>
        <v/>
      </c>
      <c r="NN24" s="134" t="str">
        <f t="shared" si="191"/>
        <v/>
      </c>
      <c r="NO24" s="134" t="str">
        <f>IF(KE24=KH24,"",IF(KG24="","",IF(KG24&gt;=KONVERSI!$A$14,'KI4'!KH24&amp;" dalam"&amp;MU24&amp;MV24&amp;MW24&amp;MX24&amp;MY24&amp;MZ24&amp;NA24&amp;NB24&amp;NC24&amp;ND24&amp;NE24&amp;NF24&amp;NG24&amp;NH24&amp;NI24&amp;NJ24&amp;NK24&amp;NL24&amp;NM24&amp;NN24,KONVERSI!$C$19&amp;" dalam"&amp;MU24&amp;MV24&amp;MW24&amp;MX24&amp;MY24&amp;MZ24&amp;NA24&amp;NB24&amp;NC24&amp;ND24&amp;NE24&amp;NF24&amp;NG24&amp;NH24&amp;NI24&amp;NJ24&amp;NK24&amp;NL24&amp;NM24&amp;NN24)))</f>
        <v/>
      </c>
      <c r="NP24" s="134" t="str">
        <f t="shared" si="188"/>
        <v/>
      </c>
      <c r="NQ24" s="236">
        <f t="shared" si="111"/>
        <v>2</v>
      </c>
      <c r="NR24" s="134" t="str">
        <f t="shared" si="189"/>
        <v>Terampil dalam memilih jenis, bahan dan teknik pengolahan kerang, kaca, keramik dan botol plastik sesuai dengan potensi daerah setempatperancangan pembuatan dan penyajian kerajinan kerang, kaca, keramik dan botol plastik yang kreatif dan inovati.  </v>
      </c>
    </row>
    <row r="25" ht="27.6" customHeight="1" spans="1:382">
      <c r="A25" s="179"/>
      <c r="B25" s="177">
        <v>17</v>
      </c>
      <c r="C25" s="178" t="str">
        <f>siswa!C21</f>
        <v>MUHAMMAD JUNAIDI SAPUTRA</v>
      </c>
      <c r="D25" s="174">
        <f>siswa!D21</f>
        <v>2804</v>
      </c>
      <c r="E25" s="175"/>
      <c r="F25" s="176"/>
      <c r="G25" s="176"/>
      <c r="H25" s="176"/>
      <c r="I25" s="176"/>
      <c r="J25" s="176"/>
      <c r="K25" s="176"/>
      <c r="L25" s="176"/>
      <c r="M25" s="194" t="str">
        <f t="shared" si="2"/>
        <v/>
      </c>
      <c r="N25" s="176"/>
      <c r="O25" s="176"/>
      <c r="P25" s="175"/>
      <c r="Q25" s="176"/>
      <c r="R25" s="176"/>
      <c r="S25" s="176"/>
      <c r="T25" s="176"/>
      <c r="U25" s="176"/>
      <c r="V25" s="194" t="str">
        <f t="shared" si="3"/>
        <v/>
      </c>
      <c r="W25" s="176"/>
      <c r="X25" s="176"/>
      <c r="Y25" s="176"/>
      <c r="Z25" s="176"/>
      <c r="AA25" s="176"/>
      <c r="AB25" s="176"/>
      <c r="AC25" s="176"/>
      <c r="AD25" s="176"/>
      <c r="AE25" s="194" t="str">
        <f t="shared" si="4"/>
        <v/>
      </c>
      <c r="AF25" s="176"/>
      <c r="AG25" s="176"/>
      <c r="AH25" s="176"/>
      <c r="AI25" s="176"/>
      <c r="AJ25" s="176"/>
      <c r="AK25" s="176"/>
      <c r="AL25" s="176"/>
      <c r="AM25" s="176"/>
      <c r="AN25" s="194" t="str">
        <f t="shared" si="5"/>
        <v/>
      </c>
      <c r="AO25" s="181"/>
      <c r="AP25" s="176"/>
      <c r="AQ25" s="176"/>
      <c r="AR25" s="176"/>
      <c r="AS25" s="176"/>
      <c r="AT25" s="176"/>
      <c r="AU25" s="176"/>
      <c r="AV25" s="176"/>
      <c r="AW25" s="194" t="str">
        <f t="shared" si="112"/>
        <v/>
      </c>
      <c r="AX25" s="181"/>
      <c r="AY25" s="176"/>
      <c r="AZ25" s="176"/>
      <c r="BA25" s="176"/>
      <c r="BB25" s="176"/>
      <c r="BC25" s="176"/>
      <c r="BD25" s="176"/>
      <c r="BE25" s="176"/>
      <c r="BF25" s="194" t="str">
        <f t="shared" si="6"/>
        <v/>
      </c>
      <c r="BG25" s="181"/>
      <c r="BH25" s="176"/>
      <c r="BI25" s="176"/>
      <c r="BJ25" s="176"/>
      <c r="BK25" s="176"/>
      <c r="BL25" s="176"/>
      <c r="BM25" s="176"/>
      <c r="BN25" s="176"/>
      <c r="BO25" s="194" t="str">
        <f t="shared" si="113"/>
        <v/>
      </c>
      <c r="BP25" s="181"/>
      <c r="BQ25" s="176"/>
      <c r="BR25" s="176"/>
      <c r="BS25" s="176"/>
      <c r="BT25" s="176"/>
      <c r="BU25" s="176"/>
      <c r="BV25" s="176"/>
      <c r="BW25" s="176"/>
      <c r="BX25" s="194" t="str">
        <f t="shared" si="114"/>
        <v/>
      </c>
      <c r="BY25" s="181"/>
      <c r="BZ25" s="176"/>
      <c r="CA25" s="176"/>
      <c r="CB25" s="176"/>
      <c r="CC25" s="176"/>
      <c r="CD25" s="176"/>
      <c r="CE25" s="176"/>
      <c r="CF25" s="176"/>
      <c r="CG25" s="194" t="str">
        <f t="shared" si="115"/>
        <v/>
      </c>
      <c r="CH25" s="181"/>
      <c r="CI25" s="176"/>
      <c r="CJ25" s="176"/>
      <c r="CK25" s="176"/>
      <c r="CL25" s="176"/>
      <c r="CM25" s="176"/>
      <c r="CN25" s="176"/>
      <c r="CO25" s="176"/>
      <c r="CP25" s="194" t="str">
        <f t="shared" si="7"/>
        <v/>
      </c>
      <c r="CQ25" s="181"/>
      <c r="CR25" s="176"/>
      <c r="CS25" s="176"/>
      <c r="CT25" s="176"/>
      <c r="CU25" s="176"/>
      <c r="CV25" s="176"/>
      <c r="CW25" s="176"/>
      <c r="CX25" s="176"/>
      <c r="CY25" s="194" t="str">
        <f t="shared" si="116"/>
        <v/>
      </c>
      <c r="CZ25" s="181"/>
      <c r="DA25" s="176"/>
      <c r="DB25" s="176"/>
      <c r="DC25" s="176"/>
      <c r="DD25" s="176"/>
      <c r="DE25" s="176"/>
      <c r="DF25" s="176"/>
      <c r="DG25" s="176"/>
      <c r="DH25" s="194" t="str">
        <f t="shared" si="8"/>
        <v/>
      </c>
      <c r="DI25" s="181"/>
      <c r="DJ25" s="176"/>
      <c r="DK25" s="176"/>
      <c r="DL25" s="176"/>
      <c r="DM25" s="176"/>
      <c r="DN25" s="176"/>
      <c r="DO25" s="176"/>
      <c r="DP25" s="176"/>
      <c r="DQ25" s="194" t="str">
        <f t="shared" si="117"/>
        <v/>
      </c>
      <c r="DR25" s="181"/>
      <c r="DS25" s="176"/>
      <c r="DT25" s="176"/>
      <c r="DU25" s="176"/>
      <c r="DV25" s="176"/>
      <c r="DW25" s="176"/>
      <c r="DX25" s="176"/>
      <c r="DY25" s="176"/>
      <c r="DZ25" s="194" t="str">
        <f t="shared" si="9"/>
        <v/>
      </c>
      <c r="EA25" s="181"/>
      <c r="EB25" s="176"/>
      <c r="EC25" s="176"/>
      <c r="ED25" s="176"/>
      <c r="EE25" s="176"/>
      <c r="EF25" s="176"/>
      <c r="EG25" s="176"/>
      <c r="EH25" s="176"/>
      <c r="EI25" s="194" t="str">
        <f t="shared" si="10"/>
        <v/>
      </c>
      <c r="EJ25" s="181"/>
      <c r="EK25" s="176"/>
      <c r="EL25" s="176"/>
      <c r="EM25" s="176"/>
      <c r="EN25" s="176"/>
      <c r="EO25" s="176"/>
      <c r="EP25" s="176"/>
      <c r="EQ25" s="176"/>
      <c r="ER25" s="194" t="str">
        <f t="shared" si="11"/>
        <v/>
      </c>
      <c r="ES25" s="181"/>
      <c r="ET25" s="176"/>
      <c r="EU25" s="176"/>
      <c r="EV25" s="176"/>
      <c r="EW25" s="176"/>
      <c r="EX25" s="176"/>
      <c r="EY25" s="176"/>
      <c r="EZ25" s="176"/>
      <c r="FA25" s="194" t="str">
        <f t="shared" si="12"/>
        <v/>
      </c>
      <c r="FB25" s="181"/>
      <c r="FC25" s="176"/>
      <c r="FD25" s="176"/>
      <c r="FE25" s="176"/>
      <c r="FF25" s="176"/>
      <c r="FG25" s="176"/>
      <c r="FH25" s="176"/>
      <c r="FI25" s="176"/>
      <c r="FJ25" s="194" t="str">
        <f t="shared" si="13"/>
        <v/>
      </c>
      <c r="FK25" s="181"/>
      <c r="FL25" s="176"/>
      <c r="FM25" s="176"/>
      <c r="FN25" s="176"/>
      <c r="FO25" s="176"/>
      <c r="FP25" s="176"/>
      <c r="FQ25" s="176"/>
      <c r="FR25" s="176"/>
      <c r="FS25" s="194" t="str">
        <f t="shared" si="14"/>
        <v/>
      </c>
      <c r="FT25" s="181"/>
      <c r="FU25" s="176"/>
      <c r="FV25" s="176"/>
      <c r="FW25" s="176"/>
      <c r="FX25" s="176"/>
      <c r="FY25" s="176"/>
      <c r="FZ25" s="176"/>
      <c r="GA25" s="176"/>
      <c r="GB25" s="194" t="str">
        <f t="shared" si="118"/>
        <v/>
      </c>
      <c r="GC25" s="194" t="str">
        <f t="shared" si="119"/>
        <v/>
      </c>
      <c r="GD25" s="194" t="str">
        <f>IF(GC25="","",IF(GC25&gt;=KONVERSI!$A$5,KONVERSI!$D$5,IF(GC25&gt;=KONVERSI!$A$6,KONVERSI!$D$6,IF(GC25&gt;=KONVERSI!$A$7,KONVERSI!$D$7,KONVERSI!$D$8))))</f>
        <v/>
      </c>
      <c r="GE25" s="194" t="str">
        <f t="shared" si="120"/>
        <v/>
      </c>
      <c r="GF25" s="222"/>
      <c r="GG25" s="223">
        <f t="shared" si="15"/>
        <v>0</v>
      </c>
      <c r="GH25" s="194">
        <f t="shared" si="16"/>
        <v>0</v>
      </c>
      <c r="GI25" s="194">
        <f t="shared" si="17"/>
        <v>0</v>
      </c>
      <c r="GJ25" s="194">
        <f t="shared" si="18"/>
        <v>0</v>
      </c>
      <c r="GK25" s="194">
        <f t="shared" si="19"/>
        <v>0</v>
      </c>
      <c r="GL25" s="194">
        <f t="shared" si="20"/>
        <v>0</v>
      </c>
      <c r="GM25" s="194">
        <f t="shared" si="21"/>
        <v>0</v>
      </c>
      <c r="GN25" s="194">
        <f t="shared" si="22"/>
        <v>0</v>
      </c>
      <c r="GO25" s="194">
        <f t="shared" si="23"/>
        <v>0</v>
      </c>
      <c r="GP25" s="194">
        <f t="shared" si="24"/>
        <v>0</v>
      </c>
      <c r="GQ25" s="194">
        <f t="shared" si="25"/>
        <v>0</v>
      </c>
      <c r="GR25" s="194">
        <f t="shared" si="26"/>
        <v>0</v>
      </c>
      <c r="GS25" s="194">
        <f t="shared" si="27"/>
        <v>0</v>
      </c>
      <c r="GT25" s="194">
        <f t="shared" si="28"/>
        <v>0</v>
      </c>
      <c r="GU25" s="194">
        <f t="shared" si="29"/>
        <v>0</v>
      </c>
      <c r="GV25" s="194">
        <f t="shared" si="30"/>
        <v>0</v>
      </c>
      <c r="GW25" s="194">
        <f t="shared" si="31"/>
        <v>0</v>
      </c>
      <c r="GX25" s="194">
        <f t="shared" si="32"/>
        <v>0</v>
      </c>
      <c r="GY25" s="194">
        <f t="shared" si="33"/>
        <v>0</v>
      </c>
      <c r="GZ25" s="194">
        <f t="shared" si="34"/>
        <v>0</v>
      </c>
      <c r="HA25" s="194">
        <f t="shared" si="35"/>
        <v>0</v>
      </c>
      <c r="HB25" s="194">
        <f t="shared" si="36"/>
        <v>0</v>
      </c>
      <c r="HC25" s="194">
        <f t="shared" si="37"/>
        <v>0</v>
      </c>
      <c r="HD25" s="194">
        <f t="shared" si="38"/>
        <v>0</v>
      </c>
      <c r="HE25" s="194">
        <f t="shared" si="39"/>
        <v>0</v>
      </c>
      <c r="HF25" s="194">
        <f t="shared" si="40"/>
        <v>0</v>
      </c>
      <c r="HG25" s="194">
        <f t="shared" si="41"/>
        <v>0</v>
      </c>
      <c r="HH25" s="194">
        <f t="shared" si="42"/>
        <v>0</v>
      </c>
      <c r="HI25" s="194">
        <f t="shared" si="43"/>
        <v>0</v>
      </c>
      <c r="HJ25" s="194">
        <f t="shared" si="44"/>
        <v>0</v>
      </c>
      <c r="HK25" s="194">
        <f t="shared" si="45"/>
        <v>0</v>
      </c>
      <c r="HL25" s="194">
        <f t="shared" si="46"/>
        <v>0</v>
      </c>
      <c r="HM25" s="194">
        <f t="shared" si="47"/>
        <v>0</v>
      </c>
      <c r="HN25" s="194">
        <f t="shared" si="48"/>
        <v>0</v>
      </c>
      <c r="HO25" s="194">
        <f t="shared" si="49"/>
        <v>0</v>
      </c>
      <c r="HP25" s="194">
        <f t="shared" si="50"/>
        <v>0</v>
      </c>
      <c r="HQ25" s="194">
        <f t="shared" si="51"/>
        <v>0</v>
      </c>
      <c r="HR25" s="194">
        <f t="shared" si="52"/>
        <v>0</v>
      </c>
      <c r="HS25" s="194">
        <f t="shared" si="53"/>
        <v>0</v>
      </c>
      <c r="HT25" s="194">
        <f t="shared" si="54"/>
        <v>0</v>
      </c>
      <c r="HU25" s="194">
        <f t="shared" si="55"/>
        <v>0</v>
      </c>
      <c r="HV25" s="194">
        <f t="shared" si="56"/>
        <v>0</v>
      </c>
      <c r="HW25" s="194">
        <f t="shared" si="57"/>
        <v>0</v>
      </c>
      <c r="HX25" s="194">
        <f t="shared" si="58"/>
        <v>0</v>
      </c>
      <c r="HY25" s="194">
        <f t="shared" si="59"/>
        <v>0</v>
      </c>
      <c r="HZ25" s="194">
        <f t="shared" si="60"/>
        <v>0</v>
      </c>
      <c r="IA25" s="194">
        <f t="shared" si="61"/>
        <v>0</v>
      </c>
      <c r="IB25" s="194">
        <f t="shared" si="62"/>
        <v>0</v>
      </c>
      <c r="IC25" s="194">
        <f t="shared" si="63"/>
        <v>0</v>
      </c>
      <c r="ID25" s="194">
        <f t="shared" si="64"/>
        <v>0</v>
      </c>
      <c r="IE25" s="194">
        <f t="shared" si="65"/>
        <v>0</v>
      </c>
      <c r="IF25" s="194">
        <f t="shared" si="66"/>
        <v>0</v>
      </c>
      <c r="IG25" s="194">
        <f t="shared" si="67"/>
        <v>0</v>
      </c>
      <c r="IH25" s="194">
        <f t="shared" si="68"/>
        <v>0</v>
      </c>
      <c r="II25" s="194">
        <f t="shared" si="69"/>
        <v>0</v>
      </c>
      <c r="IJ25" s="194">
        <f t="shared" si="70"/>
        <v>0</v>
      </c>
      <c r="IK25" s="194">
        <f t="shared" si="71"/>
        <v>0</v>
      </c>
      <c r="IL25" s="194">
        <f t="shared" si="72"/>
        <v>0</v>
      </c>
      <c r="IM25" s="194">
        <f t="shared" si="73"/>
        <v>0</v>
      </c>
      <c r="IN25" s="194">
        <f t="shared" si="74"/>
        <v>0</v>
      </c>
      <c r="IO25" s="194">
        <f t="shared" si="75"/>
        <v>0</v>
      </c>
      <c r="IP25" s="194">
        <f t="shared" si="76"/>
        <v>0</v>
      </c>
      <c r="IQ25" s="194">
        <f t="shared" si="77"/>
        <v>0</v>
      </c>
      <c r="IR25" s="194">
        <f t="shared" si="78"/>
        <v>0</v>
      </c>
      <c r="IS25" s="194">
        <f t="shared" si="79"/>
        <v>0</v>
      </c>
      <c r="IT25" s="194">
        <f t="shared" si="80"/>
        <v>0</v>
      </c>
      <c r="IU25" s="194">
        <f t="shared" si="81"/>
        <v>0</v>
      </c>
      <c r="IV25" s="194">
        <f t="shared" si="82"/>
        <v>0</v>
      </c>
      <c r="IW25" s="194">
        <f t="shared" si="83"/>
        <v>0</v>
      </c>
      <c r="IX25" s="194">
        <f t="shared" si="84"/>
        <v>0</v>
      </c>
      <c r="IY25" s="194">
        <f t="shared" si="85"/>
        <v>0</v>
      </c>
      <c r="IZ25" s="194">
        <f t="shared" si="86"/>
        <v>0</v>
      </c>
      <c r="JA25" s="194">
        <f t="shared" si="87"/>
        <v>0</v>
      </c>
      <c r="JB25" s="194">
        <f t="shared" si="88"/>
        <v>0</v>
      </c>
      <c r="JC25" s="194">
        <f t="shared" si="89"/>
        <v>0</v>
      </c>
      <c r="JD25" s="194">
        <f t="shared" si="90"/>
        <v>0</v>
      </c>
      <c r="JE25" s="194">
        <f t="shared" si="91"/>
        <v>0</v>
      </c>
      <c r="JF25" s="194">
        <f t="shared" si="92"/>
        <v>0</v>
      </c>
      <c r="JG25" s="194">
        <f t="shared" si="93"/>
        <v>0</v>
      </c>
      <c r="JH25" s="194">
        <f t="shared" si="94"/>
        <v>0</v>
      </c>
      <c r="JI25" s="228">
        <v>17</v>
      </c>
      <c r="JJ25" s="229" t="str">
        <f t="shared" si="121"/>
        <v/>
      </c>
      <c r="JK25" s="229" t="str">
        <f t="shared" si="122"/>
        <v/>
      </c>
      <c r="JL25" s="229" t="str">
        <f t="shared" si="123"/>
        <v/>
      </c>
      <c r="JM25" s="229" t="str">
        <f t="shared" si="124"/>
        <v/>
      </c>
      <c r="JN25" s="229" t="str">
        <f t="shared" si="125"/>
        <v/>
      </c>
      <c r="JO25" s="229" t="str">
        <f t="shared" si="126"/>
        <v/>
      </c>
      <c r="JP25" s="229" t="str">
        <f t="shared" si="127"/>
        <v/>
      </c>
      <c r="JQ25" s="229" t="str">
        <f t="shared" si="128"/>
        <v/>
      </c>
      <c r="JR25" s="229" t="str">
        <f t="shared" si="129"/>
        <v/>
      </c>
      <c r="JS25" s="229" t="str">
        <f t="shared" si="130"/>
        <v/>
      </c>
      <c r="JT25" s="229" t="str">
        <f t="shared" si="131"/>
        <v/>
      </c>
      <c r="JU25" s="229" t="str">
        <f t="shared" si="132"/>
        <v/>
      </c>
      <c r="JV25" s="229" t="str">
        <f t="shared" si="133"/>
        <v/>
      </c>
      <c r="JW25" s="229" t="str">
        <f t="shared" si="134"/>
        <v/>
      </c>
      <c r="JX25" s="229" t="str">
        <f t="shared" si="135"/>
        <v/>
      </c>
      <c r="JY25" s="229" t="str">
        <f t="shared" si="136"/>
        <v/>
      </c>
      <c r="JZ25" s="229" t="str">
        <f t="shared" si="137"/>
        <v/>
      </c>
      <c r="KA25" s="229" t="str">
        <f t="shared" si="138"/>
        <v/>
      </c>
      <c r="KB25" s="229" t="str">
        <f t="shared" si="139"/>
        <v/>
      </c>
      <c r="KC25" s="229" t="str">
        <f t="shared" si="140"/>
        <v/>
      </c>
      <c r="KD25" s="231" t="str">
        <f t="shared" si="141"/>
        <v/>
      </c>
      <c r="KE25" s="232" t="str">
        <f>IF(KD25="","",IF(KD25&gt;=KONVERSI!$A$5,KONVERSI!$E$12,IF(KD25&gt;=KONVERSI!$A$6,KONVERSI!$E$13,IF(KD25&gt;=KONVERSI!$A$7,KONVERSI!$E$14,KONVERSI!$E$15))))</f>
        <v/>
      </c>
      <c r="KF25" s="233" t="str">
        <f t="shared" si="142"/>
        <v/>
      </c>
      <c r="KG25" s="234" t="str">
        <f t="shared" si="143"/>
        <v/>
      </c>
      <c r="KH25" s="232" t="str">
        <f>IF(KG25="","",IF(KG25&gt;=KONVERSI!$A$5,KONVERSI!$E$12,IF(KG25&gt;=KONVERSI!$A$6,KONVERSI!$E$13,IF(KG25&gt;=KONVERSI!$A$7,KONVERSI!$E$14,KONVERSI!$E$15))))</f>
        <v/>
      </c>
      <c r="KI25" s="134" t="str">
        <f>IF(GC25="","",IF(GC25&lt;$GD$3," "&amp;KONVERSI!$C$19&amp;INDEX($JJ$8:$KC$8,MATCH(KG26,JJ26:KC26,0))&amp;".",IF(GC25=0,"",IF(KG25&lt;&gt;0,KF25&amp;KH25&amp;".",KF25&amp;"."))))</f>
        <v/>
      </c>
      <c r="KJ25" s="235" t="str">
        <f t="shared" si="144"/>
        <v/>
      </c>
      <c r="KK25" s="235" t="str">
        <f t="shared" si="145"/>
        <v/>
      </c>
      <c r="KL25" s="235" t="str">
        <f t="shared" si="146"/>
        <v/>
      </c>
      <c r="KM25" s="235" t="str">
        <f t="shared" si="147"/>
        <v/>
      </c>
      <c r="KN25" s="235" t="str">
        <f t="shared" si="148"/>
        <v/>
      </c>
      <c r="KO25" s="235" t="str">
        <f t="shared" si="149"/>
        <v/>
      </c>
      <c r="KP25" s="235" t="str">
        <f t="shared" si="150"/>
        <v/>
      </c>
      <c r="KQ25" s="235" t="str">
        <f t="shared" si="151"/>
        <v/>
      </c>
      <c r="KR25" s="235" t="str">
        <f t="shared" si="152"/>
        <v/>
      </c>
      <c r="KS25" s="235" t="str">
        <f t="shared" si="153"/>
        <v/>
      </c>
      <c r="KT25" s="235" t="str">
        <f t="shared" si="154"/>
        <v/>
      </c>
      <c r="KU25" s="235" t="str">
        <f t="shared" si="155"/>
        <v/>
      </c>
      <c r="KV25" s="235" t="str">
        <f t="shared" si="156"/>
        <v/>
      </c>
      <c r="KW25" s="235" t="str">
        <f t="shared" si="157"/>
        <v/>
      </c>
      <c r="KX25" s="235" t="str">
        <f t="shared" si="158"/>
        <v/>
      </c>
      <c r="KY25" s="235" t="str">
        <f t="shared" si="159"/>
        <v/>
      </c>
      <c r="KZ25" s="235" t="str">
        <f t="shared" si="160"/>
        <v/>
      </c>
      <c r="LA25" s="235" t="str">
        <f t="shared" si="161"/>
        <v/>
      </c>
      <c r="LB25" s="235" t="str">
        <f t="shared" si="162"/>
        <v/>
      </c>
      <c r="LC25" s="235" t="str">
        <f t="shared" si="163"/>
        <v/>
      </c>
      <c r="LD25" s="134" t="str">
        <f t="shared" si="164"/>
        <v/>
      </c>
      <c r="LE25" s="134" t="str">
        <f t="shared" si="164"/>
        <v/>
      </c>
      <c r="LF25" s="134" t="str">
        <f t="shared" si="164"/>
        <v/>
      </c>
      <c r="LG25" s="134" t="str">
        <f t="shared" si="164"/>
        <v/>
      </c>
      <c r="LH25" s="134" t="str">
        <f t="shared" si="164"/>
        <v/>
      </c>
      <c r="LI25" s="134" t="str">
        <f t="shared" si="164"/>
        <v/>
      </c>
      <c r="LJ25" s="134" t="str">
        <f t="shared" si="164"/>
        <v/>
      </c>
      <c r="LK25" s="134" t="str">
        <f t="shared" si="164"/>
        <v/>
      </c>
      <c r="LL25" s="134" t="str">
        <f t="shared" si="164"/>
        <v/>
      </c>
      <c r="LM25" s="134" t="str">
        <f t="shared" si="190"/>
        <v/>
      </c>
      <c r="LN25" s="134" t="str">
        <f t="shared" si="190"/>
        <v/>
      </c>
      <c r="LO25" s="134" t="str">
        <f t="shared" si="190"/>
        <v/>
      </c>
      <c r="LP25" s="134" t="str">
        <f t="shared" si="190"/>
        <v/>
      </c>
      <c r="LQ25" s="134" t="str">
        <f t="shared" si="190"/>
        <v/>
      </c>
      <c r="LR25" s="134" t="str">
        <f t="shared" si="190"/>
        <v/>
      </c>
      <c r="LS25" s="134" t="str">
        <f t="shared" si="190"/>
        <v/>
      </c>
      <c r="LT25" s="134" t="str">
        <f t="shared" si="190"/>
        <v/>
      </c>
      <c r="LU25" s="134" t="str">
        <f t="shared" si="190"/>
        <v/>
      </c>
      <c r="LV25" s="134" t="str">
        <f t="shared" si="190"/>
        <v/>
      </c>
      <c r="LW25" s="134" t="str">
        <f t="shared" si="190"/>
        <v/>
      </c>
      <c r="LX25" s="134" t="str">
        <f t="shared" si="165"/>
        <v/>
      </c>
      <c r="LY25" s="134" t="str">
        <f t="shared" si="166"/>
        <v>  </v>
      </c>
      <c r="LZ25" s="236">
        <f t="shared" si="97"/>
        <v>0</v>
      </c>
      <c r="MA25" s="235" t="str">
        <f t="shared" si="167"/>
        <v/>
      </c>
      <c r="MB25" s="235" t="str">
        <f t="shared" si="168"/>
        <v/>
      </c>
      <c r="MC25" s="235" t="str">
        <f t="shared" si="169"/>
        <v/>
      </c>
      <c r="MD25" s="235" t="str">
        <f t="shared" si="170"/>
        <v/>
      </c>
      <c r="ME25" s="235" t="str">
        <f t="shared" si="171"/>
        <v/>
      </c>
      <c r="MF25" s="235" t="str">
        <f t="shared" si="172"/>
        <v/>
      </c>
      <c r="MG25" s="235" t="str">
        <f t="shared" si="173"/>
        <v/>
      </c>
      <c r="MH25" s="235" t="str">
        <f t="shared" si="174"/>
        <v/>
      </c>
      <c r="MI25" s="235" t="str">
        <f t="shared" si="175"/>
        <v/>
      </c>
      <c r="MJ25" s="235" t="str">
        <f t="shared" si="176"/>
        <v/>
      </c>
      <c r="MK25" s="235" t="str">
        <f t="shared" si="177"/>
        <v/>
      </c>
      <c r="ML25" s="235" t="str">
        <f t="shared" si="178"/>
        <v/>
      </c>
      <c r="MM25" s="235" t="str">
        <f t="shared" si="179"/>
        <v/>
      </c>
      <c r="MN25" s="235" t="str">
        <f t="shared" si="180"/>
        <v/>
      </c>
      <c r="MO25" s="235" t="str">
        <f t="shared" si="181"/>
        <v/>
      </c>
      <c r="MP25" s="235" t="str">
        <f t="shared" si="182"/>
        <v/>
      </c>
      <c r="MQ25" s="235" t="str">
        <f t="shared" si="183"/>
        <v/>
      </c>
      <c r="MR25" s="235" t="str">
        <f t="shared" si="184"/>
        <v/>
      </c>
      <c r="MS25" s="235" t="str">
        <f t="shared" si="185"/>
        <v/>
      </c>
      <c r="MT25" s="235" t="str">
        <f t="shared" si="186"/>
        <v/>
      </c>
      <c r="MU25" s="134" t="str">
        <f t="shared" si="187"/>
        <v/>
      </c>
      <c r="MV25" s="134" t="str">
        <f t="shared" si="187"/>
        <v/>
      </c>
      <c r="MW25" s="134" t="str">
        <f t="shared" si="187"/>
        <v/>
      </c>
      <c r="MX25" s="134" t="str">
        <f t="shared" si="187"/>
        <v/>
      </c>
      <c r="MY25" s="134" t="str">
        <f t="shared" si="187"/>
        <v/>
      </c>
      <c r="MZ25" s="134" t="str">
        <f t="shared" si="187"/>
        <v/>
      </c>
      <c r="NA25" s="134" t="str">
        <f t="shared" si="187"/>
        <v/>
      </c>
      <c r="NB25" s="134" t="str">
        <f t="shared" si="187"/>
        <v/>
      </c>
      <c r="NC25" s="134" t="str">
        <f t="shared" si="187"/>
        <v/>
      </c>
      <c r="ND25" s="134" t="str">
        <f t="shared" si="191"/>
        <v/>
      </c>
      <c r="NE25" s="134" t="str">
        <f t="shared" si="191"/>
        <v/>
      </c>
      <c r="NF25" s="134" t="str">
        <f t="shared" si="191"/>
        <v/>
      </c>
      <c r="NG25" s="134" t="str">
        <f t="shared" si="191"/>
        <v/>
      </c>
      <c r="NH25" s="134" t="str">
        <f t="shared" si="191"/>
        <v/>
      </c>
      <c r="NI25" s="134" t="str">
        <f t="shared" si="191"/>
        <v/>
      </c>
      <c r="NJ25" s="134" t="str">
        <f t="shared" si="191"/>
        <v/>
      </c>
      <c r="NK25" s="134" t="str">
        <f t="shared" si="191"/>
        <v/>
      </c>
      <c r="NL25" s="134" t="str">
        <f t="shared" si="191"/>
        <v/>
      </c>
      <c r="NM25" s="134" t="str">
        <f t="shared" si="191"/>
        <v/>
      </c>
      <c r="NN25" s="134" t="str">
        <f t="shared" si="191"/>
        <v/>
      </c>
      <c r="NO25" s="134" t="str">
        <f>IF(KE25=KH25,"",IF(KG25="","",IF(KG25&gt;=KONVERSI!$A$14,'KI4'!KH25&amp;" dalam"&amp;MU25&amp;MV25&amp;MW25&amp;MX25&amp;MY25&amp;MZ25&amp;NA25&amp;NB25&amp;NC25&amp;ND25&amp;NE25&amp;NF25&amp;NG25&amp;NH25&amp;NI25&amp;NJ25&amp;NK25&amp;NL25&amp;NM25&amp;NN25,KONVERSI!$C$19&amp;" dalam"&amp;MU25&amp;MV25&amp;MW25&amp;MX25&amp;MY25&amp;MZ25&amp;NA25&amp;NB25&amp;NC25&amp;ND25&amp;NE25&amp;NF25&amp;NG25&amp;NH25&amp;NI25&amp;NJ25&amp;NK25&amp;NL25&amp;NM25&amp;NN25)))</f>
        <v/>
      </c>
      <c r="NP25" s="134" t="str">
        <f t="shared" si="188"/>
        <v/>
      </c>
      <c r="NQ25" s="236">
        <f t="shared" si="111"/>
        <v>0</v>
      </c>
      <c r="NR25" s="134" t="str">
        <f t="shared" si="189"/>
        <v/>
      </c>
    </row>
    <row r="26" ht="27.6" customHeight="1" spans="1:382">
      <c r="A26" s="136"/>
      <c r="B26" s="177">
        <v>18</v>
      </c>
      <c r="C26" s="178" t="str">
        <f>siswa!C22</f>
        <v>MUHAMMAD SAHIT</v>
      </c>
      <c r="D26" s="174">
        <f>siswa!D22</f>
        <v>2805</v>
      </c>
      <c r="E26" s="175"/>
      <c r="F26" s="176"/>
      <c r="G26" s="176"/>
      <c r="H26" s="176"/>
      <c r="I26" s="176"/>
      <c r="J26" s="176"/>
      <c r="K26" s="176"/>
      <c r="L26" s="176"/>
      <c r="M26" s="194" t="str">
        <f t="shared" si="2"/>
        <v/>
      </c>
      <c r="N26" s="176"/>
      <c r="O26" s="176"/>
      <c r="P26" s="175"/>
      <c r="Q26" s="176"/>
      <c r="R26" s="176"/>
      <c r="S26" s="176"/>
      <c r="T26" s="176"/>
      <c r="U26" s="176"/>
      <c r="V26" s="194" t="str">
        <f t="shared" si="3"/>
        <v/>
      </c>
      <c r="W26" s="176"/>
      <c r="X26" s="176"/>
      <c r="Y26" s="176"/>
      <c r="Z26" s="176"/>
      <c r="AA26" s="176"/>
      <c r="AB26" s="176"/>
      <c r="AC26" s="176"/>
      <c r="AD26" s="176"/>
      <c r="AE26" s="194" t="str">
        <f t="shared" si="4"/>
        <v/>
      </c>
      <c r="AF26" s="176"/>
      <c r="AG26" s="176"/>
      <c r="AH26" s="176"/>
      <c r="AI26" s="176"/>
      <c r="AJ26" s="176"/>
      <c r="AK26" s="176"/>
      <c r="AL26" s="176"/>
      <c r="AM26" s="176"/>
      <c r="AN26" s="194" t="str">
        <f t="shared" si="5"/>
        <v/>
      </c>
      <c r="AO26" s="181"/>
      <c r="AP26" s="176"/>
      <c r="AQ26" s="176"/>
      <c r="AR26" s="176"/>
      <c r="AS26" s="176"/>
      <c r="AT26" s="176"/>
      <c r="AU26" s="176"/>
      <c r="AV26" s="176"/>
      <c r="AW26" s="194" t="str">
        <f t="shared" si="112"/>
        <v/>
      </c>
      <c r="AX26" s="181"/>
      <c r="AY26" s="176"/>
      <c r="AZ26" s="176"/>
      <c r="BA26" s="176"/>
      <c r="BB26" s="176"/>
      <c r="BC26" s="176"/>
      <c r="BD26" s="176"/>
      <c r="BE26" s="176"/>
      <c r="BF26" s="194" t="str">
        <f t="shared" si="6"/>
        <v/>
      </c>
      <c r="BG26" s="181"/>
      <c r="BH26" s="176"/>
      <c r="BI26" s="176"/>
      <c r="BJ26" s="176"/>
      <c r="BK26" s="176"/>
      <c r="BL26" s="176"/>
      <c r="BM26" s="176"/>
      <c r="BN26" s="176"/>
      <c r="BO26" s="194" t="str">
        <f t="shared" si="113"/>
        <v/>
      </c>
      <c r="BP26" s="181"/>
      <c r="BQ26" s="176"/>
      <c r="BR26" s="176"/>
      <c r="BS26" s="176"/>
      <c r="BT26" s="176"/>
      <c r="BU26" s="176"/>
      <c r="BV26" s="176"/>
      <c r="BW26" s="176"/>
      <c r="BX26" s="194" t="str">
        <f t="shared" si="114"/>
        <v/>
      </c>
      <c r="BY26" s="181"/>
      <c r="BZ26" s="176"/>
      <c r="CA26" s="176"/>
      <c r="CB26" s="176"/>
      <c r="CC26" s="176"/>
      <c r="CD26" s="176"/>
      <c r="CE26" s="176"/>
      <c r="CF26" s="176"/>
      <c r="CG26" s="194" t="str">
        <f t="shared" si="115"/>
        <v/>
      </c>
      <c r="CH26" s="181"/>
      <c r="CI26" s="176"/>
      <c r="CJ26" s="176"/>
      <c r="CK26" s="176"/>
      <c r="CL26" s="176"/>
      <c r="CM26" s="176"/>
      <c r="CN26" s="176"/>
      <c r="CO26" s="176"/>
      <c r="CP26" s="194" t="str">
        <f t="shared" si="7"/>
        <v/>
      </c>
      <c r="CQ26" s="181"/>
      <c r="CR26" s="176"/>
      <c r="CS26" s="176"/>
      <c r="CT26" s="176"/>
      <c r="CU26" s="176"/>
      <c r="CV26" s="176"/>
      <c r="CW26" s="176"/>
      <c r="CX26" s="176"/>
      <c r="CY26" s="194" t="str">
        <f t="shared" si="116"/>
        <v/>
      </c>
      <c r="CZ26" s="181"/>
      <c r="DA26" s="176"/>
      <c r="DB26" s="176"/>
      <c r="DC26" s="176"/>
      <c r="DD26" s="176"/>
      <c r="DE26" s="176"/>
      <c r="DF26" s="176"/>
      <c r="DG26" s="176"/>
      <c r="DH26" s="194" t="str">
        <f t="shared" si="8"/>
        <v/>
      </c>
      <c r="DI26" s="181"/>
      <c r="DJ26" s="176"/>
      <c r="DK26" s="176"/>
      <c r="DL26" s="176"/>
      <c r="DM26" s="176"/>
      <c r="DN26" s="176"/>
      <c r="DO26" s="176"/>
      <c r="DP26" s="176"/>
      <c r="DQ26" s="194" t="str">
        <f t="shared" si="117"/>
        <v/>
      </c>
      <c r="DR26" s="181"/>
      <c r="DS26" s="176"/>
      <c r="DT26" s="176"/>
      <c r="DU26" s="176"/>
      <c r="DV26" s="176"/>
      <c r="DW26" s="176"/>
      <c r="DX26" s="176"/>
      <c r="DY26" s="176"/>
      <c r="DZ26" s="194" t="str">
        <f t="shared" si="9"/>
        <v/>
      </c>
      <c r="EA26" s="181"/>
      <c r="EB26" s="176"/>
      <c r="EC26" s="176"/>
      <c r="ED26" s="176"/>
      <c r="EE26" s="176"/>
      <c r="EF26" s="176"/>
      <c r="EG26" s="176"/>
      <c r="EH26" s="176"/>
      <c r="EI26" s="194" t="str">
        <f t="shared" si="10"/>
        <v/>
      </c>
      <c r="EJ26" s="181"/>
      <c r="EK26" s="176"/>
      <c r="EL26" s="176"/>
      <c r="EM26" s="176"/>
      <c r="EN26" s="176"/>
      <c r="EO26" s="176"/>
      <c r="EP26" s="176"/>
      <c r="EQ26" s="176"/>
      <c r="ER26" s="194" t="str">
        <f t="shared" si="11"/>
        <v/>
      </c>
      <c r="ES26" s="181"/>
      <c r="ET26" s="176"/>
      <c r="EU26" s="176"/>
      <c r="EV26" s="176"/>
      <c r="EW26" s="176"/>
      <c r="EX26" s="176"/>
      <c r="EY26" s="176"/>
      <c r="EZ26" s="176"/>
      <c r="FA26" s="194" t="str">
        <f t="shared" si="12"/>
        <v/>
      </c>
      <c r="FB26" s="181"/>
      <c r="FC26" s="176"/>
      <c r="FD26" s="176"/>
      <c r="FE26" s="176"/>
      <c r="FF26" s="176"/>
      <c r="FG26" s="176"/>
      <c r="FH26" s="176"/>
      <c r="FI26" s="176"/>
      <c r="FJ26" s="194" t="str">
        <f t="shared" si="13"/>
        <v/>
      </c>
      <c r="FK26" s="181"/>
      <c r="FL26" s="176"/>
      <c r="FM26" s="176"/>
      <c r="FN26" s="176"/>
      <c r="FO26" s="176"/>
      <c r="FP26" s="176"/>
      <c r="FQ26" s="176"/>
      <c r="FR26" s="176"/>
      <c r="FS26" s="194" t="str">
        <f t="shared" si="14"/>
        <v/>
      </c>
      <c r="FT26" s="181"/>
      <c r="FU26" s="176"/>
      <c r="FV26" s="176"/>
      <c r="FW26" s="176"/>
      <c r="FX26" s="176"/>
      <c r="FY26" s="176"/>
      <c r="FZ26" s="176"/>
      <c r="GA26" s="176"/>
      <c r="GB26" s="194" t="str">
        <f t="shared" si="118"/>
        <v/>
      </c>
      <c r="GC26" s="194" t="str">
        <f t="shared" si="119"/>
        <v/>
      </c>
      <c r="GD26" s="194" t="str">
        <f>IF(GC26="","",IF(GC26&gt;=KONVERSI!$A$5,KONVERSI!$D$5,IF(GC26&gt;=KONVERSI!$A$6,KONVERSI!$D$6,IF(GC26&gt;=KONVERSI!$A$7,KONVERSI!$D$7,KONVERSI!$D$8))))</f>
        <v/>
      </c>
      <c r="GE26" s="194" t="str">
        <f t="shared" si="120"/>
        <v/>
      </c>
      <c r="GF26" s="222"/>
      <c r="GG26" s="223">
        <f t="shared" si="15"/>
        <v>0</v>
      </c>
      <c r="GH26" s="194">
        <f t="shared" si="16"/>
        <v>0</v>
      </c>
      <c r="GI26" s="194">
        <f t="shared" si="17"/>
        <v>0</v>
      </c>
      <c r="GJ26" s="194">
        <f t="shared" si="18"/>
        <v>0</v>
      </c>
      <c r="GK26" s="194">
        <f t="shared" si="19"/>
        <v>0</v>
      </c>
      <c r="GL26" s="194">
        <f t="shared" si="20"/>
        <v>0</v>
      </c>
      <c r="GM26" s="194">
        <f t="shared" si="21"/>
        <v>0</v>
      </c>
      <c r="GN26" s="194">
        <f t="shared" si="22"/>
        <v>0</v>
      </c>
      <c r="GO26" s="194">
        <f t="shared" si="23"/>
        <v>0</v>
      </c>
      <c r="GP26" s="194">
        <f t="shared" si="24"/>
        <v>0</v>
      </c>
      <c r="GQ26" s="194">
        <f t="shared" si="25"/>
        <v>0</v>
      </c>
      <c r="GR26" s="194">
        <f t="shared" si="26"/>
        <v>0</v>
      </c>
      <c r="GS26" s="194">
        <f t="shared" si="27"/>
        <v>0</v>
      </c>
      <c r="GT26" s="194">
        <f t="shared" si="28"/>
        <v>0</v>
      </c>
      <c r="GU26" s="194">
        <f t="shared" si="29"/>
        <v>0</v>
      </c>
      <c r="GV26" s="194">
        <f t="shared" si="30"/>
        <v>0</v>
      </c>
      <c r="GW26" s="194">
        <f t="shared" si="31"/>
        <v>0</v>
      </c>
      <c r="GX26" s="194">
        <f t="shared" si="32"/>
        <v>0</v>
      </c>
      <c r="GY26" s="194">
        <f t="shared" si="33"/>
        <v>0</v>
      </c>
      <c r="GZ26" s="194">
        <f t="shared" si="34"/>
        <v>0</v>
      </c>
      <c r="HA26" s="194">
        <f t="shared" si="35"/>
        <v>0</v>
      </c>
      <c r="HB26" s="194">
        <f t="shared" si="36"/>
        <v>0</v>
      </c>
      <c r="HC26" s="194">
        <f t="shared" si="37"/>
        <v>0</v>
      </c>
      <c r="HD26" s="194">
        <f t="shared" si="38"/>
        <v>0</v>
      </c>
      <c r="HE26" s="194">
        <f t="shared" si="39"/>
        <v>0</v>
      </c>
      <c r="HF26" s="194">
        <f t="shared" si="40"/>
        <v>0</v>
      </c>
      <c r="HG26" s="194">
        <f t="shared" si="41"/>
        <v>0</v>
      </c>
      <c r="HH26" s="194">
        <f t="shared" si="42"/>
        <v>0</v>
      </c>
      <c r="HI26" s="194">
        <f t="shared" si="43"/>
        <v>0</v>
      </c>
      <c r="HJ26" s="194">
        <f t="shared" si="44"/>
        <v>0</v>
      </c>
      <c r="HK26" s="194">
        <f t="shared" si="45"/>
        <v>0</v>
      </c>
      <c r="HL26" s="194">
        <f t="shared" si="46"/>
        <v>0</v>
      </c>
      <c r="HM26" s="194">
        <f t="shared" si="47"/>
        <v>0</v>
      </c>
      <c r="HN26" s="194">
        <f t="shared" si="48"/>
        <v>0</v>
      </c>
      <c r="HO26" s="194">
        <f t="shared" si="49"/>
        <v>0</v>
      </c>
      <c r="HP26" s="194">
        <f t="shared" si="50"/>
        <v>0</v>
      </c>
      <c r="HQ26" s="194">
        <f t="shared" si="51"/>
        <v>0</v>
      </c>
      <c r="HR26" s="194">
        <f t="shared" si="52"/>
        <v>0</v>
      </c>
      <c r="HS26" s="194">
        <f t="shared" si="53"/>
        <v>0</v>
      </c>
      <c r="HT26" s="194">
        <f t="shared" si="54"/>
        <v>0</v>
      </c>
      <c r="HU26" s="194">
        <f t="shared" si="55"/>
        <v>0</v>
      </c>
      <c r="HV26" s="194">
        <f t="shared" si="56"/>
        <v>0</v>
      </c>
      <c r="HW26" s="194">
        <f t="shared" si="57"/>
        <v>0</v>
      </c>
      <c r="HX26" s="194">
        <f t="shared" si="58"/>
        <v>0</v>
      </c>
      <c r="HY26" s="194">
        <f t="shared" si="59"/>
        <v>0</v>
      </c>
      <c r="HZ26" s="194">
        <f t="shared" si="60"/>
        <v>0</v>
      </c>
      <c r="IA26" s="194">
        <f t="shared" si="61"/>
        <v>0</v>
      </c>
      <c r="IB26" s="194">
        <f t="shared" si="62"/>
        <v>0</v>
      </c>
      <c r="IC26" s="194">
        <f t="shared" si="63"/>
        <v>0</v>
      </c>
      <c r="ID26" s="194">
        <f t="shared" si="64"/>
        <v>0</v>
      </c>
      <c r="IE26" s="194">
        <f t="shared" si="65"/>
        <v>0</v>
      </c>
      <c r="IF26" s="194">
        <f t="shared" si="66"/>
        <v>0</v>
      </c>
      <c r="IG26" s="194">
        <f t="shared" si="67"/>
        <v>0</v>
      </c>
      <c r="IH26" s="194">
        <f t="shared" si="68"/>
        <v>0</v>
      </c>
      <c r="II26" s="194">
        <f t="shared" si="69"/>
        <v>0</v>
      </c>
      <c r="IJ26" s="194">
        <f t="shared" si="70"/>
        <v>0</v>
      </c>
      <c r="IK26" s="194">
        <f t="shared" si="71"/>
        <v>0</v>
      </c>
      <c r="IL26" s="194">
        <f t="shared" si="72"/>
        <v>0</v>
      </c>
      <c r="IM26" s="194">
        <f t="shared" si="73"/>
        <v>0</v>
      </c>
      <c r="IN26" s="194">
        <f t="shared" si="74"/>
        <v>0</v>
      </c>
      <c r="IO26" s="194">
        <f t="shared" si="75"/>
        <v>0</v>
      </c>
      <c r="IP26" s="194">
        <f t="shared" si="76"/>
        <v>0</v>
      </c>
      <c r="IQ26" s="194">
        <f t="shared" si="77"/>
        <v>0</v>
      </c>
      <c r="IR26" s="194">
        <f t="shared" si="78"/>
        <v>0</v>
      </c>
      <c r="IS26" s="194">
        <f t="shared" si="79"/>
        <v>0</v>
      </c>
      <c r="IT26" s="194">
        <f t="shared" si="80"/>
        <v>0</v>
      </c>
      <c r="IU26" s="194">
        <f t="shared" si="81"/>
        <v>0</v>
      </c>
      <c r="IV26" s="194">
        <f t="shared" si="82"/>
        <v>0</v>
      </c>
      <c r="IW26" s="194">
        <f t="shared" si="83"/>
        <v>0</v>
      </c>
      <c r="IX26" s="194">
        <f t="shared" si="84"/>
        <v>0</v>
      </c>
      <c r="IY26" s="194">
        <f t="shared" si="85"/>
        <v>0</v>
      </c>
      <c r="IZ26" s="194">
        <f t="shared" si="86"/>
        <v>0</v>
      </c>
      <c r="JA26" s="194">
        <f t="shared" si="87"/>
        <v>0</v>
      </c>
      <c r="JB26" s="194">
        <f t="shared" si="88"/>
        <v>0</v>
      </c>
      <c r="JC26" s="194">
        <f t="shared" si="89"/>
        <v>0</v>
      </c>
      <c r="JD26" s="194">
        <f t="shared" si="90"/>
        <v>0</v>
      </c>
      <c r="JE26" s="194">
        <f t="shared" si="91"/>
        <v>0</v>
      </c>
      <c r="JF26" s="194">
        <f t="shared" si="92"/>
        <v>0</v>
      </c>
      <c r="JG26" s="194">
        <f t="shared" si="93"/>
        <v>0</v>
      </c>
      <c r="JH26" s="194">
        <f t="shared" si="94"/>
        <v>0</v>
      </c>
      <c r="JI26" s="228">
        <v>18</v>
      </c>
      <c r="JJ26" s="229" t="str">
        <f t="shared" si="121"/>
        <v/>
      </c>
      <c r="JK26" s="229" t="str">
        <f t="shared" si="122"/>
        <v/>
      </c>
      <c r="JL26" s="229" t="str">
        <f t="shared" si="123"/>
        <v/>
      </c>
      <c r="JM26" s="229" t="str">
        <f t="shared" si="124"/>
        <v/>
      </c>
      <c r="JN26" s="229" t="str">
        <f t="shared" si="125"/>
        <v/>
      </c>
      <c r="JO26" s="229" t="str">
        <f t="shared" si="126"/>
        <v/>
      </c>
      <c r="JP26" s="229" t="str">
        <f t="shared" si="127"/>
        <v/>
      </c>
      <c r="JQ26" s="229" t="str">
        <f t="shared" si="128"/>
        <v/>
      </c>
      <c r="JR26" s="229" t="str">
        <f t="shared" si="129"/>
        <v/>
      </c>
      <c r="JS26" s="229" t="str">
        <f t="shared" si="130"/>
        <v/>
      </c>
      <c r="JT26" s="229" t="str">
        <f t="shared" si="131"/>
        <v/>
      </c>
      <c r="JU26" s="229" t="str">
        <f t="shared" si="132"/>
        <v/>
      </c>
      <c r="JV26" s="229" t="str">
        <f t="shared" si="133"/>
        <v/>
      </c>
      <c r="JW26" s="229" t="str">
        <f t="shared" si="134"/>
        <v/>
      </c>
      <c r="JX26" s="229" t="str">
        <f t="shared" si="135"/>
        <v/>
      </c>
      <c r="JY26" s="229" t="str">
        <f t="shared" si="136"/>
        <v/>
      </c>
      <c r="JZ26" s="229" t="str">
        <f t="shared" si="137"/>
        <v/>
      </c>
      <c r="KA26" s="229" t="str">
        <f t="shared" si="138"/>
        <v/>
      </c>
      <c r="KB26" s="229" t="str">
        <f t="shared" si="139"/>
        <v/>
      </c>
      <c r="KC26" s="229" t="str">
        <f t="shared" si="140"/>
        <v/>
      </c>
      <c r="KD26" s="231" t="str">
        <f t="shared" si="141"/>
        <v/>
      </c>
      <c r="KE26" s="232" t="str">
        <f>IF(KD26="","",IF(KD26&gt;=KONVERSI!$A$5,KONVERSI!$E$12,IF(KD26&gt;=KONVERSI!$A$6,KONVERSI!$E$13,IF(KD26&gt;=KONVERSI!$A$7,KONVERSI!$E$14,KONVERSI!$E$15))))</f>
        <v/>
      </c>
      <c r="KF26" s="233" t="str">
        <f t="shared" si="142"/>
        <v/>
      </c>
      <c r="KG26" s="234" t="str">
        <f t="shared" si="143"/>
        <v/>
      </c>
      <c r="KH26" s="232" t="str">
        <f>IF(KG26="","",IF(KG26&gt;=KONVERSI!$A$5,KONVERSI!$E$12,IF(KG26&gt;=KONVERSI!$A$6,KONVERSI!$E$13,IF(KG26&gt;=KONVERSI!$A$7,KONVERSI!$E$14,KONVERSI!$E$15))))</f>
        <v/>
      </c>
      <c r="KI26" s="134" t="str">
        <f>IF(GC26="","",IF(GC26&lt;$GD$3," "&amp;KONVERSI!$C$19&amp;INDEX($JJ$8:$KC$8,MATCH(KG27,JJ27:KC27,0))&amp;".",IF(GC26=0,"",IF(KG26&lt;&gt;0,KF26&amp;KH26&amp;".",KF26&amp;"."))))</f>
        <v/>
      </c>
      <c r="KJ26" s="235" t="str">
        <f t="shared" si="144"/>
        <v/>
      </c>
      <c r="KK26" s="235" t="str">
        <f t="shared" si="145"/>
        <v/>
      </c>
      <c r="KL26" s="235" t="str">
        <f t="shared" si="146"/>
        <v/>
      </c>
      <c r="KM26" s="235" t="str">
        <f t="shared" si="147"/>
        <v/>
      </c>
      <c r="KN26" s="235" t="str">
        <f t="shared" si="148"/>
        <v/>
      </c>
      <c r="KO26" s="235" t="str">
        <f t="shared" si="149"/>
        <v/>
      </c>
      <c r="KP26" s="235" t="str">
        <f t="shared" si="150"/>
        <v/>
      </c>
      <c r="KQ26" s="235" t="str">
        <f t="shared" si="151"/>
        <v/>
      </c>
      <c r="KR26" s="235" t="str">
        <f t="shared" si="152"/>
        <v/>
      </c>
      <c r="KS26" s="235" t="str">
        <f t="shared" si="153"/>
        <v/>
      </c>
      <c r="KT26" s="235" t="str">
        <f t="shared" si="154"/>
        <v/>
      </c>
      <c r="KU26" s="235" t="str">
        <f t="shared" si="155"/>
        <v/>
      </c>
      <c r="KV26" s="235" t="str">
        <f t="shared" si="156"/>
        <v/>
      </c>
      <c r="KW26" s="235" t="str">
        <f t="shared" si="157"/>
        <v/>
      </c>
      <c r="KX26" s="235" t="str">
        <f t="shared" si="158"/>
        <v/>
      </c>
      <c r="KY26" s="235" t="str">
        <f t="shared" si="159"/>
        <v/>
      </c>
      <c r="KZ26" s="235" t="str">
        <f t="shared" si="160"/>
        <v/>
      </c>
      <c r="LA26" s="235" t="str">
        <f t="shared" si="161"/>
        <v/>
      </c>
      <c r="LB26" s="235" t="str">
        <f t="shared" si="162"/>
        <v/>
      </c>
      <c r="LC26" s="235" t="str">
        <f t="shared" si="163"/>
        <v/>
      </c>
      <c r="LD26" s="134" t="str">
        <f t="shared" si="164"/>
        <v/>
      </c>
      <c r="LE26" s="134" t="str">
        <f t="shared" si="164"/>
        <v/>
      </c>
      <c r="LF26" s="134" t="str">
        <f t="shared" si="164"/>
        <v/>
      </c>
      <c r="LG26" s="134" t="str">
        <f t="shared" si="164"/>
        <v/>
      </c>
      <c r="LH26" s="134" t="str">
        <f t="shared" si="164"/>
        <v/>
      </c>
      <c r="LI26" s="134" t="str">
        <f t="shared" si="164"/>
        <v/>
      </c>
      <c r="LJ26" s="134" t="str">
        <f t="shared" si="164"/>
        <v/>
      </c>
      <c r="LK26" s="134" t="str">
        <f t="shared" si="164"/>
        <v/>
      </c>
      <c r="LL26" s="134" t="str">
        <f t="shared" si="164"/>
        <v/>
      </c>
      <c r="LM26" s="134" t="str">
        <f t="shared" si="190"/>
        <v/>
      </c>
      <c r="LN26" s="134" t="str">
        <f t="shared" si="190"/>
        <v/>
      </c>
      <c r="LO26" s="134" t="str">
        <f t="shared" si="190"/>
        <v/>
      </c>
      <c r="LP26" s="134" t="str">
        <f t="shared" si="190"/>
        <v/>
      </c>
      <c r="LQ26" s="134" t="str">
        <f t="shared" si="190"/>
        <v/>
      </c>
      <c r="LR26" s="134" t="str">
        <f t="shared" si="190"/>
        <v/>
      </c>
      <c r="LS26" s="134" t="str">
        <f t="shared" si="190"/>
        <v/>
      </c>
      <c r="LT26" s="134" t="str">
        <f t="shared" si="190"/>
        <v/>
      </c>
      <c r="LU26" s="134" t="str">
        <f t="shared" si="190"/>
        <v/>
      </c>
      <c r="LV26" s="134" t="str">
        <f t="shared" si="190"/>
        <v/>
      </c>
      <c r="LW26" s="134" t="str">
        <f t="shared" si="190"/>
        <v/>
      </c>
      <c r="LX26" s="134" t="str">
        <f t="shared" si="165"/>
        <v/>
      </c>
      <c r="LY26" s="134" t="str">
        <f t="shared" si="166"/>
        <v>  </v>
      </c>
      <c r="LZ26" s="236">
        <f t="shared" si="97"/>
        <v>0</v>
      </c>
      <c r="MA26" s="235" t="str">
        <f t="shared" si="167"/>
        <v/>
      </c>
      <c r="MB26" s="235" t="str">
        <f t="shared" si="168"/>
        <v/>
      </c>
      <c r="MC26" s="235" t="str">
        <f t="shared" si="169"/>
        <v/>
      </c>
      <c r="MD26" s="235" t="str">
        <f t="shared" si="170"/>
        <v/>
      </c>
      <c r="ME26" s="235" t="str">
        <f t="shared" si="171"/>
        <v/>
      </c>
      <c r="MF26" s="235" t="str">
        <f t="shared" si="172"/>
        <v/>
      </c>
      <c r="MG26" s="235" t="str">
        <f t="shared" si="173"/>
        <v/>
      </c>
      <c r="MH26" s="235" t="str">
        <f t="shared" si="174"/>
        <v/>
      </c>
      <c r="MI26" s="235" t="str">
        <f t="shared" si="175"/>
        <v/>
      </c>
      <c r="MJ26" s="235" t="str">
        <f t="shared" si="176"/>
        <v/>
      </c>
      <c r="MK26" s="235" t="str">
        <f t="shared" si="177"/>
        <v/>
      </c>
      <c r="ML26" s="235" t="str">
        <f t="shared" si="178"/>
        <v/>
      </c>
      <c r="MM26" s="235" t="str">
        <f t="shared" si="179"/>
        <v/>
      </c>
      <c r="MN26" s="235" t="str">
        <f t="shared" si="180"/>
        <v/>
      </c>
      <c r="MO26" s="235" t="str">
        <f t="shared" si="181"/>
        <v/>
      </c>
      <c r="MP26" s="235" t="str">
        <f t="shared" si="182"/>
        <v/>
      </c>
      <c r="MQ26" s="235" t="str">
        <f t="shared" si="183"/>
        <v/>
      </c>
      <c r="MR26" s="235" t="str">
        <f t="shared" si="184"/>
        <v/>
      </c>
      <c r="MS26" s="235" t="str">
        <f t="shared" si="185"/>
        <v/>
      </c>
      <c r="MT26" s="235" t="str">
        <f t="shared" si="186"/>
        <v/>
      </c>
      <c r="MU26" s="134" t="str">
        <f t="shared" si="187"/>
        <v/>
      </c>
      <c r="MV26" s="134" t="str">
        <f t="shared" si="187"/>
        <v/>
      </c>
      <c r="MW26" s="134" t="str">
        <f t="shared" si="187"/>
        <v/>
      </c>
      <c r="MX26" s="134" t="str">
        <f t="shared" si="187"/>
        <v/>
      </c>
      <c r="MY26" s="134" t="str">
        <f t="shared" si="187"/>
        <v/>
      </c>
      <c r="MZ26" s="134" t="str">
        <f t="shared" si="187"/>
        <v/>
      </c>
      <c r="NA26" s="134" t="str">
        <f t="shared" si="187"/>
        <v/>
      </c>
      <c r="NB26" s="134" t="str">
        <f t="shared" si="187"/>
        <v/>
      </c>
      <c r="NC26" s="134" t="str">
        <f t="shared" si="187"/>
        <v/>
      </c>
      <c r="ND26" s="134" t="str">
        <f t="shared" si="191"/>
        <v/>
      </c>
      <c r="NE26" s="134" t="str">
        <f t="shared" si="191"/>
        <v/>
      </c>
      <c r="NF26" s="134" t="str">
        <f t="shared" si="191"/>
        <v/>
      </c>
      <c r="NG26" s="134" t="str">
        <f t="shared" si="191"/>
        <v/>
      </c>
      <c r="NH26" s="134" t="str">
        <f t="shared" si="191"/>
        <v/>
      </c>
      <c r="NI26" s="134" t="str">
        <f t="shared" si="191"/>
        <v/>
      </c>
      <c r="NJ26" s="134" t="str">
        <f t="shared" si="191"/>
        <v/>
      </c>
      <c r="NK26" s="134" t="str">
        <f t="shared" si="191"/>
        <v/>
      </c>
      <c r="NL26" s="134" t="str">
        <f t="shared" si="191"/>
        <v/>
      </c>
      <c r="NM26" s="134" t="str">
        <f t="shared" si="191"/>
        <v/>
      </c>
      <c r="NN26" s="134" t="str">
        <f t="shared" si="191"/>
        <v/>
      </c>
      <c r="NO26" s="134" t="str">
        <f>IF(KE26=KH26,"",IF(KG26="","",IF(KG26&gt;=KONVERSI!$A$14,'KI4'!KH26&amp;" dalam"&amp;MU26&amp;MV26&amp;MW26&amp;MX26&amp;MY26&amp;MZ26&amp;NA26&amp;NB26&amp;NC26&amp;ND26&amp;NE26&amp;NF26&amp;NG26&amp;NH26&amp;NI26&amp;NJ26&amp;NK26&amp;NL26&amp;NM26&amp;NN26,KONVERSI!$C$19&amp;" dalam"&amp;MU26&amp;MV26&amp;MW26&amp;MX26&amp;MY26&amp;MZ26&amp;NA26&amp;NB26&amp;NC26&amp;ND26&amp;NE26&amp;NF26&amp;NG26&amp;NH26&amp;NI26&amp;NJ26&amp;NK26&amp;NL26&amp;NM26&amp;NN26)))</f>
        <v/>
      </c>
      <c r="NP26" s="134" t="str">
        <f t="shared" si="188"/>
        <v/>
      </c>
      <c r="NQ26" s="236">
        <f t="shared" si="111"/>
        <v>0</v>
      </c>
      <c r="NR26" s="134" t="str">
        <f t="shared" si="189"/>
        <v/>
      </c>
    </row>
    <row r="27" ht="27.6" customHeight="1" spans="1:382">
      <c r="A27" s="136"/>
      <c r="B27" s="177">
        <v>19</v>
      </c>
      <c r="C27" s="178" t="str">
        <f>siswa!C23</f>
        <v>OLIVIA OCTAVIA PARHUSIP</v>
      </c>
      <c r="D27" s="174">
        <f>siswa!D23</f>
        <v>2820</v>
      </c>
      <c r="E27" s="175">
        <v>88</v>
      </c>
      <c r="F27" s="176"/>
      <c r="G27" s="176"/>
      <c r="H27" s="176"/>
      <c r="I27" s="176"/>
      <c r="J27" s="176"/>
      <c r="K27" s="176"/>
      <c r="L27" s="176"/>
      <c r="M27" s="194">
        <f t="shared" si="2"/>
        <v>88</v>
      </c>
      <c r="N27" s="176"/>
      <c r="O27" s="176"/>
      <c r="P27" s="175">
        <v>88</v>
      </c>
      <c r="Q27" s="176"/>
      <c r="R27" s="176"/>
      <c r="S27" s="176"/>
      <c r="T27" s="176"/>
      <c r="U27" s="176"/>
      <c r="V27" s="194">
        <f t="shared" si="3"/>
        <v>88</v>
      </c>
      <c r="W27" s="176"/>
      <c r="X27" s="176"/>
      <c r="Y27" s="176"/>
      <c r="Z27" s="176"/>
      <c r="AA27" s="176"/>
      <c r="AB27" s="176"/>
      <c r="AC27" s="176"/>
      <c r="AD27" s="176"/>
      <c r="AE27" s="194" t="str">
        <f t="shared" si="4"/>
        <v/>
      </c>
      <c r="AF27" s="176"/>
      <c r="AG27" s="176"/>
      <c r="AH27" s="176"/>
      <c r="AI27" s="176"/>
      <c r="AJ27" s="176"/>
      <c r="AK27" s="176"/>
      <c r="AL27" s="176"/>
      <c r="AM27" s="176"/>
      <c r="AN27" s="194" t="str">
        <f t="shared" si="5"/>
        <v/>
      </c>
      <c r="AO27" s="181"/>
      <c r="AP27" s="176"/>
      <c r="AQ27" s="176"/>
      <c r="AR27" s="176"/>
      <c r="AS27" s="176"/>
      <c r="AT27" s="176"/>
      <c r="AU27" s="176"/>
      <c r="AV27" s="176"/>
      <c r="AW27" s="194" t="str">
        <f t="shared" si="112"/>
        <v/>
      </c>
      <c r="AX27" s="181"/>
      <c r="AY27" s="176"/>
      <c r="AZ27" s="176"/>
      <c r="BA27" s="176"/>
      <c r="BB27" s="176"/>
      <c r="BC27" s="176"/>
      <c r="BD27" s="176"/>
      <c r="BE27" s="176"/>
      <c r="BF27" s="194" t="str">
        <f t="shared" si="6"/>
        <v/>
      </c>
      <c r="BG27" s="181"/>
      <c r="BH27" s="176"/>
      <c r="BI27" s="176"/>
      <c r="BJ27" s="176"/>
      <c r="BK27" s="176"/>
      <c r="BL27" s="176"/>
      <c r="BM27" s="176"/>
      <c r="BN27" s="176"/>
      <c r="BO27" s="194" t="str">
        <f t="shared" si="113"/>
        <v/>
      </c>
      <c r="BP27" s="181"/>
      <c r="BQ27" s="176"/>
      <c r="BR27" s="176"/>
      <c r="BS27" s="176"/>
      <c r="BT27" s="176"/>
      <c r="BU27" s="176"/>
      <c r="BV27" s="176"/>
      <c r="BW27" s="176"/>
      <c r="BX27" s="194" t="str">
        <f t="shared" si="114"/>
        <v/>
      </c>
      <c r="BY27" s="181"/>
      <c r="BZ27" s="176"/>
      <c r="CA27" s="176"/>
      <c r="CB27" s="176"/>
      <c r="CC27" s="176"/>
      <c r="CD27" s="176"/>
      <c r="CE27" s="176"/>
      <c r="CF27" s="176"/>
      <c r="CG27" s="194" t="str">
        <f t="shared" si="115"/>
        <v/>
      </c>
      <c r="CH27" s="181"/>
      <c r="CI27" s="176"/>
      <c r="CJ27" s="176"/>
      <c r="CK27" s="176"/>
      <c r="CL27" s="176"/>
      <c r="CM27" s="176"/>
      <c r="CN27" s="176"/>
      <c r="CO27" s="176"/>
      <c r="CP27" s="194" t="str">
        <f t="shared" si="7"/>
        <v/>
      </c>
      <c r="CQ27" s="181"/>
      <c r="CR27" s="176"/>
      <c r="CS27" s="176"/>
      <c r="CT27" s="176"/>
      <c r="CU27" s="176"/>
      <c r="CV27" s="176"/>
      <c r="CW27" s="176"/>
      <c r="CX27" s="176"/>
      <c r="CY27" s="194" t="str">
        <f t="shared" si="116"/>
        <v/>
      </c>
      <c r="CZ27" s="181"/>
      <c r="DA27" s="176"/>
      <c r="DB27" s="176"/>
      <c r="DC27" s="176"/>
      <c r="DD27" s="176"/>
      <c r="DE27" s="176"/>
      <c r="DF27" s="176"/>
      <c r="DG27" s="176"/>
      <c r="DH27" s="194" t="str">
        <f t="shared" si="8"/>
        <v/>
      </c>
      <c r="DI27" s="181"/>
      <c r="DJ27" s="176"/>
      <c r="DK27" s="176"/>
      <c r="DL27" s="176"/>
      <c r="DM27" s="176"/>
      <c r="DN27" s="176"/>
      <c r="DO27" s="176"/>
      <c r="DP27" s="176"/>
      <c r="DQ27" s="194" t="str">
        <f t="shared" si="117"/>
        <v/>
      </c>
      <c r="DR27" s="181"/>
      <c r="DS27" s="176"/>
      <c r="DT27" s="176"/>
      <c r="DU27" s="176"/>
      <c r="DV27" s="176"/>
      <c r="DW27" s="176"/>
      <c r="DX27" s="176"/>
      <c r="DY27" s="176"/>
      <c r="DZ27" s="194" t="str">
        <f t="shared" si="9"/>
        <v/>
      </c>
      <c r="EA27" s="181"/>
      <c r="EB27" s="176"/>
      <c r="EC27" s="176"/>
      <c r="ED27" s="176"/>
      <c r="EE27" s="176"/>
      <c r="EF27" s="176"/>
      <c r="EG27" s="176"/>
      <c r="EH27" s="176"/>
      <c r="EI27" s="194" t="str">
        <f t="shared" si="10"/>
        <v/>
      </c>
      <c r="EJ27" s="181"/>
      <c r="EK27" s="176"/>
      <c r="EL27" s="176"/>
      <c r="EM27" s="176"/>
      <c r="EN27" s="176"/>
      <c r="EO27" s="176"/>
      <c r="EP27" s="176"/>
      <c r="EQ27" s="176"/>
      <c r="ER27" s="194" t="str">
        <f t="shared" si="11"/>
        <v/>
      </c>
      <c r="ES27" s="181"/>
      <c r="ET27" s="176"/>
      <c r="EU27" s="176"/>
      <c r="EV27" s="176"/>
      <c r="EW27" s="176"/>
      <c r="EX27" s="176"/>
      <c r="EY27" s="176"/>
      <c r="EZ27" s="176"/>
      <c r="FA27" s="194" t="str">
        <f t="shared" si="12"/>
        <v/>
      </c>
      <c r="FB27" s="181"/>
      <c r="FC27" s="176"/>
      <c r="FD27" s="176"/>
      <c r="FE27" s="176"/>
      <c r="FF27" s="176"/>
      <c r="FG27" s="176"/>
      <c r="FH27" s="176"/>
      <c r="FI27" s="176"/>
      <c r="FJ27" s="194" t="str">
        <f t="shared" si="13"/>
        <v/>
      </c>
      <c r="FK27" s="181"/>
      <c r="FL27" s="176"/>
      <c r="FM27" s="176"/>
      <c r="FN27" s="176"/>
      <c r="FO27" s="176"/>
      <c r="FP27" s="176"/>
      <c r="FQ27" s="176"/>
      <c r="FR27" s="176"/>
      <c r="FS27" s="194" t="str">
        <f t="shared" si="14"/>
        <v/>
      </c>
      <c r="FT27" s="181"/>
      <c r="FU27" s="176"/>
      <c r="FV27" s="176"/>
      <c r="FW27" s="176"/>
      <c r="FX27" s="176"/>
      <c r="FY27" s="176"/>
      <c r="FZ27" s="176"/>
      <c r="GA27" s="176"/>
      <c r="GB27" s="194" t="str">
        <f t="shared" si="118"/>
        <v/>
      </c>
      <c r="GC27" s="194">
        <f t="shared" si="119"/>
        <v>88</v>
      </c>
      <c r="GD27" s="194" t="str">
        <f>IF(GC27="","",IF(GC27&gt;=KONVERSI!$A$5,KONVERSI!$D$5,IF(GC27&gt;=KONVERSI!$A$6,KONVERSI!$D$6,IF(GC27&gt;=KONVERSI!$A$7,KONVERSI!$D$7,KONVERSI!$D$8))))</f>
        <v>B</v>
      </c>
      <c r="GE27" s="194" t="str">
        <f t="shared" si="120"/>
        <v>Tuntas</v>
      </c>
      <c r="GF27" s="222"/>
      <c r="GG27" s="223">
        <f t="shared" si="15"/>
        <v>88</v>
      </c>
      <c r="GH27" s="194">
        <f t="shared" si="16"/>
        <v>0</v>
      </c>
      <c r="GI27" s="194">
        <f t="shared" si="17"/>
        <v>0</v>
      </c>
      <c r="GJ27" s="194">
        <f t="shared" si="18"/>
        <v>0</v>
      </c>
      <c r="GK27" s="194">
        <f t="shared" si="19"/>
        <v>0</v>
      </c>
      <c r="GL27" s="194">
        <f t="shared" si="20"/>
        <v>88</v>
      </c>
      <c r="GM27" s="194">
        <f t="shared" si="21"/>
        <v>0</v>
      </c>
      <c r="GN27" s="194">
        <f t="shared" si="22"/>
        <v>0</v>
      </c>
      <c r="GO27" s="194">
        <f t="shared" si="23"/>
        <v>0</v>
      </c>
      <c r="GP27" s="194">
        <f t="shared" si="24"/>
        <v>0</v>
      </c>
      <c r="GQ27" s="194">
        <f t="shared" si="25"/>
        <v>0</v>
      </c>
      <c r="GR27" s="194">
        <f t="shared" si="26"/>
        <v>0</v>
      </c>
      <c r="GS27" s="194">
        <f t="shared" si="27"/>
        <v>0</v>
      </c>
      <c r="GT27" s="194">
        <f t="shared" si="28"/>
        <v>0</v>
      </c>
      <c r="GU27" s="194">
        <f t="shared" si="29"/>
        <v>0</v>
      </c>
      <c r="GV27" s="194">
        <f t="shared" si="30"/>
        <v>0</v>
      </c>
      <c r="GW27" s="194">
        <f t="shared" si="31"/>
        <v>0</v>
      </c>
      <c r="GX27" s="194">
        <f t="shared" si="32"/>
        <v>0</v>
      </c>
      <c r="GY27" s="194">
        <f t="shared" si="33"/>
        <v>0</v>
      </c>
      <c r="GZ27" s="194">
        <f t="shared" si="34"/>
        <v>0</v>
      </c>
      <c r="HA27" s="194">
        <f t="shared" si="35"/>
        <v>0</v>
      </c>
      <c r="HB27" s="194">
        <f t="shared" si="36"/>
        <v>0</v>
      </c>
      <c r="HC27" s="194">
        <f t="shared" si="37"/>
        <v>0</v>
      </c>
      <c r="HD27" s="194">
        <f t="shared" si="38"/>
        <v>0</v>
      </c>
      <c r="HE27" s="194">
        <f t="shared" si="39"/>
        <v>0</v>
      </c>
      <c r="HF27" s="194">
        <f t="shared" si="40"/>
        <v>0</v>
      </c>
      <c r="HG27" s="194">
        <f t="shared" si="41"/>
        <v>0</v>
      </c>
      <c r="HH27" s="194">
        <f t="shared" si="42"/>
        <v>0</v>
      </c>
      <c r="HI27" s="194">
        <f t="shared" si="43"/>
        <v>0</v>
      </c>
      <c r="HJ27" s="194">
        <f t="shared" si="44"/>
        <v>0</v>
      </c>
      <c r="HK27" s="194">
        <f t="shared" si="45"/>
        <v>0</v>
      </c>
      <c r="HL27" s="194">
        <f t="shared" si="46"/>
        <v>0</v>
      </c>
      <c r="HM27" s="194">
        <f t="shared" si="47"/>
        <v>0</v>
      </c>
      <c r="HN27" s="194">
        <f t="shared" si="48"/>
        <v>0</v>
      </c>
      <c r="HO27" s="194">
        <f t="shared" si="49"/>
        <v>0</v>
      </c>
      <c r="HP27" s="194">
        <f t="shared" si="50"/>
        <v>0</v>
      </c>
      <c r="HQ27" s="194">
        <f t="shared" si="51"/>
        <v>0</v>
      </c>
      <c r="HR27" s="194">
        <f t="shared" si="52"/>
        <v>0</v>
      </c>
      <c r="HS27" s="194">
        <f t="shared" si="53"/>
        <v>0</v>
      </c>
      <c r="HT27" s="194">
        <f t="shared" si="54"/>
        <v>0</v>
      </c>
      <c r="HU27" s="194">
        <f t="shared" si="55"/>
        <v>0</v>
      </c>
      <c r="HV27" s="194">
        <f t="shared" si="56"/>
        <v>0</v>
      </c>
      <c r="HW27" s="194">
        <f t="shared" si="57"/>
        <v>0</v>
      </c>
      <c r="HX27" s="194">
        <f t="shared" si="58"/>
        <v>0</v>
      </c>
      <c r="HY27" s="194">
        <f t="shared" si="59"/>
        <v>0</v>
      </c>
      <c r="HZ27" s="194">
        <f t="shared" si="60"/>
        <v>0</v>
      </c>
      <c r="IA27" s="194">
        <f t="shared" si="61"/>
        <v>0</v>
      </c>
      <c r="IB27" s="194">
        <f t="shared" si="62"/>
        <v>0</v>
      </c>
      <c r="IC27" s="194">
        <f t="shared" si="63"/>
        <v>0</v>
      </c>
      <c r="ID27" s="194">
        <f t="shared" si="64"/>
        <v>0</v>
      </c>
      <c r="IE27" s="194">
        <f t="shared" si="65"/>
        <v>0</v>
      </c>
      <c r="IF27" s="194">
        <f t="shared" si="66"/>
        <v>0</v>
      </c>
      <c r="IG27" s="194">
        <f t="shared" si="67"/>
        <v>0</v>
      </c>
      <c r="IH27" s="194">
        <f t="shared" si="68"/>
        <v>0</v>
      </c>
      <c r="II27" s="194">
        <f t="shared" si="69"/>
        <v>0</v>
      </c>
      <c r="IJ27" s="194">
        <f t="shared" si="70"/>
        <v>0</v>
      </c>
      <c r="IK27" s="194">
        <f t="shared" si="71"/>
        <v>0</v>
      </c>
      <c r="IL27" s="194">
        <f t="shared" si="72"/>
        <v>0</v>
      </c>
      <c r="IM27" s="194">
        <f t="shared" si="73"/>
        <v>0</v>
      </c>
      <c r="IN27" s="194">
        <f t="shared" si="74"/>
        <v>0</v>
      </c>
      <c r="IO27" s="194">
        <f t="shared" si="75"/>
        <v>0</v>
      </c>
      <c r="IP27" s="194">
        <f t="shared" si="76"/>
        <v>0</v>
      </c>
      <c r="IQ27" s="194">
        <f t="shared" si="77"/>
        <v>0</v>
      </c>
      <c r="IR27" s="194">
        <f t="shared" si="78"/>
        <v>0</v>
      </c>
      <c r="IS27" s="194">
        <f t="shared" si="79"/>
        <v>0</v>
      </c>
      <c r="IT27" s="194">
        <f t="shared" si="80"/>
        <v>0</v>
      </c>
      <c r="IU27" s="194">
        <f t="shared" si="81"/>
        <v>0</v>
      </c>
      <c r="IV27" s="194">
        <f t="shared" si="82"/>
        <v>0</v>
      </c>
      <c r="IW27" s="194">
        <f t="shared" si="83"/>
        <v>0</v>
      </c>
      <c r="IX27" s="194">
        <f t="shared" si="84"/>
        <v>0</v>
      </c>
      <c r="IY27" s="194">
        <f t="shared" si="85"/>
        <v>0</v>
      </c>
      <c r="IZ27" s="194">
        <f t="shared" si="86"/>
        <v>0</v>
      </c>
      <c r="JA27" s="194">
        <f t="shared" si="87"/>
        <v>0</v>
      </c>
      <c r="JB27" s="194">
        <f t="shared" si="88"/>
        <v>0</v>
      </c>
      <c r="JC27" s="194">
        <f t="shared" si="89"/>
        <v>0</v>
      </c>
      <c r="JD27" s="194">
        <f t="shared" si="90"/>
        <v>0</v>
      </c>
      <c r="JE27" s="194">
        <f t="shared" si="91"/>
        <v>0</v>
      </c>
      <c r="JF27" s="194">
        <f t="shared" si="92"/>
        <v>0</v>
      </c>
      <c r="JG27" s="194">
        <f t="shared" si="93"/>
        <v>0</v>
      </c>
      <c r="JH27" s="194">
        <f t="shared" si="94"/>
        <v>0</v>
      </c>
      <c r="JI27" s="228">
        <v>19</v>
      </c>
      <c r="JJ27" s="229">
        <f t="shared" si="121"/>
        <v>88</v>
      </c>
      <c r="JK27" s="229">
        <f t="shared" si="122"/>
        <v>88</v>
      </c>
      <c r="JL27" s="229" t="str">
        <f t="shared" si="123"/>
        <v/>
      </c>
      <c r="JM27" s="229" t="str">
        <f t="shared" si="124"/>
        <v/>
      </c>
      <c r="JN27" s="229" t="str">
        <f t="shared" si="125"/>
        <v/>
      </c>
      <c r="JO27" s="229" t="str">
        <f t="shared" si="126"/>
        <v/>
      </c>
      <c r="JP27" s="229" t="str">
        <f t="shared" si="127"/>
        <v/>
      </c>
      <c r="JQ27" s="229" t="str">
        <f t="shared" si="128"/>
        <v/>
      </c>
      <c r="JR27" s="229" t="str">
        <f t="shared" si="129"/>
        <v/>
      </c>
      <c r="JS27" s="229" t="str">
        <f t="shared" si="130"/>
        <v/>
      </c>
      <c r="JT27" s="229" t="str">
        <f t="shared" si="131"/>
        <v/>
      </c>
      <c r="JU27" s="229" t="str">
        <f t="shared" si="132"/>
        <v/>
      </c>
      <c r="JV27" s="229" t="str">
        <f t="shared" si="133"/>
        <v/>
      </c>
      <c r="JW27" s="229" t="str">
        <f t="shared" si="134"/>
        <v/>
      </c>
      <c r="JX27" s="229" t="str">
        <f t="shared" si="135"/>
        <v/>
      </c>
      <c r="JY27" s="229" t="str">
        <f t="shared" si="136"/>
        <v/>
      </c>
      <c r="JZ27" s="229" t="str">
        <f t="shared" si="137"/>
        <v/>
      </c>
      <c r="KA27" s="229" t="str">
        <f t="shared" si="138"/>
        <v/>
      </c>
      <c r="KB27" s="229" t="str">
        <f t="shared" si="139"/>
        <v/>
      </c>
      <c r="KC27" s="229" t="str">
        <f t="shared" si="140"/>
        <v/>
      </c>
      <c r="KD27" s="231">
        <f t="shared" si="141"/>
        <v>88</v>
      </c>
      <c r="KE27" s="232" t="str">
        <f>IF(KD27="","",IF(KD27&gt;=KONVERSI!$A$5,KONVERSI!$E$12,IF(KD27&gt;=KONVERSI!$A$6,KONVERSI!$E$13,IF(KD27&gt;=KONVERSI!$A$7,KONVERSI!$E$14,KONVERSI!$E$15))))</f>
        <v>Terampil</v>
      </c>
      <c r="KF27" s="233" t="str">
        <f t="shared" si="142"/>
        <v>Terampil dalammemilih jenis, bahan dan teknik pengolahan kerang, kaca, keramik dan botol plastik sesuai dengan potensi daerah setempat</v>
      </c>
      <c r="KG27" s="234">
        <f t="shared" si="143"/>
        <v>88</v>
      </c>
      <c r="KH27" s="232" t="str">
        <f>IF(KG27="","",IF(KG27&gt;=KONVERSI!$A$5,KONVERSI!$E$12,IF(KG27&gt;=KONVERSI!$A$6,KONVERSI!$E$13,IF(KG27&gt;=KONVERSI!$A$7,KONVERSI!$E$14,KONVERSI!$E$15))))</f>
        <v>Terampil</v>
      </c>
      <c r="KI27" s="134" t="str">
        <f>IF(GC27="","",IF(GC27&lt;$GD$3," "&amp;KONVERSI!$C$19&amp;INDEX($JJ$8:$KC$8,MATCH(KG28,JJ28:KC28,0))&amp;".",IF(GC27=0,"",IF(KG27&lt;&gt;0,KF27&amp;KH27&amp;".",KF27&amp;"."))))</f>
        <v>Terampil dalammemilih jenis, bahan dan teknik pengolahan kerang, kaca, keramik dan botol plastik sesuai dengan potensi daerah setempatTerampil.</v>
      </c>
      <c r="KJ27" s="235" t="str">
        <f t="shared" si="144"/>
        <v>OK</v>
      </c>
      <c r="KK27" s="235" t="str">
        <f t="shared" si="145"/>
        <v>OK</v>
      </c>
      <c r="KL27" s="235" t="str">
        <f t="shared" si="146"/>
        <v/>
      </c>
      <c r="KM27" s="235" t="str">
        <f t="shared" si="147"/>
        <v/>
      </c>
      <c r="KN27" s="235" t="str">
        <f t="shared" si="148"/>
        <v/>
      </c>
      <c r="KO27" s="235" t="str">
        <f t="shared" si="149"/>
        <v/>
      </c>
      <c r="KP27" s="235" t="str">
        <f t="shared" si="150"/>
        <v/>
      </c>
      <c r="KQ27" s="235" t="str">
        <f t="shared" si="151"/>
        <v/>
      </c>
      <c r="KR27" s="235" t="str">
        <f t="shared" si="152"/>
        <v/>
      </c>
      <c r="KS27" s="235" t="str">
        <f t="shared" si="153"/>
        <v/>
      </c>
      <c r="KT27" s="235" t="str">
        <f t="shared" si="154"/>
        <v/>
      </c>
      <c r="KU27" s="235" t="str">
        <f t="shared" si="155"/>
        <v/>
      </c>
      <c r="KV27" s="235" t="str">
        <f t="shared" si="156"/>
        <v/>
      </c>
      <c r="KW27" s="235" t="str">
        <f t="shared" si="157"/>
        <v/>
      </c>
      <c r="KX27" s="235" t="str">
        <f t="shared" si="158"/>
        <v/>
      </c>
      <c r="KY27" s="235" t="str">
        <f t="shared" si="159"/>
        <v/>
      </c>
      <c r="KZ27" s="235" t="str">
        <f t="shared" si="160"/>
        <v/>
      </c>
      <c r="LA27" s="235" t="str">
        <f t="shared" si="161"/>
        <v/>
      </c>
      <c r="LB27" s="235" t="str">
        <f t="shared" si="162"/>
        <v/>
      </c>
      <c r="LC27" s="235" t="str">
        <f t="shared" si="163"/>
        <v/>
      </c>
      <c r="LD27" s="134" t="str">
        <f t="shared" si="164"/>
        <v>memilih jenis, bahan dan teknik pengolahan kerang, kaca, keramik dan botol plastik sesuai dengan potensi daerah setempat</v>
      </c>
      <c r="LE27" s="134" t="str">
        <f t="shared" si="164"/>
        <v>perancangan pembuatan dan penyajian kerajinan kerang, kaca, keramik dan botol plastik yang kreatif dan inovatif</v>
      </c>
      <c r="LF27" s="134" t="str">
        <f t="shared" si="164"/>
        <v/>
      </c>
      <c r="LG27" s="134" t="str">
        <f t="shared" si="164"/>
        <v/>
      </c>
      <c r="LH27" s="134" t="str">
        <f t="shared" si="164"/>
        <v/>
      </c>
      <c r="LI27" s="134" t="str">
        <f t="shared" si="164"/>
        <v/>
      </c>
      <c r="LJ27" s="134" t="str">
        <f t="shared" si="164"/>
        <v/>
      </c>
      <c r="LK27" s="134" t="str">
        <f t="shared" si="164"/>
        <v/>
      </c>
      <c r="LL27" s="134" t="str">
        <f t="shared" si="164"/>
        <v/>
      </c>
      <c r="LM27" s="134" t="str">
        <f t="shared" si="190"/>
        <v/>
      </c>
      <c r="LN27" s="134" t="str">
        <f t="shared" si="190"/>
        <v/>
      </c>
      <c r="LO27" s="134" t="str">
        <f t="shared" si="190"/>
        <v/>
      </c>
      <c r="LP27" s="134" t="str">
        <f t="shared" si="190"/>
        <v/>
      </c>
      <c r="LQ27" s="134" t="str">
        <f t="shared" si="190"/>
        <v/>
      </c>
      <c r="LR27" s="134" t="str">
        <f t="shared" si="190"/>
        <v/>
      </c>
      <c r="LS27" s="134" t="str">
        <f t="shared" si="190"/>
        <v/>
      </c>
      <c r="LT27" s="134" t="str">
        <f t="shared" si="190"/>
        <v/>
      </c>
      <c r="LU27" s="134" t="str">
        <f t="shared" si="190"/>
        <v/>
      </c>
      <c r="LV27" s="134" t="str">
        <f t="shared" si="190"/>
        <v/>
      </c>
      <c r="LW27" s="134" t="str">
        <f t="shared" si="190"/>
        <v/>
      </c>
      <c r="LX27" s="134" t="str">
        <f t="shared" si="165"/>
        <v>Terampil dalam memilih jenis, bahan dan teknik pengolahan kerang, kaca, keramik dan botol plastik sesuai dengan potensi daerah setempatperancangan pembuatan dan penyajian kerajinan kerang, kaca, keramik dan botol plastik yang kreatif dan inovatif</v>
      </c>
      <c r="LY27" s="134" t="str">
        <f t="shared" si="166"/>
        <v>Terampil dalam memilih jenis, bahan dan teknik pengolahan kerang, kaca, keramik dan botol plastik sesuai dengan potensi daerah setempatperancangan pembuatan dan penyajian kerajinan kerang, kaca, keramik dan botol plastik yang kreatif dan inovati.  </v>
      </c>
      <c r="LZ27" s="236">
        <f t="shared" si="97"/>
        <v>2</v>
      </c>
      <c r="MA27" s="235" t="str">
        <f t="shared" si="167"/>
        <v>OK</v>
      </c>
      <c r="MB27" s="235" t="str">
        <f t="shared" si="168"/>
        <v>OK</v>
      </c>
      <c r="MC27" s="235" t="str">
        <f t="shared" si="169"/>
        <v/>
      </c>
      <c r="MD27" s="235" t="str">
        <f t="shared" si="170"/>
        <v/>
      </c>
      <c r="ME27" s="235" t="str">
        <f t="shared" si="171"/>
        <v/>
      </c>
      <c r="MF27" s="235" t="str">
        <f t="shared" si="172"/>
        <v/>
      </c>
      <c r="MG27" s="235" t="str">
        <f t="shared" si="173"/>
        <v/>
      </c>
      <c r="MH27" s="235" t="str">
        <f t="shared" si="174"/>
        <v/>
      </c>
      <c r="MI27" s="235" t="str">
        <f t="shared" si="175"/>
        <v/>
      </c>
      <c r="MJ27" s="235" t="str">
        <f t="shared" si="176"/>
        <v/>
      </c>
      <c r="MK27" s="235" t="str">
        <f t="shared" si="177"/>
        <v/>
      </c>
      <c r="ML27" s="235" t="str">
        <f t="shared" si="178"/>
        <v/>
      </c>
      <c r="MM27" s="235" t="str">
        <f t="shared" si="179"/>
        <v/>
      </c>
      <c r="MN27" s="235" t="str">
        <f t="shared" si="180"/>
        <v/>
      </c>
      <c r="MO27" s="235" t="str">
        <f t="shared" si="181"/>
        <v/>
      </c>
      <c r="MP27" s="235" t="str">
        <f t="shared" si="182"/>
        <v/>
      </c>
      <c r="MQ27" s="235" t="str">
        <f t="shared" si="183"/>
        <v/>
      </c>
      <c r="MR27" s="235" t="str">
        <f t="shared" si="184"/>
        <v/>
      </c>
      <c r="MS27" s="235" t="str">
        <f t="shared" si="185"/>
        <v/>
      </c>
      <c r="MT27" s="235" t="str">
        <f t="shared" si="186"/>
        <v/>
      </c>
      <c r="MU27" s="134" t="str">
        <f t="shared" si="187"/>
        <v>memilih jenis, bahan dan teknik pengolahan kerang, kaca, keramik dan botol plastik sesuai dengan potensi daerah setempat</v>
      </c>
      <c r="MV27" s="134" t="str">
        <f t="shared" si="187"/>
        <v>perancangan pembuatan dan penyajian kerajinan kerang, kaca, keramik dan botol plastik yang kreatif dan inovatif</v>
      </c>
      <c r="MW27" s="134" t="str">
        <f t="shared" si="187"/>
        <v/>
      </c>
      <c r="MX27" s="134" t="str">
        <f t="shared" si="187"/>
        <v/>
      </c>
      <c r="MY27" s="134" t="str">
        <f t="shared" si="187"/>
        <v/>
      </c>
      <c r="MZ27" s="134" t="str">
        <f t="shared" si="187"/>
        <v/>
      </c>
      <c r="NA27" s="134" t="str">
        <f t="shared" si="187"/>
        <v/>
      </c>
      <c r="NB27" s="134" t="str">
        <f t="shared" si="187"/>
        <v/>
      </c>
      <c r="NC27" s="134" t="str">
        <f t="shared" si="187"/>
        <v/>
      </c>
      <c r="ND27" s="134" t="str">
        <f t="shared" si="191"/>
        <v/>
      </c>
      <c r="NE27" s="134" t="str">
        <f t="shared" si="191"/>
        <v/>
      </c>
      <c r="NF27" s="134" t="str">
        <f t="shared" si="191"/>
        <v/>
      </c>
      <c r="NG27" s="134" t="str">
        <f t="shared" si="191"/>
        <v/>
      </c>
      <c r="NH27" s="134" t="str">
        <f t="shared" si="191"/>
        <v/>
      </c>
      <c r="NI27" s="134" t="str">
        <f t="shared" si="191"/>
        <v/>
      </c>
      <c r="NJ27" s="134" t="str">
        <f t="shared" si="191"/>
        <v/>
      </c>
      <c r="NK27" s="134" t="str">
        <f t="shared" si="191"/>
        <v/>
      </c>
      <c r="NL27" s="134" t="str">
        <f t="shared" si="191"/>
        <v/>
      </c>
      <c r="NM27" s="134" t="str">
        <f t="shared" si="191"/>
        <v/>
      </c>
      <c r="NN27" s="134" t="str">
        <f t="shared" si="191"/>
        <v/>
      </c>
      <c r="NO27" s="134" t="str">
        <f>IF(KE27=KH27,"",IF(KG27="","",IF(KG27&gt;=KONVERSI!$A$14,'KI4'!KH27&amp;" dalam"&amp;MU27&amp;MV27&amp;MW27&amp;MX27&amp;MY27&amp;MZ27&amp;NA27&amp;NB27&amp;NC27&amp;ND27&amp;NE27&amp;NF27&amp;NG27&amp;NH27&amp;NI27&amp;NJ27&amp;NK27&amp;NL27&amp;NM27&amp;NN27,KONVERSI!$C$19&amp;" dalam"&amp;MU27&amp;MV27&amp;MW27&amp;MX27&amp;MY27&amp;MZ27&amp;NA27&amp;NB27&amp;NC27&amp;ND27&amp;NE27&amp;NF27&amp;NG27&amp;NH27&amp;NI27&amp;NJ27&amp;NK27&amp;NL27&amp;NM27&amp;NN27)))</f>
        <v/>
      </c>
      <c r="NP27" s="134" t="str">
        <f t="shared" si="188"/>
        <v/>
      </c>
      <c r="NQ27" s="236">
        <f t="shared" si="111"/>
        <v>2</v>
      </c>
      <c r="NR27" s="134" t="str">
        <f t="shared" si="189"/>
        <v>Terampil dalam memilih jenis, bahan dan teknik pengolahan kerang, kaca, keramik dan botol plastik sesuai dengan potensi daerah setempatperancangan pembuatan dan penyajian kerajinan kerang, kaca, keramik dan botol plastik yang kreatif dan inovati.  </v>
      </c>
    </row>
    <row r="28" ht="27.6" customHeight="1" spans="1:382">
      <c r="A28" s="136"/>
      <c r="B28" s="177">
        <v>20</v>
      </c>
      <c r="C28" s="178" t="str">
        <f>siswa!C24</f>
        <v>RICKY VELY SITANGGANG</v>
      </c>
      <c r="D28" s="174">
        <f>siswa!D24</f>
        <v>2830</v>
      </c>
      <c r="E28" s="175">
        <v>84</v>
      </c>
      <c r="F28" s="176"/>
      <c r="G28" s="176"/>
      <c r="H28" s="176"/>
      <c r="I28" s="176"/>
      <c r="J28" s="176"/>
      <c r="K28" s="176"/>
      <c r="L28" s="176"/>
      <c r="M28" s="194">
        <f t="shared" si="2"/>
        <v>84</v>
      </c>
      <c r="N28" s="176"/>
      <c r="O28" s="176"/>
      <c r="P28" s="175">
        <v>84</v>
      </c>
      <c r="Q28" s="176"/>
      <c r="R28" s="176"/>
      <c r="S28" s="176"/>
      <c r="T28" s="176"/>
      <c r="U28" s="176"/>
      <c r="V28" s="194">
        <f t="shared" si="3"/>
        <v>84</v>
      </c>
      <c r="W28" s="176"/>
      <c r="X28" s="176"/>
      <c r="Y28" s="176"/>
      <c r="Z28" s="176"/>
      <c r="AA28" s="176"/>
      <c r="AB28" s="176"/>
      <c r="AC28" s="176"/>
      <c r="AD28" s="176"/>
      <c r="AE28" s="194" t="str">
        <f t="shared" si="4"/>
        <v/>
      </c>
      <c r="AF28" s="176"/>
      <c r="AG28" s="176"/>
      <c r="AH28" s="176"/>
      <c r="AI28" s="176"/>
      <c r="AJ28" s="176"/>
      <c r="AK28" s="176"/>
      <c r="AL28" s="176"/>
      <c r="AM28" s="176"/>
      <c r="AN28" s="194" t="str">
        <f t="shared" si="5"/>
        <v/>
      </c>
      <c r="AO28" s="181"/>
      <c r="AP28" s="176"/>
      <c r="AQ28" s="176"/>
      <c r="AR28" s="176"/>
      <c r="AS28" s="176"/>
      <c r="AT28" s="176"/>
      <c r="AU28" s="176"/>
      <c r="AV28" s="176"/>
      <c r="AW28" s="194" t="str">
        <f t="shared" si="112"/>
        <v/>
      </c>
      <c r="AX28" s="181"/>
      <c r="AY28" s="176"/>
      <c r="AZ28" s="176"/>
      <c r="BA28" s="176"/>
      <c r="BB28" s="176"/>
      <c r="BC28" s="176"/>
      <c r="BD28" s="176"/>
      <c r="BE28" s="176"/>
      <c r="BF28" s="194" t="str">
        <f t="shared" si="6"/>
        <v/>
      </c>
      <c r="BG28" s="181"/>
      <c r="BH28" s="176"/>
      <c r="BI28" s="176"/>
      <c r="BJ28" s="176"/>
      <c r="BK28" s="176"/>
      <c r="BL28" s="176"/>
      <c r="BM28" s="176"/>
      <c r="BN28" s="176"/>
      <c r="BO28" s="194" t="str">
        <f t="shared" si="113"/>
        <v/>
      </c>
      <c r="BP28" s="181"/>
      <c r="BQ28" s="176"/>
      <c r="BR28" s="176"/>
      <c r="BS28" s="176"/>
      <c r="BT28" s="176"/>
      <c r="BU28" s="176"/>
      <c r="BV28" s="176"/>
      <c r="BW28" s="176"/>
      <c r="BX28" s="194" t="str">
        <f t="shared" si="114"/>
        <v/>
      </c>
      <c r="BY28" s="181"/>
      <c r="BZ28" s="176"/>
      <c r="CA28" s="176"/>
      <c r="CB28" s="176"/>
      <c r="CC28" s="176"/>
      <c r="CD28" s="176"/>
      <c r="CE28" s="176"/>
      <c r="CF28" s="176"/>
      <c r="CG28" s="194" t="str">
        <f t="shared" si="115"/>
        <v/>
      </c>
      <c r="CH28" s="181"/>
      <c r="CI28" s="176"/>
      <c r="CJ28" s="176"/>
      <c r="CK28" s="176"/>
      <c r="CL28" s="176"/>
      <c r="CM28" s="176"/>
      <c r="CN28" s="176"/>
      <c r="CO28" s="176"/>
      <c r="CP28" s="194" t="str">
        <f t="shared" si="7"/>
        <v/>
      </c>
      <c r="CQ28" s="181"/>
      <c r="CR28" s="176"/>
      <c r="CS28" s="176"/>
      <c r="CT28" s="176"/>
      <c r="CU28" s="176"/>
      <c r="CV28" s="176"/>
      <c r="CW28" s="176"/>
      <c r="CX28" s="176"/>
      <c r="CY28" s="194" t="str">
        <f t="shared" si="116"/>
        <v/>
      </c>
      <c r="CZ28" s="181"/>
      <c r="DA28" s="176"/>
      <c r="DB28" s="176"/>
      <c r="DC28" s="176"/>
      <c r="DD28" s="176"/>
      <c r="DE28" s="176"/>
      <c r="DF28" s="176"/>
      <c r="DG28" s="176"/>
      <c r="DH28" s="194" t="str">
        <f t="shared" si="8"/>
        <v/>
      </c>
      <c r="DI28" s="181"/>
      <c r="DJ28" s="176"/>
      <c r="DK28" s="176"/>
      <c r="DL28" s="176"/>
      <c r="DM28" s="176"/>
      <c r="DN28" s="176"/>
      <c r="DO28" s="176"/>
      <c r="DP28" s="176"/>
      <c r="DQ28" s="194" t="str">
        <f t="shared" si="117"/>
        <v/>
      </c>
      <c r="DR28" s="181"/>
      <c r="DS28" s="176"/>
      <c r="DT28" s="176"/>
      <c r="DU28" s="176"/>
      <c r="DV28" s="176"/>
      <c r="DW28" s="176"/>
      <c r="DX28" s="176"/>
      <c r="DY28" s="176"/>
      <c r="DZ28" s="194" t="str">
        <f t="shared" si="9"/>
        <v/>
      </c>
      <c r="EA28" s="181"/>
      <c r="EB28" s="176"/>
      <c r="EC28" s="176"/>
      <c r="ED28" s="176"/>
      <c r="EE28" s="176"/>
      <c r="EF28" s="176"/>
      <c r="EG28" s="176"/>
      <c r="EH28" s="176"/>
      <c r="EI28" s="194" t="str">
        <f t="shared" si="10"/>
        <v/>
      </c>
      <c r="EJ28" s="181"/>
      <c r="EK28" s="176"/>
      <c r="EL28" s="176"/>
      <c r="EM28" s="176"/>
      <c r="EN28" s="176"/>
      <c r="EO28" s="176"/>
      <c r="EP28" s="176"/>
      <c r="EQ28" s="176"/>
      <c r="ER28" s="194" t="str">
        <f t="shared" si="11"/>
        <v/>
      </c>
      <c r="ES28" s="181"/>
      <c r="ET28" s="176"/>
      <c r="EU28" s="176"/>
      <c r="EV28" s="176"/>
      <c r="EW28" s="176"/>
      <c r="EX28" s="176"/>
      <c r="EY28" s="176"/>
      <c r="EZ28" s="176"/>
      <c r="FA28" s="194" t="str">
        <f t="shared" si="12"/>
        <v/>
      </c>
      <c r="FB28" s="181"/>
      <c r="FC28" s="176"/>
      <c r="FD28" s="176"/>
      <c r="FE28" s="176"/>
      <c r="FF28" s="176"/>
      <c r="FG28" s="176"/>
      <c r="FH28" s="176"/>
      <c r="FI28" s="176"/>
      <c r="FJ28" s="194" t="str">
        <f t="shared" si="13"/>
        <v/>
      </c>
      <c r="FK28" s="181"/>
      <c r="FL28" s="176"/>
      <c r="FM28" s="176"/>
      <c r="FN28" s="176"/>
      <c r="FO28" s="176"/>
      <c r="FP28" s="176"/>
      <c r="FQ28" s="176"/>
      <c r="FR28" s="176"/>
      <c r="FS28" s="194" t="str">
        <f t="shared" si="14"/>
        <v/>
      </c>
      <c r="FT28" s="181"/>
      <c r="FU28" s="176"/>
      <c r="FV28" s="176"/>
      <c r="FW28" s="176"/>
      <c r="FX28" s="176"/>
      <c r="FY28" s="176"/>
      <c r="FZ28" s="176"/>
      <c r="GA28" s="176"/>
      <c r="GB28" s="194" t="str">
        <f t="shared" si="118"/>
        <v/>
      </c>
      <c r="GC28" s="194">
        <f t="shared" si="119"/>
        <v>84</v>
      </c>
      <c r="GD28" s="194" t="str">
        <f>IF(GC28="","",IF(GC28&gt;=KONVERSI!$A$5,KONVERSI!$D$5,IF(GC28&gt;=KONVERSI!$A$6,KONVERSI!$D$6,IF(GC28&gt;=KONVERSI!$A$7,KONVERSI!$D$7,KONVERSI!$D$8))))</f>
        <v>B</v>
      </c>
      <c r="GE28" s="194" t="str">
        <f t="shared" si="120"/>
        <v>Tuntas</v>
      </c>
      <c r="GF28" s="222"/>
      <c r="GG28" s="223">
        <f t="shared" si="15"/>
        <v>84</v>
      </c>
      <c r="GH28" s="194">
        <f t="shared" si="16"/>
        <v>0</v>
      </c>
      <c r="GI28" s="194">
        <f t="shared" si="17"/>
        <v>0</v>
      </c>
      <c r="GJ28" s="194">
        <f t="shared" si="18"/>
        <v>0</v>
      </c>
      <c r="GK28" s="194">
        <f t="shared" si="19"/>
        <v>0</v>
      </c>
      <c r="GL28" s="194">
        <f t="shared" si="20"/>
        <v>84</v>
      </c>
      <c r="GM28" s="194">
        <f t="shared" si="21"/>
        <v>0</v>
      </c>
      <c r="GN28" s="194">
        <f t="shared" si="22"/>
        <v>0</v>
      </c>
      <c r="GO28" s="194">
        <f t="shared" si="23"/>
        <v>0</v>
      </c>
      <c r="GP28" s="194">
        <f t="shared" si="24"/>
        <v>0</v>
      </c>
      <c r="GQ28" s="194">
        <f t="shared" si="25"/>
        <v>0</v>
      </c>
      <c r="GR28" s="194">
        <f t="shared" si="26"/>
        <v>0</v>
      </c>
      <c r="GS28" s="194">
        <f t="shared" si="27"/>
        <v>0</v>
      </c>
      <c r="GT28" s="194">
        <f t="shared" si="28"/>
        <v>0</v>
      </c>
      <c r="GU28" s="194">
        <f t="shared" si="29"/>
        <v>0</v>
      </c>
      <c r="GV28" s="194">
        <f t="shared" si="30"/>
        <v>0</v>
      </c>
      <c r="GW28" s="194">
        <f t="shared" si="31"/>
        <v>0</v>
      </c>
      <c r="GX28" s="194">
        <f t="shared" si="32"/>
        <v>0</v>
      </c>
      <c r="GY28" s="194">
        <f t="shared" si="33"/>
        <v>0</v>
      </c>
      <c r="GZ28" s="194">
        <f t="shared" si="34"/>
        <v>0</v>
      </c>
      <c r="HA28" s="194">
        <f t="shared" si="35"/>
        <v>0</v>
      </c>
      <c r="HB28" s="194">
        <f t="shared" si="36"/>
        <v>0</v>
      </c>
      <c r="HC28" s="194">
        <f t="shared" si="37"/>
        <v>0</v>
      </c>
      <c r="HD28" s="194">
        <f t="shared" si="38"/>
        <v>0</v>
      </c>
      <c r="HE28" s="194">
        <f t="shared" si="39"/>
        <v>0</v>
      </c>
      <c r="HF28" s="194">
        <f t="shared" si="40"/>
        <v>0</v>
      </c>
      <c r="HG28" s="194">
        <f t="shared" si="41"/>
        <v>0</v>
      </c>
      <c r="HH28" s="194">
        <f t="shared" si="42"/>
        <v>0</v>
      </c>
      <c r="HI28" s="194">
        <f t="shared" si="43"/>
        <v>0</v>
      </c>
      <c r="HJ28" s="194">
        <f t="shared" si="44"/>
        <v>0</v>
      </c>
      <c r="HK28" s="194">
        <f t="shared" si="45"/>
        <v>0</v>
      </c>
      <c r="HL28" s="194">
        <f t="shared" si="46"/>
        <v>0</v>
      </c>
      <c r="HM28" s="194">
        <f t="shared" si="47"/>
        <v>0</v>
      </c>
      <c r="HN28" s="194">
        <f t="shared" si="48"/>
        <v>0</v>
      </c>
      <c r="HO28" s="194">
        <f t="shared" si="49"/>
        <v>0</v>
      </c>
      <c r="HP28" s="194">
        <f t="shared" si="50"/>
        <v>0</v>
      </c>
      <c r="HQ28" s="194">
        <f t="shared" si="51"/>
        <v>0</v>
      </c>
      <c r="HR28" s="194">
        <f t="shared" si="52"/>
        <v>0</v>
      </c>
      <c r="HS28" s="194">
        <f t="shared" si="53"/>
        <v>0</v>
      </c>
      <c r="HT28" s="194">
        <f t="shared" si="54"/>
        <v>0</v>
      </c>
      <c r="HU28" s="194">
        <f t="shared" si="55"/>
        <v>0</v>
      </c>
      <c r="HV28" s="194">
        <f t="shared" si="56"/>
        <v>0</v>
      </c>
      <c r="HW28" s="194">
        <f t="shared" si="57"/>
        <v>0</v>
      </c>
      <c r="HX28" s="194">
        <f t="shared" si="58"/>
        <v>0</v>
      </c>
      <c r="HY28" s="194">
        <f t="shared" si="59"/>
        <v>0</v>
      </c>
      <c r="HZ28" s="194">
        <f t="shared" si="60"/>
        <v>0</v>
      </c>
      <c r="IA28" s="194">
        <f t="shared" si="61"/>
        <v>0</v>
      </c>
      <c r="IB28" s="194">
        <f t="shared" si="62"/>
        <v>0</v>
      </c>
      <c r="IC28" s="194">
        <f t="shared" si="63"/>
        <v>0</v>
      </c>
      <c r="ID28" s="194">
        <f t="shared" si="64"/>
        <v>0</v>
      </c>
      <c r="IE28" s="194">
        <f t="shared" si="65"/>
        <v>0</v>
      </c>
      <c r="IF28" s="194">
        <f t="shared" si="66"/>
        <v>0</v>
      </c>
      <c r="IG28" s="194">
        <f t="shared" si="67"/>
        <v>0</v>
      </c>
      <c r="IH28" s="194">
        <f t="shared" si="68"/>
        <v>0</v>
      </c>
      <c r="II28" s="194">
        <f t="shared" si="69"/>
        <v>0</v>
      </c>
      <c r="IJ28" s="194">
        <f t="shared" si="70"/>
        <v>0</v>
      </c>
      <c r="IK28" s="194">
        <f t="shared" si="71"/>
        <v>0</v>
      </c>
      <c r="IL28" s="194">
        <f t="shared" si="72"/>
        <v>0</v>
      </c>
      <c r="IM28" s="194">
        <f t="shared" si="73"/>
        <v>0</v>
      </c>
      <c r="IN28" s="194">
        <f t="shared" si="74"/>
        <v>0</v>
      </c>
      <c r="IO28" s="194">
        <f t="shared" si="75"/>
        <v>0</v>
      </c>
      <c r="IP28" s="194">
        <f t="shared" si="76"/>
        <v>0</v>
      </c>
      <c r="IQ28" s="194">
        <f t="shared" si="77"/>
        <v>0</v>
      </c>
      <c r="IR28" s="194">
        <f t="shared" si="78"/>
        <v>0</v>
      </c>
      <c r="IS28" s="194">
        <f t="shared" si="79"/>
        <v>0</v>
      </c>
      <c r="IT28" s="194">
        <f t="shared" si="80"/>
        <v>0</v>
      </c>
      <c r="IU28" s="194">
        <f t="shared" si="81"/>
        <v>0</v>
      </c>
      <c r="IV28" s="194">
        <f t="shared" si="82"/>
        <v>0</v>
      </c>
      <c r="IW28" s="194">
        <f t="shared" si="83"/>
        <v>0</v>
      </c>
      <c r="IX28" s="194">
        <f t="shared" si="84"/>
        <v>0</v>
      </c>
      <c r="IY28" s="194">
        <f t="shared" si="85"/>
        <v>0</v>
      </c>
      <c r="IZ28" s="194">
        <f t="shared" si="86"/>
        <v>0</v>
      </c>
      <c r="JA28" s="194">
        <f t="shared" si="87"/>
        <v>0</v>
      </c>
      <c r="JB28" s="194">
        <f t="shared" si="88"/>
        <v>0</v>
      </c>
      <c r="JC28" s="194">
        <f t="shared" si="89"/>
        <v>0</v>
      </c>
      <c r="JD28" s="194">
        <f t="shared" si="90"/>
        <v>0</v>
      </c>
      <c r="JE28" s="194">
        <f t="shared" si="91"/>
        <v>0</v>
      </c>
      <c r="JF28" s="194">
        <f t="shared" si="92"/>
        <v>0</v>
      </c>
      <c r="JG28" s="194">
        <f t="shared" si="93"/>
        <v>0</v>
      </c>
      <c r="JH28" s="194">
        <f t="shared" si="94"/>
        <v>0</v>
      </c>
      <c r="JI28" s="228">
        <v>20</v>
      </c>
      <c r="JJ28" s="229">
        <f t="shared" si="121"/>
        <v>84</v>
      </c>
      <c r="JK28" s="229">
        <f t="shared" si="122"/>
        <v>84</v>
      </c>
      <c r="JL28" s="229" t="str">
        <f t="shared" si="123"/>
        <v/>
      </c>
      <c r="JM28" s="229" t="str">
        <f t="shared" si="124"/>
        <v/>
      </c>
      <c r="JN28" s="229" t="str">
        <f t="shared" si="125"/>
        <v/>
      </c>
      <c r="JO28" s="229" t="str">
        <f t="shared" si="126"/>
        <v/>
      </c>
      <c r="JP28" s="229" t="str">
        <f t="shared" si="127"/>
        <v/>
      </c>
      <c r="JQ28" s="229" t="str">
        <f t="shared" si="128"/>
        <v/>
      </c>
      <c r="JR28" s="229" t="str">
        <f t="shared" si="129"/>
        <v/>
      </c>
      <c r="JS28" s="229" t="str">
        <f t="shared" si="130"/>
        <v/>
      </c>
      <c r="JT28" s="229" t="str">
        <f t="shared" si="131"/>
        <v/>
      </c>
      <c r="JU28" s="229" t="str">
        <f t="shared" si="132"/>
        <v/>
      </c>
      <c r="JV28" s="229" t="str">
        <f t="shared" si="133"/>
        <v/>
      </c>
      <c r="JW28" s="229" t="str">
        <f t="shared" si="134"/>
        <v/>
      </c>
      <c r="JX28" s="229" t="str">
        <f t="shared" si="135"/>
        <v/>
      </c>
      <c r="JY28" s="229" t="str">
        <f t="shared" si="136"/>
        <v/>
      </c>
      <c r="JZ28" s="229" t="str">
        <f t="shared" si="137"/>
        <v/>
      </c>
      <c r="KA28" s="229" t="str">
        <f t="shared" si="138"/>
        <v/>
      </c>
      <c r="KB28" s="229" t="str">
        <f t="shared" si="139"/>
        <v/>
      </c>
      <c r="KC28" s="229" t="str">
        <f t="shared" si="140"/>
        <v/>
      </c>
      <c r="KD28" s="231">
        <f t="shared" si="141"/>
        <v>84</v>
      </c>
      <c r="KE28" s="232" t="str">
        <f>IF(KD28="","",IF(KD28&gt;=KONVERSI!$A$5,KONVERSI!$E$12,IF(KD28&gt;=KONVERSI!$A$6,KONVERSI!$E$13,IF(KD28&gt;=KONVERSI!$A$7,KONVERSI!$E$14,KONVERSI!$E$15))))</f>
        <v>Terampil</v>
      </c>
      <c r="KF28" s="233" t="str">
        <f t="shared" si="142"/>
        <v>Terampil dalammemilih jenis, bahan dan teknik pengolahan kerang, kaca, keramik dan botol plastik sesuai dengan potensi daerah setempat</v>
      </c>
      <c r="KG28" s="234">
        <f t="shared" si="143"/>
        <v>84</v>
      </c>
      <c r="KH28" s="232" t="str">
        <f>IF(KG28="","",IF(KG28&gt;=KONVERSI!$A$5,KONVERSI!$E$12,IF(KG28&gt;=KONVERSI!$A$6,KONVERSI!$E$13,IF(KG28&gt;=KONVERSI!$A$7,KONVERSI!$E$14,KONVERSI!$E$15))))</f>
        <v>Terampil</v>
      </c>
      <c r="KI28" s="134" t="str">
        <f>IF(GC28="","",IF(GC28&lt;$GD$3," "&amp;KONVERSI!$C$19&amp;INDEX($JJ$8:$KC$8,MATCH(KG29,JJ29:KC29,0))&amp;".",IF(GC28=0,"",IF(KG28&lt;&gt;0,KF28&amp;KH28&amp;".",KF28&amp;"."))))</f>
        <v>Terampil dalammemilih jenis, bahan dan teknik pengolahan kerang, kaca, keramik dan botol plastik sesuai dengan potensi daerah setempatTerampil.</v>
      </c>
      <c r="KJ28" s="235" t="str">
        <f t="shared" si="144"/>
        <v>OK</v>
      </c>
      <c r="KK28" s="235" t="str">
        <f t="shared" si="145"/>
        <v>OK</v>
      </c>
      <c r="KL28" s="235" t="str">
        <f t="shared" si="146"/>
        <v/>
      </c>
      <c r="KM28" s="235" t="str">
        <f t="shared" si="147"/>
        <v/>
      </c>
      <c r="KN28" s="235" t="str">
        <f t="shared" si="148"/>
        <v/>
      </c>
      <c r="KO28" s="235" t="str">
        <f t="shared" si="149"/>
        <v/>
      </c>
      <c r="KP28" s="235" t="str">
        <f t="shared" si="150"/>
        <v/>
      </c>
      <c r="KQ28" s="235" t="str">
        <f t="shared" si="151"/>
        <v/>
      </c>
      <c r="KR28" s="235" t="str">
        <f t="shared" si="152"/>
        <v/>
      </c>
      <c r="KS28" s="235" t="str">
        <f t="shared" si="153"/>
        <v/>
      </c>
      <c r="KT28" s="235" t="str">
        <f t="shared" si="154"/>
        <v/>
      </c>
      <c r="KU28" s="235" t="str">
        <f t="shared" si="155"/>
        <v/>
      </c>
      <c r="KV28" s="235" t="str">
        <f t="shared" si="156"/>
        <v/>
      </c>
      <c r="KW28" s="235" t="str">
        <f t="shared" si="157"/>
        <v/>
      </c>
      <c r="KX28" s="235" t="str">
        <f t="shared" si="158"/>
        <v/>
      </c>
      <c r="KY28" s="235" t="str">
        <f t="shared" si="159"/>
        <v/>
      </c>
      <c r="KZ28" s="235" t="str">
        <f t="shared" si="160"/>
        <v/>
      </c>
      <c r="LA28" s="235" t="str">
        <f t="shared" si="161"/>
        <v/>
      </c>
      <c r="LB28" s="235" t="str">
        <f t="shared" si="162"/>
        <v/>
      </c>
      <c r="LC28" s="235" t="str">
        <f t="shared" si="163"/>
        <v/>
      </c>
      <c r="LD28" s="134" t="str">
        <f t="shared" si="164"/>
        <v>memilih jenis, bahan dan teknik pengolahan kerang, kaca, keramik dan botol plastik sesuai dengan potensi daerah setempat</v>
      </c>
      <c r="LE28" s="134" t="str">
        <f t="shared" si="164"/>
        <v>perancangan pembuatan dan penyajian kerajinan kerang, kaca, keramik dan botol plastik yang kreatif dan inovatif</v>
      </c>
      <c r="LF28" s="134" t="str">
        <f t="shared" si="164"/>
        <v/>
      </c>
      <c r="LG28" s="134" t="str">
        <f t="shared" si="164"/>
        <v/>
      </c>
      <c r="LH28" s="134" t="str">
        <f t="shared" si="164"/>
        <v/>
      </c>
      <c r="LI28" s="134" t="str">
        <f t="shared" si="164"/>
        <v/>
      </c>
      <c r="LJ28" s="134" t="str">
        <f t="shared" si="164"/>
        <v/>
      </c>
      <c r="LK28" s="134" t="str">
        <f t="shared" si="164"/>
        <v/>
      </c>
      <c r="LL28" s="134" t="str">
        <f t="shared" si="164"/>
        <v/>
      </c>
      <c r="LM28" s="134" t="str">
        <f t="shared" si="190"/>
        <v/>
      </c>
      <c r="LN28" s="134" t="str">
        <f t="shared" si="190"/>
        <v/>
      </c>
      <c r="LO28" s="134" t="str">
        <f t="shared" si="190"/>
        <v/>
      </c>
      <c r="LP28" s="134" t="str">
        <f t="shared" si="190"/>
        <v/>
      </c>
      <c r="LQ28" s="134" t="str">
        <f t="shared" si="190"/>
        <v/>
      </c>
      <c r="LR28" s="134" t="str">
        <f t="shared" si="190"/>
        <v/>
      </c>
      <c r="LS28" s="134" t="str">
        <f t="shared" si="190"/>
        <v/>
      </c>
      <c r="LT28" s="134" t="str">
        <f t="shared" si="190"/>
        <v/>
      </c>
      <c r="LU28" s="134" t="str">
        <f t="shared" si="190"/>
        <v/>
      </c>
      <c r="LV28" s="134" t="str">
        <f t="shared" si="190"/>
        <v/>
      </c>
      <c r="LW28" s="134" t="str">
        <f t="shared" si="190"/>
        <v/>
      </c>
      <c r="LX28" s="134" t="str">
        <f t="shared" si="165"/>
        <v>Terampil dalam memilih jenis, bahan dan teknik pengolahan kerang, kaca, keramik dan botol plastik sesuai dengan potensi daerah setempatperancangan pembuatan dan penyajian kerajinan kerang, kaca, keramik dan botol plastik yang kreatif dan inovatif</v>
      </c>
      <c r="LY28" s="134" t="str">
        <f t="shared" si="166"/>
        <v>Terampil dalam memilih jenis, bahan dan teknik pengolahan kerang, kaca, keramik dan botol plastik sesuai dengan potensi daerah setempatperancangan pembuatan dan penyajian kerajinan kerang, kaca, keramik dan botol plastik yang kreatif dan inovati.  </v>
      </c>
      <c r="LZ28" s="236">
        <f t="shared" si="97"/>
        <v>2</v>
      </c>
      <c r="MA28" s="235" t="str">
        <f t="shared" si="167"/>
        <v>OK</v>
      </c>
      <c r="MB28" s="235" t="str">
        <f t="shared" si="168"/>
        <v>OK</v>
      </c>
      <c r="MC28" s="235" t="str">
        <f t="shared" si="169"/>
        <v/>
      </c>
      <c r="MD28" s="235" t="str">
        <f t="shared" si="170"/>
        <v/>
      </c>
      <c r="ME28" s="235" t="str">
        <f t="shared" si="171"/>
        <v/>
      </c>
      <c r="MF28" s="235" t="str">
        <f t="shared" si="172"/>
        <v/>
      </c>
      <c r="MG28" s="235" t="str">
        <f t="shared" si="173"/>
        <v/>
      </c>
      <c r="MH28" s="235" t="str">
        <f t="shared" si="174"/>
        <v/>
      </c>
      <c r="MI28" s="235" t="str">
        <f t="shared" si="175"/>
        <v/>
      </c>
      <c r="MJ28" s="235" t="str">
        <f t="shared" si="176"/>
        <v/>
      </c>
      <c r="MK28" s="235" t="str">
        <f t="shared" si="177"/>
        <v/>
      </c>
      <c r="ML28" s="235" t="str">
        <f t="shared" si="178"/>
        <v/>
      </c>
      <c r="MM28" s="235" t="str">
        <f t="shared" si="179"/>
        <v/>
      </c>
      <c r="MN28" s="235" t="str">
        <f t="shared" si="180"/>
        <v/>
      </c>
      <c r="MO28" s="235" t="str">
        <f t="shared" si="181"/>
        <v/>
      </c>
      <c r="MP28" s="235" t="str">
        <f t="shared" si="182"/>
        <v/>
      </c>
      <c r="MQ28" s="235" t="str">
        <f t="shared" si="183"/>
        <v/>
      </c>
      <c r="MR28" s="235" t="str">
        <f t="shared" si="184"/>
        <v/>
      </c>
      <c r="MS28" s="235" t="str">
        <f t="shared" si="185"/>
        <v/>
      </c>
      <c r="MT28" s="235" t="str">
        <f t="shared" si="186"/>
        <v/>
      </c>
      <c r="MU28" s="134" t="str">
        <f t="shared" si="187"/>
        <v>memilih jenis, bahan dan teknik pengolahan kerang, kaca, keramik dan botol plastik sesuai dengan potensi daerah setempat</v>
      </c>
      <c r="MV28" s="134" t="str">
        <f t="shared" si="187"/>
        <v>perancangan pembuatan dan penyajian kerajinan kerang, kaca, keramik dan botol plastik yang kreatif dan inovatif</v>
      </c>
      <c r="MW28" s="134" t="str">
        <f t="shared" si="187"/>
        <v/>
      </c>
      <c r="MX28" s="134" t="str">
        <f t="shared" si="187"/>
        <v/>
      </c>
      <c r="MY28" s="134" t="str">
        <f t="shared" si="187"/>
        <v/>
      </c>
      <c r="MZ28" s="134" t="str">
        <f t="shared" si="187"/>
        <v/>
      </c>
      <c r="NA28" s="134" t="str">
        <f t="shared" si="187"/>
        <v/>
      </c>
      <c r="NB28" s="134" t="str">
        <f t="shared" si="187"/>
        <v/>
      </c>
      <c r="NC28" s="134" t="str">
        <f t="shared" si="187"/>
        <v/>
      </c>
      <c r="ND28" s="134" t="str">
        <f t="shared" si="191"/>
        <v/>
      </c>
      <c r="NE28" s="134" t="str">
        <f t="shared" si="191"/>
        <v/>
      </c>
      <c r="NF28" s="134" t="str">
        <f t="shared" si="191"/>
        <v/>
      </c>
      <c r="NG28" s="134" t="str">
        <f t="shared" si="191"/>
        <v/>
      </c>
      <c r="NH28" s="134" t="str">
        <f t="shared" si="191"/>
        <v/>
      </c>
      <c r="NI28" s="134" t="str">
        <f t="shared" si="191"/>
        <v/>
      </c>
      <c r="NJ28" s="134" t="str">
        <f t="shared" si="191"/>
        <v/>
      </c>
      <c r="NK28" s="134" t="str">
        <f t="shared" si="191"/>
        <v/>
      </c>
      <c r="NL28" s="134" t="str">
        <f t="shared" si="191"/>
        <v/>
      </c>
      <c r="NM28" s="134" t="str">
        <f t="shared" si="191"/>
        <v/>
      </c>
      <c r="NN28" s="134" t="str">
        <f t="shared" si="191"/>
        <v/>
      </c>
      <c r="NO28" s="134" t="str">
        <f>IF(KE28=KH28,"",IF(KG28="","",IF(KG28&gt;=KONVERSI!$A$14,'KI4'!KH28&amp;" dalam"&amp;MU28&amp;MV28&amp;MW28&amp;MX28&amp;MY28&amp;MZ28&amp;NA28&amp;NB28&amp;NC28&amp;ND28&amp;NE28&amp;NF28&amp;NG28&amp;NH28&amp;NI28&amp;NJ28&amp;NK28&amp;NL28&amp;NM28&amp;NN28,KONVERSI!$C$19&amp;" dalam"&amp;MU28&amp;MV28&amp;MW28&amp;MX28&amp;MY28&amp;MZ28&amp;NA28&amp;NB28&amp;NC28&amp;ND28&amp;NE28&amp;NF28&amp;NG28&amp;NH28&amp;NI28&amp;NJ28&amp;NK28&amp;NL28&amp;NM28&amp;NN28)))</f>
        <v/>
      </c>
      <c r="NP28" s="134" t="str">
        <f t="shared" si="188"/>
        <v/>
      </c>
      <c r="NQ28" s="236">
        <f t="shared" si="111"/>
        <v>2</v>
      </c>
      <c r="NR28" s="134" t="str">
        <f t="shared" si="189"/>
        <v>Terampil dalam memilih jenis, bahan dan teknik pengolahan kerang, kaca, keramik dan botol plastik sesuai dengan potensi daerah setempatperancangan pembuatan dan penyajian kerajinan kerang, kaca, keramik dan botol plastik yang kreatif dan inovati.  </v>
      </c>
    </row>
    <row r="29" ht="27.6" customHeight="1" spans="1:382">
      <c r="A29" s="136"/>
      <c r="B29" s="177">
        <v>21</v>
      </c>
      <c r="C29" s="178" t="str">
        <f>siswa!C25</f>
        <v>RISKI HARUN ARITONANG</v>
      </c>
      <c r="D29" s="174">
        <f>siswa!D25</f>
        <v>2832</v>
      </c>
      <c r="E29" s="175"/>
      <c r="F29" s="176"/>
      <c r="G29" s="176"/>
      <c r="H29" s="176"/>
      <c r="I29" s="176"/>
      <c r="J29" s="176"/>
      <c r="K29" s="176"/>
      <c r="L29" s="176"/>
      <c r="M29" s="194" t="str">
        <f t="shared" si="2"/>
        <v/>
      </c>
      <c r="N29" s="176"/>
      <c r="O29" s="176"/>
      <c r="P29" s="175"/>
      <c r="Q29" s="176"/>
      <c r="R29" s="176"/>
      <c r="S29" s="176"/>
      <c r="T29" s="176"/>
      <c r="U29" s="176"/>
      <c r="V29" s="194" t="str">
        <f t="shared" si="3"/>
        <v/>
      </c>
      <c r="W29" s="176"/>
      <c r="X29" s="176"/>
      <c r="Y29" s="176"/>
      <c r="Z29" s="176"/>
      <c r="AA29" s="176"/>
      <c r="AB29" s="176"/>
      <c r="AC29" s="176"/>
      <c r="AD29" s="176"/>
      <c r="AE29" s="194" t="str">
        <f t="shared" si="4"/>
        <v/>
      </c>
      <c r="AF29" s="176"/>
      <c r="AG29" s="176"/>
      <c r="AH29" s="176"/>
      <c r="AI29" s="176"/>
      <c r="AJ29" s="176"/>
      <c r="AK29" s="176"/>
      <c r="AL29" s="176"/>
      <c r="AM29" s="176"/>
      <c r="AN29" s="194" t="str">
        <f t="shared" si="5"/>
        <v/>
      </c>
      <c r="AO29" s="181"/>
      <c r="AP29" s="176"/>
      <c r="AQ29" s="176"/>
      <c r="AR29" s="176"/>
      <c r="AS29" s="176"/>
      <c r="AT29" s="176"/>
      <c r="AU29" s="176"/>
      <c r="AV29" s="176"/>
      <c r="AW29" s="194" t="str">
        <f t="shared" si="112"/>
        <v/>
      </c>
      <c r="AX29" s="181"/>
      <c r="AY29" s="176"/>
      <c r="AZ29" s="176"/>
      <c r="BA29" s="176"/>
      <c r="BB29" s="176"/>
      <c r="BC29" s="176"/>
      <c r="BD29" s="176"/>
      <c r="BE29" s="176"/>
      <c r="BF29" s="194" t="str">
        <f t="shared" si="6"/>
        <v/>
      </c>
      <c r="BG29" s="181"/>
      <c r="BH29" s="176"/>
      <c r="BI29" s="176"/>
      <c r="BJ29" s="176"/>
      <c r="BK29" s="176"/>
      <c r="BL29" s="176"/>
      <c r="BM29" s="176"/>
      <c r="BN29" s="176"/>
      <c r="BO29" s="194" t="str">
        <f t="shared" si="113"/>
        <v/>
      </c>
      <c r="BP29" s="181"/>
      <c r="BQ29" s="176"/>
      <c r="BR29" s="176"/>
      <c r="BS29" s="176"/>
      <c r="BT29" s="176"/>
      <c r="BU29" s="176"/>
      <c r="BV29" s="176"/>
      <c r="BW29" s="176"/>
      <c r="BX29" s="194" t="str">
        <f t="shared" si="114"/>
        <v/>
      </c>
      <c r="BY29" s="181"/>
      <c r="BZ29" s="176"/>
      <c r="CA29" s="176"/>
      <c r="CB29" s="176"/>
      <c r="CC29" s="176"/>
      <c r="CD29" s="176"/>
      <c r="CE29" s="176"/>
      <c r="CF29" s="176"/>
      <c r="CG29" s="194" t="str">
        <f t="shared" si="115"/>
        <v/>
      </c>
      <c r="CH29" s="181"/>
      <c r="CI29" s="176"/>
      <c r="CJ29" s="176"/>
      <c r="CK29" s="176"/>
      <c r="CL29" s="176"/>
      <c r="CM29" s="176"/>
      <c r="CN29" s="176"/>
      <c r="CO29" s="176"/>
      <c r="CP29" s="194" t="str">
        <f t="shared" si="7"/>
        <v/>
      </c>
      <c r="CQ29" s="181"/>
      <c r="CR29" s="176"/>
      <c r="CS29" s="176"/>
      <c r="CT29" s="176"/>
      <c r="CU29" s="176"/>
      <c r="CV29" s="176"/>
      <c r="CW29" s="176"/>
      <c r="CX29" s="176"/>
      <c r="CY29" s="194" t="str">
        <f t="shared" si="116"/>
        <v/>
      </c>
      <c r="CZ29" s="181"/>
      <c r="DA29" s="176"/>
      <c r="DB29" s="176"/>
      <c r="DC29" s="176"/>
      <c r="DD29" s="176"/>
      <c r="DE29" s="176"/>
      <c r="DF29" s="176"/>
      <c r="DG29" s="176"/>
      <c r="DH29" s="194" t="str">
        <f t="shared" si="8"/>
        <v/>
      </c>
      <c r="DI29" s="181"/>
      <c r="DJ29" s="176"/>
      <c r="DK29" s="176"/>
      <c r="DL29" s="176"/>
      <c r="DM29" s="176"/>
      <c r="DN29" s="176"/>
      <c r="DO29" s="176"/>
      <c r="DP29" s="176"/>
      <c r="DQ29" s="194" t="str">
        <f t="shared" si="117"/>
        <v/>
      </c>
      <c r="DR29" s="181"/>
      <c r="DS29" s="176"/>
      <c r="DT29" s="176"/>
      <c r="DU29" s="176"/>
      <c r="DV29" s="176"/>
      <c r="DW29" s="176"/>
      <c r="DX29" s="176"/>
      <c r="DY29" s="176"/>
      <c r="DZ29" s="194" t="str">
        <f t="shared" si="9"/>
        <v/>
      </c>
      <c r="EA29" s="181"/>
      <c r="EB29" s="176"/>
      <c r="EC29" s="176"/>
      <c r="ED29" s="176"/>
      <c r="EE29" s="176"/>
      <c r="EF29" s="176"/>
      <c r="EG29" s="176"/>
      <c r="EH29" s="176"/>
      <c r="EI29" s="194" t="str">
        <f t="shared" si="10"/>
        <v/>
      </c>
      <c r="EJ29" s="181"/>
      <c r="EK29" s="176"/>
      <c r="EL29" s="176"/>
      <c r="EM29" s="176"/>
      <c r="EN29" s="176"/>
      <c r="EO29" s="176"/>
      <c r="EP29" s="176"/>
      <c r="EQ29" s="176"/>
      <c r="ER29" s="194" t="str">
        <f t="shared" si="11"/>
        <v/>
      </c>
      <c r="ES29" s="181"/>
      <c r="ET29" s="176"/>
      <c r="EU29" s="176"/>
      <c r="EV29" s="176"/>
      <c r="EW29" s="176"/>
      <c r="EX29" s="176"/>
      <c r="EY29" s="176"/>
      <c r="EZ29" s="176"/>
      <c r="FA29" s="194" t="str">
        <f t="shared" si="12"/>
        <v/>
      </c>
      <c r="FB29" s="181"/>
      <c r="FC29" s="176"/>
      <c r="FD29" s="176"/>
      <c r="FE29" s="176"/>
      <c r="FF29" s="176"/>
      <c r="FG29" s="176"/>
      <c r="FH29" s="176"/>
      <c r="FI29" s="176"/>
      <c r="FJ29" s="194" t="str">
        <f t="shared" si="13"/>
        <v/>
      </c>
      <c r="FK29" s="181"/>
      <c r="FL29" s="176"/>
      <c r="FM29" s="176"/>
      <c r="FN29" s="176"/>
      <c r="FO29" s="176"/>
      <c r="FP29" s="176"/>
      <c r="FQ29" s="176"/>
      <c r="FR29" s="176"/>
      <c r="FS29" s="194" t="str">
        <f t="shared" si="14"/>
        <v/>
      </c>
      <c r="FT29" s="181"/>
      <c r="FU29" s="176"/>
      <c r="FV29" s="176"/>
      <c r="FW29" s="176"/>
      <c r="FX29" s="176"/>
      <c r="FY29" s="176"/>
      <c r="FZ29" s="176"/>
      <c r="GA29" s="176"/>
      <c r="GB29" s="194" t="str">
        <f t="shared" si="118"/>
        <v/>
      </c>
      <c r="GC29" s="194" t="str">
        <f t="shared" si="119"/>
        <v/>
      </c>
      <c r="GD29" s="194" t="str">
        <f>IF(GC29="","",IF(GC29&gt;=KONVERSI!$A$5,KONVERSI!$D$5,IF(GC29&gt;=KONVERSI!$A$6,KONVERSI!$D$6,IF(GC29&gt;=KONVERSI!$A$7,KONVERSI!$D$7,KONVERSI!$D$8))))</f>
        <v/>
      </c>
      <c r="GE29" s="194" t="str">
        <f t="shared" si="120"/>
        <v/>
      </c>
      <c r="GF29" s="222"/>
      <c r="GG29" s="223">
        <f t="shared" si="15"/>
        <v>0</v>
      </c>
      <c r="GH29" s="194">
        <f t="shared" si="16"/>
        <v>0</v>
      </c>
      <c r="GI29" s="194">
        <f t="shared" si="17"/>
        <v>0</v>
      </c>
      <c r="GJ29" s="194">
        <f t="shared" si="18"/>
        <v>0</v>
      </c>
      <c r="GK29" s="194">
        <f t="shared" si="19"/>
        <v>0</v>
      </c>
      <c r="GL29" s="194">
        <f t="shared" si="20"/>
        <v>0</v>
      </c>
      <c r="GM29" s="194">
        <f t="shared" si="21"/>
        <v>0</v>
      </c>
      <c r="GN29" s="194">
        <f t="shared" si="22"/>
        <v>0</v>
      </c>
      <c r="GO29" s="194">
        <f t="shared" si="23"/>
        <v>0</v>
      </c>
      <c r="GP29" s="194">
        <f t="shared" si="24"/>
        <v>0</v>
      </c>
      <c r="GQ29" s="194">
        <f t="shared" si="25"/>
        <v>0</v>
      </c>
      <c r="GR29" s="194">
        <f t="shared" si="26"/>
        <v>0</v>
      </c>
      <c r="GS29" s="194">
        <f t="shared" si="27"/>
        <v>0</v>
      </c>
      <c r="GT29" s="194">
        <f t="shared" si="28"/>
        <v>0</v>
      </c>
      <c r="GU29" s="194">
        <f t="shared" si="29"/>
        <v>0</v>
      </c>
      <c r="GV29" s="194">
        <f t="shared" si="30"/>
        <v>0</v>
      </c>
      <c r="GW29" s="194">
        <f t="shared" si="31"/>
        <v>0</v>
      </c>
      <c r="GX29" s="194">
        <f t="shared" si="32"/>
        <v>0</v>
      </c>
      <c r="GY29" s="194">
        <f t="shared" si="33"/>
        <v>0</v>
      </c>
      <c r="GZ29" s="194">
        <f t="shared" si="34"/>
        <v>0</v>
      </c>
      <c r="HA29" s="194">
        <f t="shared" si="35"/>
        <v>0</v>
      </c>
      <c r="HB29" s="194">
        <f t="shared" si="36"/>
        <v>0</v>
      </c>
      <c r="HC29" s="194">
        <f t="shared" si="37"/>
        <v>0</v>
      </c>
      <c r="HD29" s="194">
        <f t="shared" si="38"/>
        <v>0</v>
      </c>
      <c r="HE29" s="194">
        <f t="shared" si="39"/>
        <v>0</v>
      </c>
      <c r="HF29" s="194">
        <f t="shared" si="40"/>
        <v>0</v>
      </c>
      <c r="HG29" s="194">
        <f t="shared" si="41"/>
        <v>0</v>
      </c>
      <c r="HH29" s="194">
        <f t="shared" si="42"/>
        <v>0</v>
      </c>
      <c r="HI29" s="194">
        <f t="shared" si="43"/>
        <v>0</v>
      </c>
      <c r="HJ29" s="194">
        <f t="shared" si="44"/>
        <v>0</v>
      </c>
      <c r="HK29" s="194">
        <f t="shared" si="45"/>
        <v>0</v>
      </c>
      <c r="HL29" s="194">
        <f t="shared" si="46"/>
        <v>0</v>
      </c>
      <c r="HM29" s="194">
        <f t="shared" si="47"/>
        <v>0</v>
      </c>
      <c r="HN29" s="194">
        <f t="shared" si="48"/>
        <v>0</v>
      </c>
      <c r="HO29" s="194">
        <f t="shared" si="49"/>
        <v>0</v>
      </c>
      <c r="HP29" s="194">
        <f t="shared" si="50"/>
        <v>0</v>
      </c>
      <c r="HQ29" s="194">
        <f t="shared" si="51"/>
        <v>0</v>
      </c>
      <c r="HR29" s="194">
        <f t="shared" si="52"/>
        <v>0</v>
      </c>
      <c r="HS29" s="194">
        <f t="shared" si="53"/>
        <v>0</v>
      </c>
      <c r="HT29" s="194">
        <f t="shared" si="54"/>
        <v>0</v>
      </c>
      <c r="HU29" s="194">
        <f t="shared" si="55"/>
        <v>0</v>
      </c>
      <c r="HV29" s="194">
        <f t="shared" si="56"/>
        <v>0</v>
      </c>
      <c r="HW29" s="194">
        <f t="shared" si="57"/>
        <v>0</v>
      </c>
      <c r="HX29" s="194">
        <f t="shared" si="58"/>
        <v>0</v>
      </c>
      <c r="HY29" s="194">
        <f t="shared" si="59"/>
        <v>0</v>
      </c>
      <c r="HZ29" s="194">
        <f t="shared" si="60"/>
        <v>0</v>
      </c>
      <c r="IA29" s="194">
        <f t="shared" si="61"/>
        <v>0</v>
      </c>
      <c r="IB29" s="194">
        <f t="shared" si="62"/>
        <v>0</v>
      </c>
      <c r="IC29" s="194">
        <f t="shared" si="63"/>
        <v>0</v>
      </c>
      <c r="ID29" s="194">
        <f t="shared" si="64"/>
        <v>0</v>
      </c>
      <c r="IE29" s="194">
        <f t="shared" si="65"/>
        <v>0</v>
      </c>
      <c r="IF29" s="194">
        <f t="shared" si="66"/>
        <v>0</v>
      </c>
      <c r="IG29" s="194">
        <f t="shared" si="67"/>
        <v>0</v>
      </c>
      <c r="IH29" s="194">
        <f t="shared" si="68"/>
        <v>0</v>
      </c>
      <c r="II29" s="194">
        <f t="shared" si="69"/>
        <v>0</v>
      </c>
      <c r="IJ29" s="194">
        <f t="shared" si="70"/>
        <v>0</v>
      </c>
      <c r="IK29" s="194">
        <f t="shared" si="71"/>
        <v>0</v>
      </c>
      <c r="IL29" s="194">
        <f t="shared" si="72"/>
        <v>0</v>
      </c>
      <c r="IM29" s="194">
        <f t="shared" si="73"/>
        <v>0</v>
      </c>
      <c r="IN29" s="194">
        <f t="shared" si="74"/>
        <v>0</v>
      </c>
      <c r="IO29" s="194">
        <f t="shared" si="75"/>
        <v>0</v>
      </c>
      <c r="IP29" s="194">
        <f t="shared" si="76"/>
        <v>0</v>
      </c>
      <c r="IQ29" s="194">
        <f t="shared" si="77"/>
        <v>0</v>
      </c>
      <c r="IR29" s="194">
        <f t="shared" si="78"/>
        <v>0</v>
      </c>
      <c r="IS29" s="194">
        <f t="shared" si="79"/>
        <v>0</v>
      </c>
      <c r="IT29" s="194">
        <f t="shared" si="80"/>
        <v>0</v>
      </c>
      <c r="IU29" s="194">
        <f t="shared" si="81"/>
        <v>0</v>
      </c>
      <c r="IV29" s="194">
        <f t="shared" si="82"/>
        <v>0</v>
      </c>
      <c r="IW29" s="194">
        <f t="shared" si="83"/>
        <v>0</v>
      </c>
      <c r="IX29" s="194">
        <f t="shared" si="84"/>
        <v>0</v>
      </c>
      <c r="IY29" s="194">
        <f t="shared" si="85"/>
        <v>0</v>
      </c>
      <c r="IZ29" s="194">
        <f t="shared" si="86"/>
        <v>0</v>
      </c>
      <c r="JA29" s="194">
        <f t="shared" si="87"/>
        <v>0</v>
      </c>
      <c r="JB29" s="194">
        <f t="shared" si="88"/>
        <v>0</v>
      </c>
      <c r="JC29" s="194">
        <f t="shared" si="89"/>
        <v>0</v>
      </c>
      <c r="JD29" s="194">
        <f t="shared" si="90"/>
        <v>0</v>
      </c>
      <c r="JE29" s="194">
        <f t="shared" si="91"/>
        <v>0</v>
      </c>
      <c r="JF29" s="194">
        <f t="shared" si="92"/>
        <v>0</v>
      </c>
      <c r="JG29" s="194">
        <f t="shared" si="93"/>
        <v>0</v>
      </c>
      <c r="JH29" s="194">
        <f t="shared" si="94"/>
        <v>0</v>
      </c>
      <c r="JI29" s="228">
        <v>21</v>
      </c>
      <c r="JJ29" s="229" t="str">
        <f t="shared" si="121"/>
        <v/>
      </c>
      <c r="JK29" s="229" t="str">
        <f t="shared" si="122"/>
        <v/>
      </c>
      <c r="JL29" s="229" t="str">
        <f t="shared" si="123"/>
        <v/>
      </c>
      <c r="JM29" s="229" t="str">
        <f t="shared" si="124"/>
        <v/>
      </c>
      <c r="JN29" s="229" t="str">
        <f t="shared" si="125"/>
        <v/>
      </c>
      <c r="JO29" s="229" t="str">
        <f t="shared" si="126"/>
        <v/>
      </c>
      <c r="JP29" s="229" t="str">
        <f t="shared" si="127"/>
        <v/>
      </c>
      <c r="JQ29" s="229" t="str">
        <f t="shared" si="128"/>
        <v/>
      </c>
      <c r="JR29" s="229" t="str">
        <f t="shared" si="129"/>
        <v/>
      </c>
      <c r="JS29" s="229" t="str">
        <f t="shared" si="130"/>
        <v/>
      </c>
      <c r="JT29" s="229" t="str">
        <f t="shared" si="131"/>
        <v/>
      </c>
      <c r="JU29" s="229" t="str">
        <f t="shared" si="132"/>
        <v/>
      </c>
      <c r="JV29" s="229" t="str">
        <f t="shared" si="133"/>
        <v/>
      </c>
      <c r="JW29" s="229" t="str">
        <f t="shared" si="134"/>
        <v/>
      </c>
      <c r="JX29" s="229" t="str">
        <f t="shared" si="135"/>
        <v/>
      </c>
      <c r="JY29" s="229" t="str">
        <f t="shared" si="136"/>
        <v/>
      </c>
      <c r="JZ29" s="229" t="str">
        <f t="shared" si="137"/>
        <v/>
      </c>
      <c r="KA29" s="229" t="str">
        <f t="shared" si="138"/>
        <v/>
      </c>
      <c r="KB29" s="229" t="str">
        <f t="shared" si="139"/>
        <v/>
      </c>
      <c r="KC29" s="229" t="str">
        <f t="shared" si="140"/>
        <v/>
      </c>
      <c r="KD29" s="231" t="str">
        <f t="shared" si="141"/>
        <v/>
      </c>
      <c r="KE29" s="232" t="str">
        <f>IF(KD29="","",IF(KD29&gt;=KONVERSI!$A$5,KONVERSI!$E$12,IF(KD29&gt;=KONVERSI!$A$6,KONVERSI!$E$13,IF(KD29&gt;=KONVERSI!$A$7,KONVERSI!$E$14,KONVERSI!$E$15))))</f>
        <v/>
      </c>
      <c r="KF29" s="233" t="str">
        <f t="shared" si="142"/>
        <v/>
      </c>
      <c r="KG29" s="234" t="str">
        <f t="shared" si="143"/>
        <v/>
      </c>
      <c r="KH29" s="232" t="str">
        <f>IF(KG29="","",IF(KG29&gt;=KONVERSI!$A$5,KONVERSI!$E$12,IF(KG29&gt;=KONVERSI!$A$6,KONVERSI!$E$13,IF(KG29&gt;=KONVERSI!$A$7,KONVERSI!$E$14,KONVERSI!$E$15))))</f>
        <v/>
      </c>
      <c r="KI29" s="134" t="str">
        <f>IF(GC29="","",IF(GC29&lt;$GD$3," "&amp;KONVERSI!$C$19&amp;INDEX($JJ$8:$KC$8,MATCH(KG30,JJ30:KC30,0))&amp;".",IF(GC29=0,"",IF(KG29&lt;&gt;0,KF29&amp;KH29&amp;".",KF29&amp;"."))))</f>
        <v/>
      </c>
      <c r="KJ29" s="235" t="str">
        <f t="shared" si="144"/>
        <v/>
      </c>
      <c r="KK29" s="235" t="str">
        <f t="shared" si="145"/>
        <v/>
      </c>
      <c r="KL29" s="235" t="str">
        <f t="shared" si="146"/>
        <v/>
      </c>
      <c r="KM29" s="235" t="str">
        <f t="shared" si="147"/>
        <v/>
      </c>
      <c r="KN29" s="235" t="str">
        <f t="shared" si="148"/>
        <v/>
      </c>
      <c r="KO29" s="235" t="str">
        <f t="shared" si="149"/>
        <v/>
      </c>
      <c r="KP29" s="235" t="str">
        <f t="shared" si="150"/>
        <v/>
      </c>
      <c r="KQ29" s="235" t="str">
        <f t="shared" si="151"/>
        <v/>
      </c>
      <c r="KR29" s="235" t="str">
        <f t="shared" si="152"/>
        <v/>
      </c>
      <c r="KS29" s="235" t="str">
        <f t="shared" si="153"/>
        <v/>
      </c>
      <c r="KT29" s="235" t="str">
        <f t="shared" si="154"/>
        <v/>
      </c>
      <c r="KU29" s="235" t="str">
        <f t="shared" si="155"/>
        <v/>
      </c>
      <c r="KV29" s="235" t="str">
        <f t="shared" si="156"/>
        <v/>
      </c>
      <c r="KW29" s="235" t="str">
        <f t="shared" si="157"/>
        <v/>
      </c>
      <c r="KX29" s="235" t="str">
        <f t="shared" si="158"/>
        <v/>
      </c>
      <c r="KY29" s="235" t="str">
        <f t="shared" si="159"/>
        <v/>
      </c>
      <c r="KZ29" s="235" t="str">
        <f t="shared" si="160"/>
        <v/>
      </c>
      <c r="LA29" s="235" t="str">
        <f t="shared" si="161"/>
        <v/>
      </c>
      <c r="LB29" s="235" t="str">
        <f t="shared" si="162"/>
        <v/>
      </c>
      <c r="LC29" s="235" t="str">
        <f t="shared" si="163"/>
        <v/>
      </c>
      <c r="LD29" s="134" t="str">
        <f t="shared" si="164"/>
        <v/>
      </c>
      <c r="LE29" s="134" t="str">
        <f t="shared" si="164"/>
        <v/>
      </c>
      <c r="LF29" s="134" t="str">
        <f t="shared" si="164"/>
        <v/>
      </c>
      <c r="LG29" s="134" t="str">
        <f t="shared" si="164"/>
        <v/>
      </c>
      <c r="LH29" s="134" t="str">
        <f t="shared" si="164"/>
        <v/>
      </c>
      <c r="LI29" s="134" t="str">
        <f t="shared" si="164"/>
        <v/>
      </c>
      <c r="LJ29" s="134" t="str">
        <f t="shared" si="164"/>
        <v/>
      </c>
      <c r="LK29" s="134" t="str">
        <f t="shared" si="164"/>
        <v/>
      </c>
      <c r="LL29" s="134" t="str">
        <f t="shared" si="164"/>
        <v/>
      </c>
      <c r="LM29" s="134" t="str">
        <f t="shared" si="190"/>
        <v/>
      </c>
      <c r="LN29" s="134" t="str">
        <f t="shared" si="190"/>
        <v/>
      </c>
      <c r="LO29" s="134" t="str">
        <f t="shared" si="190"/>
        <v/>
      </c>
      <c r="LP29" s="134" t="str">
        <f t="shared" si="190"/>
        <v/>
      </c>
      <c r="LQ29" s="134" t="str">
        <f t="shared" si="190"/>
        <v/>
      </c>
      <c r="LR29" s="134" t="str">
        <f t="shared" si="190"/>
        <v/>
      </c>
      <c r="LS29" s="134" t="str">
        <f t="shared" si="190"/>
        <v/>
      </c>
      <c r="LT29" s="134" t="str">
        <f t="shared" si="190"/>
        <v/>
      </c>
      <c r="LU29" s="134" t="str">
        <f t="shared" si="190"/>
        <v/>
      </c>
      <c r="LV29" s="134" t="str">
        <f t="shared" si="190"/>
        <v/>
      </c>
      <c r="LW29" s="134" t="str">
        <f t="shared" si="190"/>
        <v/>
      </c>
      <c r="LX29" s="134" t="str">
        <f t="shared" si="165"/>
        <v/>
      </c>
      <c r="LY29" s="134" t="str">
        <f t="shared" si="166"/>
        <v>  </v>
      </c>
      <c r="LZ29" s="236">
        <f t="shared" si="97"/>
        <v>0</v>
      </c>
      <c r="MA29" s="235" t="str">
        <f t="shared" si="167"/>
        <v/>
      </c>
      <c r="MB29" s="235" t="str">
        <f t="shared" si="168"/>
        <v/>
      </c>
      <c r="MC29" s="235" t="str">
        <f t="shared" si="169"/>
        <v/>
      </c>
      <c r="MD29" s="235" t="str">
        <f t="shared" si="170"/>
        <v/>
      </c>
      <c r="ME29" s="235" t="str">
        <f t="shared" si="171"/>
        <v/>
      </c>
      <c r="MF29" s="235" t="str">
        <f t="shared" si="172"/>
        <v/>
      </c>
      <c r="MG29" s="235" t="str">
        <f t="shared" si="173"/>
        <v/>
      </c>
      <c r="MH29" s="235" t="str">
        <f t="shared" si="174"/>
        <v/>
      </c>
      <c r="MI29" s="235" t="str">
        <f t="shared" si="175"/>
        <v/>
      </c>
      <c r="MJ29" s="235" t="str">
        <f t="shared" si="176"/>
        <v/>
      </c>
      <c r="MK29" s="235" t="str">
        <f t="shared" si="177"/>
        <v/>
      </c>
      <c r="ML29" s="235" t="str">
        <f t="shared" si="178"/>
        <v/>
      </c>
      <c r="MM29" s="235" t="str">
        <f t="shared" si="179"/>
        <v/>
      </c>
      <c r="MN29" s="235" t="str">
        <f t="shared" si="180"/>
        <v/>
      </c>
      <c r="MO29" s="235" t="str">
        <f t="shared" si="181"/>
        <v/>
      </c>
      <c r="MP29" s="235" t="str">
        <f t="shared" si="182"/>
        <v/>
      </c>
      <c r="MQ29" s="235" t="str">
        <f t="shared" si="183"/>
        <v/>
      </c>
      <c r="MR29" s="235" t="str">
        <f t="shared" si="184"/>
        <v/>
      </c>
      <c r="MS29" s="235" t="str">
        <f t="shared" si="185"/>
        <v/>
      </c>
      <c r="MT29" s="235" t="str">
        <f t="shared" si="186"/>
        <v/>
      </c>
      <c r="MU29" s="134" t="str">
        <f t="shared" si="187"/>
        <v/>
      </c>
      <c r="MV29" s="134" t="str">
        <f t="shared" si="187"/>
        <v/>
      </c>
      <c r="MW29" s="134" t="str">
        <f t="shared" si="187"/>
        <v/>
      </c>
      <c r="MX29" s="134" t="str">
        <f t="shared" si="187"/>
        <v/>
      </c>
      <c r="MY29" s="134" t="str">
        <f t="shared" si="187"/>
        <v/>
      </c>
      <c r="MZ29" s="134" t="str">
        <f t="shared" si="187"/>
        <v/>
      </c>
      <c r="NA29" s="134" t="str">
        <f t="shared" si="187"/>
        <v/>
      </c>
      <c r="NB29" s="134" t="str">
        <f t="shared" si="187"/>
        <v/>
      </c>
      <c r="NC29" s="134" t="str">
        <f t="shared" si="187"/>
        <v/>
      </c>
      <c r="ND29" s="134" t="str">
        <f t="shared" si="191"/>
        <v/>
      </c>
      <c r="NE29" s="134" t="str">
        <f t="shared" si="191"/>
        <v/>
      </c>
      <c r="NF29" s="134" t="str">
        <f t="shared" si="191"/>
        <v/>
      </c>
      <c r="NG29" s="134" t="str">
        <f t="shared" si="191"/>
        <v/>
      </c>
      <c r="NH29" s="134" t="str">
        <f t="shared" si="191"/>
        <v/>
      </c>
      <c r="NI29" s="134" t="str">
        <f t="shared" si="191"/>
        <v/>
      </c>
      <c r="NJ29" s="134" t="str">
        <f t="shared" si="191"/>
        <v/>
      </c>
      <c r="NK29" s="134" t="str">
        <f t="shared" si="191"/>
        <v/>
      </c>
      <c r="NL29" s="134" t="str">
        <f t="shared" si="191"/>
        <v/>
      </c>
      <c r="NM29" s="134" t="str">
        <f t="shared" si="191"/>
        <v/>
      </c>
      <c r="NN29" s="134" t="str">
        <f t="shared" si="191"/>
        <v/>
      </c>
      <c r="NO29" s="134" t="str">
        <f>IF(KE29=KH29,"",IF(KG29="","",IF(KG29&gt;=KONVERSI!$A$14,'KI4'!KH29&amp;" dalam"&amp;MU29&amp;MV29&amp;MW29&amp;MX29&amp;MY29&amp;MZ29&amp;NA29&amp;NB29&amp;NC29&amp;ND29&amp;NE29&amp;NF29&amp;NG29&amp;NH29&amp;NI29&amp;NJ29&amp;NK29&amp;NL29&amp;NM29&amp;NN29,KONVERSI!$C$19&amp;" dalam"&amp;MU29&amp;MV29&amp;MW29&amp;MX29&amp;MY29&amp;MZ29&amp;NA29&amp;NB29&amp;NC29&amp;ND29&amp;NE29&amp;NF29&amp;NG29&amp;NH29&amp;NI29&amp;NJ29&amp;NK29&amp;NL29&amp;NM29&amp;NN29)))</f>
        <v/>
      </c>
      <c r="NP29" s="134" t="str">
        <f t="shared" si="188"/>
        <v/>
      </c>
      <c r="NQ29" s="236">
        <f t="shared" si="111"/>
        <v>0</v>
      </c>
      <c r="NR29" s="134" t="str">
        <f t="shared" si="189"/>
        <v/>
      </c>
    </row>
    <row r="30" ht="27.6" customHeight="1" spans="1:382">
      <c r="A30" s="136"/>
      <c r="B30" s="177">
        <v>22</v>
      </c>
      <c r="C30" s="178" t="str">
        <f>siswa!C26</f>
        <v>RIZAL AFRIANDI HUTAGAOL</v>
      </c>
      <c r="D30" s="174">
        <f>siswa!D26</f>
        <v>2834</v>
      </c>
      <c r="E30" s="175">
        <v>94</v>
      </c>
      <c r="F30" s="176"/>
      <c r="G30" s="176"/>
      <c r="H30" s="176"/>
      <c r="I30" s="176"/>
      <c r="J30" s="176"/>
      <c r="K30" s="176"/>
      <c r="L30" s="176"/>
      <c r="M30" s="194">
        <f t="shared" si="2"/>
        <v>94</v>
      </c>
      <c r="N30" s="176"/>
      <c r="O30" s="176"/>
      <c r="P30" s="175">
        <v>94</v>
      </c>
      <c r="Q30" s="176"/>
      <c r="R30" s="176"/>
      <c r="S30" s="176"/>
      <c r="T30" s="176"/>
      <c r="U30" s="176"/>
      <c r="V30" s="194">
        <f t="shared" si="3"/>
        <v>94</v>
      </c>
      <c r="W30" s="176"/>
      <c r="X30" s="176"/>
      <c r="Y30" s="176"/>
      <c r="Z30" s="176"/>
      <c r="AA30" s="176"/>
      <c r="AB30" s="176"/>
      <c r="AC30" s="176"/>
      <c r="AD30" s="176"/>
      <c r="AE30" s="194" t="str">
        <f t="shared" si="4"/>
        <v/>
      </c>
      <c r="AF30" s="176"/>
      <c r="AG30" s="176"/>
      <c r="AH30" s="176"/>
      <c r="AI30" s="176"/>
      <c r="AJ30" s="176"/>
      <c r="AK30" s="176"/>
      <c r="AL30" s="176"/>
      <c r="AM30" s="176"/>
      <c r="AN30" s="194" t="str">
        <f t="shared" si="5"/>
        <v/>
      </c>
      <c r="AO30" s="181"/>
      <c r="AP30" s="176"/>
      <c r="AQ30" s="176"/>
      <c r="AR30" s="176"/>
      <c r="AS30" s="176"/>
      <c r="AT30" s="176"/>
      <c r="AU30" s="176"/>
      <c r="AV30" s="176"/>
      <c r="AW30" s="194" t="str">
        <f t="shared" si="112"/>
        <v/>
      </c>
      <c r="AX30" s="181"/>
      <c r="AY30" s="176"/>
      <c r="AZ30" s="176"/>
      <c r="BA30" s="176"/>
      <c r="BB30" s="176"/>
      <c r="BC30" s="176"/>
      <c r="BD30" s="176"/>
      <c r="BE30" s="176"/>
      <c r="BF30" s="194" t="str">
        <f t="shared" si="6"/>
        <v/>
      </c>
      <c r="BG30" s="181"/>
      <c r="BH30" s="176"/>
      <c r="BI30" s="176"/>
      <c r="BJ30" s="176"/>
      <c r="BK30" s="176"/>
      <c r="BL30" s="176"/>
      <c r="BM30" s="176"/>
      <c r="BN30" s="176"/>
      <c r="BO30" s="194" t="str">
        <f t="shared" si="113"/>
        <v/>
      </c>
      <c r="BP30" s="181"/>
      <c r="BQ30" s="176"/>
      <c r="BR30" s="176"/>
      <c r="BS30" s="176"/>
      <c r="BT30" s="176"/>
      <c r="BU30" s="176"/>
      <c r="BV30" s="176"/>
      <c r="BW30" s="176"/>
      <c r="BX30" s="194" t="str">
        <f t="shared" si="114"/>
        <v/>
      </c>
      <c r="BY30" s="181"/>
      <c r="BZ30" s="176"/>
      <c r="CA30" s="176"/>
      <c r="CB30" s="176"/>
      <c r="CC30" s="176"/>
      <c r="CD30" s="176"/>
      <c r="CE30" s="176"/>
      <c r="CF30" s="176"/>
      <c r="CG30" s="194" t="str">
        <f t="shared" si="115"/>
        <v/>
      </c>
      <c r="CH30" s="181"/>
      <c r="CI30" s="176"/>
      <c r="CJ30" s="176"/>
      <c r="CK30" s="176"/>
      <c r="CL30" s="176"/>
      <c r="CM30" s="176"/>
      <c r="CN30" s="176"/>
      <c r="CO30" s="176"/>
      <c r="CP30" s="194" t="str">
        <f t="shared" si="7"/>
        <v/>
      </c>
      <c r="CQ30" s="181"/>
      <c r="CR30" s="176"/>
      <c r="CS30" s="176"/>
      <c r="CT30" s="176"/>
      <c r="CU30" s="176"/>
      <c r="CV30" s="176"/>
      <c r="CW30" s="176"/>
      <c r="CX30" s="176"/>
      <c r="CY30" s="194" t="str">
        <f t="shared" si="116"/>
        <v/>
      </c>
      <c r="CZ30" s="181"/>
      <c r="DA30" s="176"/>
      <c r="DB30" s="176"/>
      <c r="DC30" s="176"/>
      <c r="DD30" s="176"/>
      <c r="DE30" s="176"/>
      <c r="DF30" s="176"/>
      <c r="DG30" s="176"/>
      <c r="DH30" s="194" t="str">
        <f t="shared" si="8"/>
        <v/>
      </c>
      <c r="DI30" s="181"/>
      <c r="DJ30" s="176"/>
      <c r="DK30" s="176"/>
      <c r="DL30" s="176"/>
      <c r="DM30" s="176"/>
      <c r="DN30" s="176"/>
      <c r="DO30" s="176"/>
      <c r="DP30" s="176"/>
      <c r="DQ30" s="194" t="str">
        <f t="shared" si="117"/>
        <v/>
      </c>
      <c r="DR30" s="181"/>
      <c r="DS30" s="176"/>
      <c r="DT30" s="176"/>
      <c r="DU30" s="176"/>
      <c r="DV30" s="176"/>
      <c r="DW30" s="176"/>
      <c r="DX30" s="176"/>
      <c r="DY30" s="176"/>
      <c r="DZ30" s="194" t="str">
        <f t="shared" si="9"/>
        <v/>
      </c>
      <c r="EA30" s="181"/>
      <c r="EB30" s="176"/>
      <c r="EC30" s="176"/>
      <c r="ED30" s="176"/>
      <c r="EE30" s="176"/>
      <c r="EF30" s="176"/>
      <c r="EG30" s="176"/>
      <c r="EH30" s="176"/>
      <c r="EI30" s="194" t="str">
        <f t="shared" si="10"/>
        <v/>
      </c>
      <c r="EJ30" s="181"/>
      <c r="EK30" s="176"/>
      <c r="EL30" s="176"/>
      <c r="EM30" s="176"/>
      <c r="EN30" s="176"/>
      <c r="EO30" s="176"/>
      <c r="EP30" s="176"/>
      <c r="EQ30" s="176"/>
      <c r="ER30" s="194" t="str">
        <f t="shared" si="11"/>
        <v/>
      </c>
      <c r="ES30" s="181"/>
      <c r="ET30" s="176"/>
      <c r="EU30" s="176"/>
      <c r="EV30" s="176"/>
      <c r="EW30" s="176"/>
      <c r="EX30" s="176"/>
      <c r="EY30" s="176"/>
      <c r="EZ30" s="176"/>
      <c r="FA30" s="194" t="str">
        <f t="shared" si="12"/>
        <v/>
      </c>
      <c r="FB30" s="181"/>
      <c r="FC30" s="176"/>
      <c r="FD30" s="176"/>
      <c r="FE30" s="176"/>
      <c r="FF30" s="176"/>
      <c r="FG30" s="176"/>
      <c r="FH30" s="176"/>
      <c r="FI30" s="176"/>
      <c r="FJ30" s="194" t="str">
        <f t="shared" si="13"/>
        <v/>
      </c>
      <c r="FK30" s="181"/>
      <c r="FL30" s="176"/>
      <c r="FM30" s="176"/>
      <c r="FN30" s="176"/>
      <c r="FO30" s="176"/>
      <c r="FP30" s="176"/>
      <c r="FQ30" s="176"/>
      <c r="FR30" s="176"/>
      <c r="FS30" s="194" t="str">
        <f t="shared" si="14"/>
        <v/>
      </c>
      <c r="FT30" s="181"/>
      <c r="FU30" s="176"/>
      <c r="FV30" s="176"/>
      <c r="FW30" s="176"/>
      <c r="FX30" s="176"/>
      <c r="FY30" s="176"/>
      <c r="FZ30" s="176"/>
      <c r="GA30" s="176"/>
      <c r="GB30" s="194" t="str">
        <f t="shared" si="118"/>
        <v/>
      </c>
      <c r="GC30" s="194">
        <f t="shared" si="119"/>
        <v>94</v>
      </c>
      <c r="GD30" s="194" t="str">
        <f>IF(GC30="","",IF(GC30&gt;=KONVERSI!$A$5,KONVERSI!$D$5,IF(GC30&gt;=KONVERSI!$A$6,KONVERSI!$D$6,IF(GC30&gt;=KONVERSI!$A$7,KONVERSI!$D$7,KONVERSI!$D$8))))</f>
        <v>A</v>
      </c>
      <c r="GE30" s="194" t="str">
        <f t="shared" si="120"/>
        <v>Tuntas</v>
      </c>
      <c r="GF30" s="222"/>
      <c r="GG30" s="223">
        <f t="shared" si="15"/>
        <v>94</v>
      </c>
      <c r="GH30" s="194">
        <f t="shared" si="16"/>
        <v>0</v>
      </c>
      <c r="GI30" s="194">
        <f t="shared" si="17"/>
        <v>0</v>
      </c>
      <c r="GJ30" s="194">
        <f t="shared" si="18"/>
        <v>0</v>
      </c>
      <c r="GK30" s="194">
        <f t="shared" si="19"/>
        <v>0</v>
      </c>
      <c r="GL30" s="194">
        <f t="shared" si="20"/>
        <v>94</v>
      </c>
      <c r="GM30" s="194">
        <f t="shared" si="21"/>
        <v>0</v>
      </c>
      <c r="GN30" s="194">
        <f t="shared" si="22"/>
        <v>0</v>
      </c>
      <c r="GO30" s="194">
        <f t="shared" si="23"/>
        <v>0</v>
      </c>
      <c r="GP30" s="194">
        <f t="shared" si="24"/>
        <v>0</v>
      </c>
      <c r="GQ30" s="194">
        <f t="shared" si="25"/>
        <v>0</v>
      </c>
      <c r="GR30" s="194">
        <f t="shared" si="26"/>
        <v>0</v>
      </c>
      <c r="GS30" s="194">
        <f t="shared" si="27"/>
        <v>0</v>
      </c>
      <c r="GT30" s="194">
        <f t="shared" si="28"/>
        <v>0</v>
      </c>
      <c r="GU30" s="194">
        <f t="shared" si="29"/>
        <v>0</v>
      </c>
      <c r="GV30" s="194">
        <f t="shared" si="30"/>
        <v>0</v>
      </c>
      <c r="GW30" s="194">
        <f t="shared" si="31"/>
        <v>0</v>
      </c>
      <c r="GX30" s="194">
        <f t="shared" si="32"/>
        <v>0</v>
      </c>
      <c r="GY30" s="194">
        <f t="shared" si="33"/>
        <v>0</v>
      </c>
      <c r="GZ30" s="194">
        <f t="shared" si="34"/>
        <v>0</v>
      </c>
      <c r="HA30" s="194">
        <f t="shared" si="35"/>
        <v>0</v>
      </c>
      <c r="HB30" s="194">
        <f t="shared" si="36"/>
        <v>0</v>
      </c>
      <c r="HC30" s="194">
        <f t="shared" si="37"/>
        <v>0</v>
      </c>
      <c r="HD30" s="194">
        <f t="shared" si="38"/>
        <v>0</v>
      </c>
      <c r="HE30" s="194">
        <f t="shared" si="39"/>
        <v>0</v>
      </c>
      <c r="HF30" s="194">
        <f t="shared" si="40"/>
        <v>0</v>
      </c>
      <c r="HG30" s="194">
        <f t="shared" si="41"/>
        <v>0</v>
      </c>
      <c r="HH30" s="194">
        <f t="shared" si="42"/>
        <v>0</v>
      </c>
      <c r="HI30" s="194">
        <f t="shared" si="43"/>
        <v>0</v>
      </c>
      <c r="HJ30" s="194">
        <f t="shared" si="44"/>
        <v>0</v>
      </c>
      <c r="HK30" s="194">
        <f t="shared" si="45"/>
        <v>0</v>
      </c>
      <c r="HL30" s="194">
        <f t="shared" si="46"/>
        <v>0</v>
      </c>
      <c r="HM30" s="194">
        <f t="shared" si="47"/>
        <v>0</v>
      </c>
      <c r="HN30" s="194">
        <f t="shared" si="48"/>
        <v>0</v>
      </c>
      <c r="HO30" s="194">
        <f t="shared" si="49"/>
        <v>0</v>
      </c>
      <c r="HP30" s="194">
        <f t="shared" si="50"/>
        <v>0</v>
      </c>
      <c r="HQ30" s="194">
        <f t="shared" si="51"/>
        <v>0</v>
      </c>
      <c r="HR30" s="194">
        <f t="shared" si="52"/>
        <v>0</v>
      </c>
      <c r="HS30" s="194">
        <f t="shared" si="53"/>
        <v>0</v>
      </c>
      <c r="HT30" s="194">
        <f t="shared" si="54"/>
        <v>0</v>
      </c>
      <c r="HU30" s="194">
        <f t="shared" si="55"/>
        <v>0</v>
      </c>
      <c r="HV30" s="194">
        <f t="shared" si="56"/>
        <v>0</v>
      </c>
      <c r="HW30" s="194">
        <f t="shared" si="57"/>
        <v>0</v>
      </c>
      <c r="HX30" s="194">
        <f t="shared" si="58"/>
        <v>0</v>
      </c>
      <c r="HY30" s="194">
        <f t="shared" si="59"/>
        <v>0</v>
      </c>
      <c r="HZ30" s="194">
        <f t="shared" si="60"/>
        <v>0</v>
      </c>
      <c r="IA30" s="194">
        <f t="shared" si="61"/>
        <v>0</v>
      </c>
      <c r="IB30" s="194">
        <f t="shared" si="62"/>
        <v>0</v>
      </c>
      <c r="IC30" s="194">
        <f t="shared" si="63"/>
        <v>0</v>
      </c>
      <c r="ID30" s="194">
        <f t="shared" si="64"/>
        <v>0</v>
      </c>
      <c r="IE30" s="194">
        <f t="shared" si="65"/>
        <v>0</v>
      </c>
      <c r="IF30" s="194">
        <f t="shared" si="66"/>
        <v>0</v>
      </c>
      <c r="IG30" s="194">
        <f t="shared" si="67"/>
        <v>0</v>
      </c>
      <c r="IH30" s="194">
        <f t="shared" si="68"/>
        <v>0</v>
      </c>
      <c r="II30" s="194">
        <f t="shared" si="69"/>
        <v>0</v>
      </c>
      <c r="IJ30" s="194">
        <f t="shared" si="70"/>
        <v>0</v>
      </c>
      <c r="IK30" s="194">
        <f t="shared" si="71"/>
        <v>0</v>
      </c>
      <c r="IL30" s="194">
        <f t="shared" si="72"/>
        <v>0</v>
      </c>
      <c r="IM30" s="194">
        <f t="shared" si="73"/>
        <v>0</v>
      </c>
      <c r="IN30" s="194">
        <f t="shared" si="74"/>
        <v>0</v>
      </c>
      <c r="IO30" s="194">
        <f t="shared" si="75"/>
        <v>0</v>
      </c>
      <c r="IP30" s="194">
        <f t="shared" si="76"/>
        <v>0</v>
      </c>
      <c r="IQ30" s="194">
        <f t="shared" si="77"/>
        <v>0</v>
      </c>
      <c r="IR30" s="194">
        <f t="shared" si="78"/>
        <v>0</v>
      </c>
      <c r="IS30" s="194">
        <f t="shared" si="79"/>
        <v>0</v>
      </c>
      <c r="IT30" s="194">
        <f t="shared" si="80"/>
        <v>0</v>
      </c>
      <c r="IU30" s="194">
        <f t="shared" si="81"/>
        <v>0</v>
      </c>
      <c r="IV30" s="194">
        <f t="shared" si="82"/>
        <v>0</v>
      </c>
      <c r="IW30" s="194">
        <f t="shared" si="83"/>
        <v>0</v>
      </c>
      <c r="IX30" s="194">
        <f t="shared" si="84"/>
        <v>0</v>
      </c>
      <c r="IY30" s="194">
        <f t="shared" si="85"/>
        <v>0</v>
      </c>
      <c r="IZ30" s="194">
        <f t="shared" si="86"/>
        <v>0</v>
      </c>
      <c r="JA30" s="194">
        <f t="shared" si="87"/>
        <v>0</v>
      </c>
      <c r="JB30" s="194">
        <f t="shared" si="88"/>
        <v>0</v>
      </c>
      <c r="JC30" s="194">
        <f t="shared" si="89"/>
        <v>0</v>
      </c>
      <c r="JD30" s="194">
        <f t="shared" si="90"/>
        <v>0</v>
      </c>
      <c r="JE30" s="194">
        <f t="shared" si="91"/>
        <v>0</v>
      </c>
      <c r="JF30" s="194">
        <f t="shared" si="92"/>
        <v>0</v>
      </c>
      <c r="JG30" s="194">
        <f t="shared" si="93"/>
        <v>0</v>
      </c>
      <c r="JH30" s="194">
        <f t="shared" si="94"/>
        <v>0</v>
      </c>
      <c r="JI30" s="228">
        <v>22</v>
      </c>
      <c r="JJ30" s="229">
        <f t="shared" si="121"/>
        <v>94</v>
      </c>
      <c r="JK30" s="229">
        <f t="shared" si="122"/>
        <v>94</v>
      </c>
      <c r="JL30" s="229" t="str">
        <f t="shared" si="123"/>
        <v/>
      </c>
      <c r="JM30" s="229" t="str">
        <f t="shared" si="124"/>
        <v/>
      </c>
      <c r="JN30" s="229" t="str">
        <f t="shared" si="125"/>
        <v/>
      </c>
      <c r="JO30" s="229" t="str">
        <f t="shared" si="126"/>
        <v/>
      </c>
      <c r="JP30" s="229" t="str">
        <f t="shared" si="127"/>
        <v/>
      </c>
      <c r="JQ30" s="229" t="str">
        <f t="shared" si="128"/>
        <v/>
      </c>
      <c r="JR30" s="229" t="str">
        <f t="shared" si="129"/>
        <v/>
      </c>
      <c r="JS30" s="229" t="str">
        <f t="shared" si="130"/>
        <v/>
      </c>
      <c r="JT30" s="229" t="str">
        <f t="shared" si="131"/>
        <v/>
      </c>
      <c r="JU30" s="229" t="str">
        <f t="shared" si="132"/>
        <v/>
      </c>
      <c r="JV30" s="229" t="str">
        <f t="shared" si="133"/>
        <v/>
      </c>
      <c r="JW30" s="229" t="str">
        <f t="shared" si="134"/>
        <v/>
      </c>
      <c r="JX30" s="229" t="str">
        <f t="shared" si="135"/>
        <v/>
      </c>
      <c r="JY30" s="229" t="str">
        <f t="shared" si="136"/>
        <v/>
      </c>
      <c r="JZ30" s="229" t="str">
        <f t="shared" si="137"/>
        <v/>
      </c>
      <c r="KA30" s="229" t="str">
        <f t="shared" si="138"/>
        <v/>
      </c>
      <c r="KB30" s="229" t="str">
        <f t="shared" si="139"/>
        <v/>
      </c>
      <c r="KC30" s="229" t="str">
        <f t="shared" si="140"/>
        <v/>
      </c>
      <c r="KD30" s="231">
        <f t="shared" si="141"/>
        <v>94</v>
      </c>
      <c r="KE30" s="232" t="str">
        <f>IF(KD30="","",IF(KD30&gt;=KONVERSI!$A$5,KONVERSI!$E$12,IF(KD30&gt;=KONVERSI!$A$6,KONVERSI!$E$13,IF(KD30&gt;=KONVERSI!$A$7,KONVERSI!$E$14,KONVERSI!$E$15))))</f>
        <v>Sangat terampil</v>
      </c>
      <c r="KF30" s="233" t="str">
        <f t="shared" si="142"/>
        <v>Sangat terampil dalammemilih jenis, bahan dan teknik pengolahan kerang, kaca, keramik dan botol plastik sesuai dengan potensi daerah setempat</v>
      </c>
      <c r="KG30" s="234">
        <f t="shared" si="143"/>
        <v>94</v>
      </c>
      <c r="KH30" s="232" t="str">
        <f>IF(KG30="","",IF(KG30&gt;=KONVERSI!$A$5,KONVERSI!$E$12,IF(KG30&gt;=KONVERSI!$A$6,KONVERSI!$E$13,IF(KG30&gt;=KONVERSI!$A$7,KONVERSI!$E$14,KONVERSI!$E$15))))</f>
        <v>Sangat terampil</v>
      </c>
      <c r="KI30" s="134" t="str">
        <f>IF(GC30="","",IF(GC30&lt;$GD$3," "&amp;KONVERSI!$C$19&amp;INDEX($JJ$8:$KC$8,MATCH(KG31,JJ31:KC31,0))&amp;".",IF(GC30=0,"",IF(KG30&lt;&gt;0,KF30&amp;KH30&amp;".",KF30&amp;"."))))</f>
        <v>Sangat terampil dalammemilih jenis, bahan dan teknik pengolahan kerang, kaca, keramik dan botol plastik sesuai dengan potensi daerah setempatSangat terampil.</v>
      </c>
      <c r="KJ30" s="235" t="str">
        <f t="shared" si="144"/>
        <v>OK</v>
      </c>
      <c r="KK30" s="235" t="str">
        <f t="shared" si="145"/>
        <v>OK</v>
      </c>
      <c r="KL30" s="235" t="str">
        <f t="shared" si="146"/>
        <v/>
      </c>
      <c r="KM30" s="235" t="str">
        <f t="shared" si="147"/>
        <v/>
      </c>
      <c r="KN30" s="235" t="str">
        <f t="shared" si="148"/>
        <v/>
      </c>
      <c r="KO30" s="235" t="str">
        <f t="shared" si="149"/>
        <v/>
      </c>
      <c r="KP30" s="235" t="str">
        <f t="shared" si="150"/>
        <v/>
      </c>
      <c r="KQ30" s="235" t="str">
        <f t="shared" si="151"/>
        <v/>
      </c>
      <c r="KR30" s="235" t="str">
        <f t="shared" si="152"/>
        <v/>
      </c>
      <c r="KS30" s="235" t="str">
        <f t="shared" si="153"/>
        <v/>
      </c>
      <c r="KT30" s="235" t="str">
        <f t="shared" si="154"/>
        <v/>
      </c>
      <c r="KU30" s="235" t="str">
        <f t="shared" si="155"/>
        <v/>
      </c>
      <c r="KV30" s="235" t="str">
        <f t="shared" si="156"/>
        <v/>
      </c>
      <c r="KW30" s="235" t="str">
        <f t="shared" si="157"/>
        <v/>
      </c>
      <c r="KX30" s="235" t="str">
        <f t="shared" si="158"/>
        <v/>
      </c>
      <c r="KY30" s="235" t="str">
        <f t="shared" si="159"/>
        <v/>
      </c>
      <c r="KZ30" s="235" t="str">
        <f t="shared" si="160"/>
        <v/>
      </c>
      <c r="LA30" s="235" t="str">
        <f t="shared" si="161"/>
        <v/>
      </c>
      <c r="LB30" s="235" t="str">
        <f t="shared" si="162"/>
        <v/>
      </c>
      <c r="LC30" s="235" t="str">
        <f t="shared" si="163"/>
        <v/>
      </c>
      <c r="LD30" s="134" t="str">
        <f t="shared" si="164"/>
        <v>memilih jenis, bahan dan teknik pengolahan kerang, kaca, keramik dan botol plastik sesuai dengan potensi daerah setempat</v>
      </c>
      <c r="LE30" s="134" t="str">
        <f t="shared" si="164"/>
        <v>perancangan pembuatan dan penyajian kerajinan kerang, kaca, keramik dan botol plastik yang kreatif dan inovatif</v>
      </c>
      <c r="LF30" s="134" t="str">
        <f t="shared" si="164"/>
        <v/>
      </c>
      <c r="LG30" s="134" t="str">
        <f t="shared" si="164"/>
        <v/>
      </c>
      <c r="LH30" s="134" t="str">
        <f t="shared" si="164"/>
        <v/>
      </c>
      <c r="LI30" s="134" t="str">
        <f t="shared" si="164"/>
        <v/>
      </c>
      <c r="LJ30" s="134" t="str">
        <f t="shared" si="164"/>
        <v/>
      </c>
      <c r="LK30" s="134" t="str">
        <f t="shared" si="164"/>
        <v/>
      </c>
      <c r="LL30" s="134" t="str">
        <f t="shared" si="164"/>
        <v/>
      </c>
      <c r="LM30" s="134" t="str">
        <f t="shared" si="190"/>
        <v/>
      </c>
      <c r="LN30" s="134" t="str">
        <f t="shared" si="190"/>
        <v/>
      </c>
      <c r="LO30" s="134" t="str">
        <f t="shared" si="190"/>
        <v/>
      </c>
      <c r="LP30" s="134" t="str">
        <f t="shared" si="190"/>
        <v/>
      </c>
      <c r="LQ30" s="134" t="str">
        <f t="shared" si="190"/>
        <v/>
      </c>
      <c r="LR30" s="134" t="str">
        <f t="shared" si="190"/>
        <v/>
      </c>
      <c r="LS30" s="134" t="str">
        <f t="shared" si="190"/>
        <v/>
      </c>
      <c r="LT30" s="134" t="str">
        <f t="shared" si="190"/>
        <v/>
      </c>
      <c r="LU30" s="134" t="str">
        <f t="shared" si="190"/>
        <v/>
      </c>
      <c r="LV30" s="134" t="str">
        <f t="shared" si="190"/>
        <v/>
      </c>
      <c r="LW30" s="134" t="str">
        <f t="shared" si="190"/>
        <v/>
      </c>
      <c r="LX30" s="134" t="str">
        <f t="shared" si="165"/>
        <v>Sangat terampil dalam memilih jenis, bahan dan teknik pengolahan kerang, kaca, keramik dan botol plastik sesuai dengan potensi daerah setempatperancangan pembuatan dan penyajian kerajinan kerang, kaca, keramik dan botol plastik yang kreatif dan inovatif</v>
      </c>
      <c r="LY30" s="134" t="str">
        <f t="shared" si="166"/>
        <v>Sangat terampil dalam memilih jenis, bahan dan teknik pengolahan kerang, kaca, keramik dan botol plastik sesuai dengan potensi daerah setempatperancangan pembuatan dan penyajian kerajinan kerang, kaca, keramik dan botol plastik yang kreatif dan inovati.  </v>
      </c>
      <c r="LZ30" s="236">
        <f t="shared" si="97"/>
        <v>2</v>
      </c>
      <c r="MA30" s="235" t="str">
        <f t="shared" si="167"/>
        <v>OK</v>
      </c>
      <c r="MB30" s="235" t="str">
        <f t="shared" si="168"/>
        <v>OK</v>
      </c>
      <c r="MC30" s="235" t="str">
        <f t="shared" si="169"/>
        <v/>
      </c>
      <c r="MD30" s="235" t="str">
        <f t="shared" si="170"/>
        <v/>
      </c>
      <c r="ME30" s="235" t="str">
        <f t="shared" si="171"/>
        <v/>
      </c>
      <c r="MF30" s="235" t="str">
        <f t="shared" si="172"/>
        <v/>
      </c>
      <c r="MG30" s="235" t="str">
        <f t="shared" si="173"/>
        <v/>
      </c>
      <c r="MH30" s="235" t="str">
        <f t="shared" si="174"/>
        <v/>
      </c>
      <c r="MI30" s="235" t="str">
        <f t="shared" si="175"/>
        <v/>
      </c>
      <c r="MJ30" s="235" t="str">
        <f t="shared" si="176"/>
        <v/>
      </c>
      <c r="MK30" s="235" t="str">
        <f t="shared" si="177"/>
        <v/>
      </c>
      <c r="ML30" s="235" t="str">
        <f t="shared" si="178"/>
        <v/>
      </c>
      <c r="MM30" s="235" t="str">
        <f t="shared" si="179"/>
        <v/>
      </c>
      <c r="MN30" s="235" t="str">
        <f t="shared" si="180"/>
        <v/>
      </c>
      <c r="MO30" s="235" t="str">
        <f t="shared" si="181"/>
        <v/>
      </c>
      <c r="MP30" s="235" t="str">
        <f t="shared" si="182"/>
        <v/>
      </c>
      <c r="MQ30" s="235" t="str">
        <f t="shared" si="183"/>
        <v/>
      </c>
      <c r="MR30" s="235" t="str">
        <f t="shared" si="184"/>
        <v/>
      </c>
      <c r="MS30" s="235" t="str">
        <f t="shared" si="185"/>
        <v/>
      </c>
      <c r="MT30" s="235" t="str">
        <f t="shared" si="186"/>
        <v/>
      </c>
      <c r="MU30" s="134" t="str">
        <f t="shared" si="187"/>
        <v>memilih jenis, bahan dan teknik pengolahan kerang, kaca, keramik dan botol plastik sesuai dengan potensi daerah setempat</v>
      </c>
      <c r="MV30" s="134" t="str">
        <f t="shared" si="187"/>
        <v>perancangan pembuatan dan penyajian kerajinan kerang, kaca, keramik dan botol plastik yang kreatif dan inovatif</v>
      </c>
      <c r="MW30" s="134" t="str">
        <f t="shared" si="187"/>
        <v/>
      </c>
      <c r="MX30" s="134" t="str">
        <f t="shared" si="187"/>
        <v/>
      </c>
      <c r="MY30" s="134" t="str">
        <f t="shared" si="187"/>
        <v/>
      </c>
      <c r="MZ30" s="134" t="str">
        <f t="shared" si="187"/>
        <v/>
      </c>
      <c r="NA30" s="134" t="str">
        <f t="shared" si="187"/>
        <v/>
      </c>
      <c r="NB30" s="134" t="str">
        <f t="shared" si="187"/>
        <v/>
      </c>
      <c r="NC30" s="134" t="str">
        <f t="shared" si="187"/>
        <v/>
      </c>
      <c r="ND30" s="134" t="str">
        <f t="shared" si="191"/>
        <v/>
      </c>
      <c r="NE30" s="134" t="str">
        <f t="shared" si="191"/>
        <v/>
      </c>
      <c r="NF30" s="134" t="str">
        <f t="shared" si="191"/>
        <v/>
      </c>
      <c r="NG30" s="134" t="str">
        <f t="shared" si="191"/>
        <v/>
      </c>
      <c r="NH30" s="134" t="str">
        <f t="shared" si="191"/>
        <v/>
      </c>
      <c r="NI30" s="134" t="str">
        <f t="shared" si="191"/>
        <v/>
      </c>
      <c r="NJ30" s="134" t="str">
        <f t="shared" si="191"/>
        <v/>
      </c>
      <c r="NK30" s="134" t="str">
        <f t="shared" si="191"/>
        <v/>
      </c>
      <c r="NL30" s="134" t="str">
        <f t="shared" si="191"/>
        <v/>
      </c>
      <c r="NM30" s="134" t="str">
        <f t="shared" si="191"/>
        <v/>
      </c>
      <c r="NN30" s="134" t="str">
        <f t="shared" si="191"/>
        <v/>
      </c>
      <c r="NO30" s="134" t="str">
        <f>IF(KE30=KH30,"",IF(KG30="","",IF(KG30&gt;=KONVERSI!$A$14,'KI4'!KH30&amp;" dalam"&amp;MU30&amp;MV30&amp;MW30&amp;MX30&amp;MY30&amp;MZ30&amp;NA30&amp;NB30&amp;NC30&amp;ND30&amp;NE30&amp;NF30&amp;NG30&amp;NH30&amp;NI30&amp;NJ30&amp;NK30&amp;NL30&amp;NM30&amp;NN30,KONVERSI!$C$19&amp;" dalam"&amp;MU30&amp;MV30&amp;MW30&amp;MX30&amp;MY30&amp;MZ30&amp;NA30&amp;NB30&amp;NC30&amp;ND30&amp;NE30&amp;NF30&amp;NG30&amp;NH30&amp;NI30&amp;NJ30&amp;NK30&amp;NL30&amp;NM30&amp;NN30)))</f>
        <v/>
      </c>
      <c r="NP30" s="134" t="str">
        <f t="shared" si="188"/>
        <v/>
      </c>
      <c r="NQ30" s="236">
        <f t="shared" si="111"/>
        <v>2</v>
      </c>
      <c r="NR30" s="134" t="str">
        <f t="shared" si="189"/>
        <v>Sangat terampil dalam memilih jenis, bahan dan teknik pengolahan kerang, kaca, keramik dan botol plastik sesuai dengan potensi daerah setempatperancangan pembuatan dan penyajian kerajinan kerang, kaca, keramik dan botol plastik yang kreatif dan inovati.  </v>
      </c>
    </row>
    <row r="31" ht="27.6" customHeight="1" spans="1:382">
      <c r="A31" s="136"/>
      <c r="B31" s="177">
        <v>23</v>
      </c>
      <c r="C31" s="178" t="str">
        <f>siswa!C27</f>
        <v>T. SYARIFAH RAISYA KHAIRANI</v>
      </c>
      <c r="D31" s="174">
        <f>siswa!D27</f>
        <v>2847</v>
      </c>
      <c r="E31" s="175">
        <v>98</v>
      </c>
      <c r="F31" s="176"/>
      <c r="G31" s="176"/>
      <c r="H31" s="176"/>
      <c r="I31" s="176"/>
      <c r="J31" s="176"/>
      <c r="K31" s="176"/>
      <c r="L31" s="176"/>
      <c r="M31" s="194">
        <f t="shared" si="2"/>
        <v>98</v>
      </c>
      <c r="N31" s="176"/>
      <c r="O31" s="176"/>
      <c r="P31" s="175">
        <v>98</v>
      </c>
      <c r="Q31" s="176"/>
      <c r="R31" s="176"/>
      <c r="S31" s="176"/>
      <c r="T31" s="176"/>
      <c r="U31" s="176"/>
      <c r="V31" s="194">
        <f t="shared" si="3"/>
        <v>98</v>
      </c>
      <c r="W31" s="176"/>
      <c r="X31" s="176"/>
      <c r="Y31" s="176"/>
      <c r="Z31" s="176"/>
      <c r="AA31" s="176"/>
      <c r="AB31" s="176"/>
      <c r="AC31" s="176"/>
      <c r="AD31" s="176"/>
      <c r="AE31" s="194" t="str">
        <f t="shared" si="4"/>
        <v/>
      </c>
      <c r="AF31" s="176"/>
      <c r="AG31" s="176"/>
      <c r="AH31" s="176"/>
      <c r="AI31" s="176"/>
      <c r="AJ31" s="176"/>
      <c r="AK31" s="176"/>
      <c r="AL31" s="176"/>
      <c r="AM31" s="176"/>
      <c r="AN31" s="194" t="str">
        <f t="shared" si="5"/>
        <v/>
      </c>
      <c r="AO31" s="181"/>
      <c r="AP31" s="176"/>
      <c r="AQ31" s="176"/>
      <c r="AR31" s="176"/>
      <c r="AS31" s="176"/>
      <c r="AT31" s="176"/>
      <c r="AU31" s="176"/>
      <c r="AV31" s="176"/>
      <c r="AW31" s="194" t="str">
        <f t="shared" si="112"/>
        <v/>
      </c>
      <c r="AX31" s="181"/>
      <c r="AY31" s="176"/>
      <c r="AZ31" s="176"/>
      <c r="BA31" s="176"/>
      <c r="BB31" s="176"/>
      <c r="BC31" s="176"/>
      <c r="BD31" s="176"/>
      <c r="BE31" s="176"/>
      <c r="BF31" s="194" t="str">
        <f t="shared" si="6"/>
        <v/>
      </c>
      <c r="BG31" s="181"/>
      <c r="BH31" s="176"/>
      <c r="BI31" s="176"/>
      <c r="BJ31" s="176"/>
      <c r="BK31" s="176"/>
      <c r="BL31" s="176"/>
      <c r="BM31" s="176"/>
      <c r="BN31" s="176"/>
      <c r="BO31" s="194" t="str">
        <f t="shared" si="113"/>
        <v/>
      </c>
      <c r="BP31" s="181"/>
      <c r="BQ31" s="176"/>
      <c r="BR31" s="176"/>
      <c r="BS31" s="176"/>
      <c r="BT31" s="176"/>
      <c r="BU31" s="176"/>
      <c r="BV31" s="176"/>
      <c r="BW31" s="176"/>
      <c r="BX31" s="194" t="str">
        <f t="shared" si="114"/>
        <v/>
      </c>
      <c r="BY31" s="181"/>
      <c r="BZ31" s="176"/>
      <c r="CA31" s="176"/>
      <c r="CB31" s="176"/>
      <c r="CC31" s="176"/>
      <c r="CD31" s="176"/>
      <c r="CE31" s="176"/>
      <c r="CF31" s="176"/>
      <c r="CG31" s="194" t="str">
        <f t="shared" si="115"/>
        <v/>
      </c>
      <c r="CH31" s="181"/>
      <c r="CI31" s="176"/>
      <c r="CJ31" s="176"/>
      <c r="CK31" s="176"/>
      <c r="CL31" s="176"/>
      <c r="CM31" s="176"/>
      <c r="CN31" s="176"/>
      <c r="CO31" s="176"/>
      <c r="CP31" s="194" t="str">
        <f t="shared" si="7"/>
        <v/>
      </c>
      <c r="CQ31" s="181"/>
      <c r="CR31" s="176"/>
      <c r="CS31" s="176"/>
      <c r="CT31" s="176"/>
      <c r="CU31" s="176"/>
      <c r="CV31" s="176"/>
      <c r="CW31" s="176"/>
      <c r="CX31" s="176"/>
      <c r="CY31" s="194" t="str">
        <f t="shared" si="116"/>
        <v/>
      </c>
      <c r="CZ31" s="181"/>
      <c r="DA31" s="176"/>
      <c r="DB31" s="176"/>
      <c r="DC31" s="176"/>
      <c r="DD31" s="176"/>
      <c r="DE31" s="176"/>
      <c r="DF31" s="176"/>
      <c r="DG31" s="176"/>
      <c r="DH31" s="194" t="str">
        <f t="shared" si="8"/>
        <v/>
      </c>
      <c r="DI31" s="181"/>
      <c r="DJ31" s="176"/>
      <c r="DK31" s="176"/>
      <c r="DL31" s="176"/>
      <c r="DM31" s="176"/>
      <c r="DN31" s="176"/>
      <c r="DO31" s="176"/>
      <c r="DP31" s="176"/>
      <c r="DQ31" s="194" t="str">
        <f t="shared" si="117"/>
        <v/>
      </c>
      <c r="DR31" s="181"/>
      <c r="DS31" s="176"/>
      <c r="DT31" s="176"/>
      <c r="DU31" s="176"/>
      <c r="DV31" s="176"/>
      <c r="DW31" s="176"/>
      <c r="DX31" s="176"/>
      <c r="DY31" s="176"/>
      <c r="DZ31" s="194" t="str">
        <f t="shared" si="9"/>
        <v/>
      </c>
      <c r="EA31" s="181"/>
      <c r="EB31" s="176"/>
      <c r="EC31" s="176"/>
      <c r="ED31" s="176"/>
      <c r="EE31" s="176"/>
      <c r="EF31" s="176"/>
      <c r="EG31" s="176"/>
      <c r="EH31" s="176"/>
      <c r="EI31" s="194" t="str">
        <f t="shared" si="10"/>
        <v/>
      </c>
      <c r="EJ31" s="181"/>
      <c r="EK31" s="176"/>
      <c r="EL31" s="176"/>
      <c r="EM31" s="176"/>
      <c r="EN31" s="176"/>
      <c r="EO31" s="176"/>
      <c r="EP31" s="176"/>
      <c r="EQ31" s="176"/>
      <c r="ER31" s="194" t="str">
        <f t="shared" si="11"/>
        <v/>
      </c>
      <c r="ES31" s="181"/>
      <c r="ET31" s="176"/>
      <c r="EU31" s="176"/>
      <c r="EV31" s="176"/>
      <c r="EW31" s="176"/>
      <c r="EX31" s="176"/>
      <c r="EY31" s="176"/>
      <c r="EZ31" s="176"/>
      <c r="FA31" s="194" t="str">
        <f t="shared" si="12"/>
        <v/>
      </c>
      <c r="FB31" s="181"/>
      <c r="FC31" s="176"/>
      <c r="FD31" s="176"/>
      <c r="FE31" s="176"/>
      <c r="FF31" s="176"/>
      <c r="FG31" s="176"/>
      <c r="FH31" s="176"/>
      <c r="FI31" s="176"/>
      <c r="FJ31" s="194" t="str">
        <f t="shared" si="13"/>
        <v/>
      </c>
      <c r="FK31" s="181"/>
      <c r="FL31" s="176"/>
      <c r="FM31" s="176"/>
      <c r="FN31" s="176"/>
      <c r="FO31" s="176"/>
      <c r="FP31" s="176"/>
      <c r="FQ31" s="176"/>
      <c r="FR31" s="176"/>
      <c r="FS31" s="194" t="str">
        <f t="shared" si="14"/>
        <v/>
      </c>
      <c r="FT31" s="181"/>
      <c r="FU31" s="176"/>
      <c r="FV31" s="176"/>
      <c r="FW31" s="176"/>
      <c r="FX31" s="176"/>
      <c r="FY31" s="176"/>
      <c r="FZ31" s="176"/>
      <c r="GA31" s="176"/>
      <c r="GB31" s="194" t="str">
        <f t="shared" si="118"/>
        <v/>
      </c>
      <c r="GC31" s="194">
        <f t="shared" si="119"/>
        <v>98</v>
      </c>
      <c r="GD31" s="194" t="str">
        <f>IF(GC31="","",IF(GC31&gt;=KONVERSI!$A$5,KONVERSI!$D$5,IF(GC31&gt;=KONVERSI!$A$6,KONVERSI!$D$6,IF(GC31&gt;=KONVERSI!$A$7,KONVERSI!$D$7,KONVERSI!$D$8))))</f>
        <v>A</v>
      </c>
      <c r="GE31" s="194" t="str">
        <f t="shared" si="120"/>
        <v>Tuntas</v>
      </c>
      <c r="GF31" s="222"/>
      <c r="GG31" s="223">
        <f t="shared" si="15"/>
        <v>98</v>
      </c>
      <c r="GH31" s="194">
        <f t="shared" si="16"/>
        <v>0</v>
      </c>
      <c r="GI31" s="194">
        <f t="shared" si="17"/>
        <v>0</v>
      </c>
      <c r="GJ31" s="194">
        <f t="shared" si="18"/>
        <v>0</v>
      </c>
      <c r="GK31" s="194">
        <f t="shared" si="19"/>
        <v>0</v>
      </c>
      <c r="GL31" s="194">
        <f t="shared" si="20"/>
        <v>98</v>
      </c>
      <c r="GM31" s="194">
        <f t="shared" si="21"/>
        <v>0</v>
      </c>
      <c r="GN31" s="194">
        <f t="shared" si="22"/>
        <v>0</v>
      </c>
      <c r="GO31" s="194">
        <f t="shared" si="23"/>
        <v>0</v>
      </c>
      <c r="GP31" s="194">
        <f t="shared" si="24"/>
        <v>0</v>
      </c>
      <c r="GQ31" s="194">
        <f t="shared" si="25"/>
        <v>0</v>
      </c>
      <c r="GR31" s="194">
        <f t="shared" si="26"/>
        <v>0</v>
      </c>
      <c r="GS31" s="194">
        <f t="shared" si="27"/>
        <v>0</v>
      </c>
      <c r="GT31" s="194">
        <f t="shared" si="28"/>
        <v>0</v>
      </c>
      <c r="GU31" s="194">
        <f t="shared" si="29"/>
        <v>0</v>
      </c>
      <c r="GV31" s="194">
        <f t="shared" si="30"/>
        <v>0</v>
      </c>
      <c r="GW31" s="194">
        <f t="shared" si="31"/>
        <v>0</v>
      </c>
      <c r="GX31" s="194">
        <f t="shared" si="32"/>
        <v>0</v>
      </c>
      <c r="GY31" s="194">
        <f t="shared" si="33"/>
        <v>0</v>
      </c>
      <c r="GZ31" s="194">
        <f t="shared" si="34"/>
        <v>0</v>
      </c>
      <c r="HA31" s="194">
        <f t="shared" si="35"/>
        <v>0</v>
      </c>
      <c r="HB31" s="194">
        <f t="shared" si="36"/>
        <v>0</v>
      </c>
      <c r="HC31" s="194">
        <f t="shared" si="37"/>
        <v>0</v>
      </c>
      <c r="HD31" s="194">
        <f t="shared" si="38"/>
        <v>0</v>
      </c>
      <c r="HE31" s="194">
        <f t="shared" si="39"/>
        <v>0</v>
      </c>
      <c r="HF31" s="194">
        <f t="shared" si="40"/>
        <v>0</v>
      </c>
      <c r="HG31" s="194">
        <f t="shared" si="41"/>
        <v>0</v>
      </c>
      <c r="HH31" s="194">
        <f t="shared" si="42"/>
        <v>0</v>
      </c>
      <c r="HI31" s="194">
        <f t="shared" si="43"/>
        <v>0</v>
      </c>
      <c r="HJ31" s="194">
        <f t="shared" si="44"/>
        <v>0</v>
      </c>
      <c r="HK31" s="194">
        <f t="shared" si="45"/>
        <v>0</v>
      </c>
      <c r="HL31" s="194">
        <f t="shared" si="46"/>
        <v>0</v>
      </c>
      <c r="HM31" s="194">
        <f t="shared" si="47"/>
        <v>0</v>
      </c>
      <c r="HN31" s="194">
        <f t="shared" si="48"/>
        <v>0</v>
      </c>
      <c r="HO31" s="194">
        <f t="shared" si="49"/>
        <v>0</v>
      </c>
      <c r="HP31" s="194">
        <f t="shared" si="50"/>
        <v>0</v>
      </c>
      <c r="HQ31" s="194">
        <f t="shared" si="51"/>
        <v>0</v>
      </c>
      <c r="HR31" s="194">
        <f t="shared" si="52"/>
        <v>0</v>
      </c>
      <c r="HS31" s="194">
        <f t="shared" si="53"/>
        <v>0</v>
      </c>
      <c r="HT31" s="194">
        <f t="shared" si="54"/>
        <v>0</v>
      </c>
      <c r="HU31" s="194">
        <f t="shared" si="55"/>
        <v>0</v>
      </c>
      <c r="HV31" s="194">
        <f t="shared" si="56"/>
        <v>0</v>
      </c>
      <c r="HW31" s="194">
        <f t="shared" si="57"/>
        <v>0</v>
      </c>
      <c r="HX31" s="194">
        <f t="shared" si="58"/>
        <v>0</v>
      </c>
      <c r="HY31" s="194">
        <f t="shared" si="59"/>
        <v>0</v>
      </c>
      <c r="HZ31" s="194">
        <f t="shared" si="60"/>
        <v>0</v>
      </c>
      <c r="IA31" s="194">
        <f t="shared" si="61"/>
        <v>0</v>
      </c>
      <c r="IB31" s="194">
        <f t="shared" si="62"/>
        <v>0</v>
      </c>
      <c r="IC31" s="194">
        <f t="shared" si="63"/>
        <v>0</v>
      </c>
      <c r="ID31" s="194">
        <f t="shared" si="64"/>
        <v>0</v>
      </c>
      <c r="IE31" s="194">
        <f t="shared" si="65"/>
        <v>0</v>
      </c>
      <c r="IF31" s="194">
        <f t="shared" si="66"/>
        <v>0</v>
      </c>
      <c r="IG31" s="194">
        <f t="shared" si="67"/>
        <v>0</v>
      </c>
      <c r="IH31" s="194">
        <f t="shared" si="68"/>
        <v>0</v>
      </c>
      <c r="II31" s="194">
        <f t="shared" si="69"/>
        <v>0</v>
      </c>
      <c r="IJ31" s="194">
        <f t="shared" si="70"/>
        <v>0</v>
      </c>
      <c r="IK31" s="194">
        <f t="shared" si="71"/>
        <v>0</v>
      </c>
      <c r="IL31" s="194">
        <f t="shared" si="72"/>
        <v>0</v>
      </c>
      <c r="IM31" s="194">
        <f t="shared" si="73"/>
        <v>0</v>
      </c>
      <c r="IN31" s="194">
        <f t="shared" si="74"/>
        <v>0</v>
      </c>
      <c r="IO31" s="194">
        <f t="shared" si="75"/>
        <v>0</v>
      </c>
      <c r="IP31" s="194">
        <f t="shared" si="76"/>
        <v>0</v>
      </c>
      <c r="IQ31" s="194">
        <f t="shared" si="77"/>
        <v>0</v>
      </c>
      <c r="IR31" s="194">
        <f t="shared" si="78"/>
        <v>0</v>
      </c>
      <c r="IS31" s="194">
        <f t="shared" si="79"/>
        <v>0</v>
      </c>
      <c r="IT31" s="194">
        <f t="shared" si="80"/>
        <v>0</v>
      </c>
      <c r="IU31" s="194">
        <f t="shared" si="81"/>
        <v>0</v>
      </c>
      <c r="IV31" s="194">
        <f t="shared" si="82"/>
        <v>0</v>
      </c>
      <c r="IW31" s="194">
        <f t="shared" si="83"/>
        <v>0</v>
      </c>
      <c r="IX31" s="194">
        <f t="shared" si="84"/>
        <v>0</v>
      </c>
      <c r="IY31" s="194">
        <f t="shared" si="85"/>
        <v>0</v>
      </c>
      <c r="IZ31" s="194">
        <f t="shared" si="86"/>
        <v>0</v>
      </c>
      <c r="JA31" s="194">
        <f t="shared" si="87"/>
        <v>0</v>
      </c>
      <c r="JB31" s="194">
        <f t="shared" si="88"/>
        <v>0</v>
      </c>
      <c r="JC31" s="194">
        <f t="shared" si="89"/>
        <v>0</v>
      </c>
      <c r="JD31" s="194">
        <f t="shared" si="90"/>
        <v>0</v>
      </c>
      <c r="JE31" s="194">
        <f t="shared" si="91"/>
        <v>0</v>
      </c>
      <c r="JF31" s="194">
        <f t="shared" si="92"/>
        <v>0</v>
      </c>
      <c r="JG31" s="194">
        <f t="shared" si="93"/>
        <v>0</v>
      </c>
      <c r="JH31" s="194">
        <f t="shared" si="94"/>
        <v>0</v>
      </c>
      <c r="JI31" s="228">
        <v>23</v>
      </c>
      <c r="JJ31" s="229">
        <f t="shared" si="121"/>
        <v>98</v>
      </c>
      <c r="JK31" s="229">
        <f t="shared" si="122"/>
        <v>98</v>
      </c>
      <c r="JL31" s="229" t="str">
        <f t="shared" si="123"/>
        <v/>
      </c>
      <c r="JM31" s="229" t="str">
        <f t="shared" si="124"/>
        <v/>
      </c>
      <c r="JN31" s="229" t="str">
        <f t="shared" si="125"/>
        <v/>
      </c>
      <c r="JO31" s="229" t="str">
        <f t="shared" si="126"/>
        <v/>
      </c>
      <c r="JP31" s="229" t="str">
        <f t="shared" si="127"/>
        <v/>
      </c>
      <c r="JQ31" s="229" t="str">
        <f t="shared" si="128"/>
        <v/>
      </c>
      <c r="JR31" s="229" t="str">
        <f t="shared" si="129"/>
        <v/>
      </c>
      <c r="JS31" s="229" t="str">
        <f t="shared" si="130"/>
        <v/>
      </c>
      <c r="JT31" s="229" t="str">
        <f t="shared" si="131"/>
        <v/>
      </c>
      <c r="JU31" s="229" t="str">
        <f t="shared" si="132"/>
        <v/>
      </c>
      <c r="JV31" s="229" t="str">
        <f t="shared" si="133"/>
        <v/>
      </c>
      <c r="JW31" s="229" t="str">
        <f t="shared" si="134"/>
        <v/>
      </c>
      <c r="JX31" s="229" t="str">
        <f t="shared" si="135"/>
        <v/>
      </c>
      <c r="JY31" s="229" t="str">
        <f t="shared" si="136"/>
        <v/>
      </c>
      <c r="JZ31" s="229" t="str">
        <f t="shared" si="137"/>
        <v/>
      </c>
      <c r="KA31" s="229" t="str">
        <f t="shared" si="138"/>
        <v/>
      </c>
      <c r="KB31" s="229" t="str">
        <f t="shared" si="139"/>
        <v/>
      </c>
      <c r="KC31" s="229" t="str">
        <f t="shared" si="140"/>
        <v/>
      </c>
      <c r="KD31" s="231">
        <f t="shared" si="141"/>
        <v>98</v>
      </c>
      <c r="KE31" s="232" t="str">
        <f>IF(KD31="","",IF(KD31&gt;=KONVERSI!$A$5,KONVERSI!$E$12,IF(KD31&gt;=KONVERSI!$A$6,KONVERSI!$E$13,IF(KD31&gt;=KONVERSI!$A$7,KONVERSI!$E$14,KONVERSI!$E$15))))</f>
        <v>Sangat terampil</v>
      </c>
      <c r="KF31" s="233" t="str">
        <f t="shared" si="142"/>
        <v>Sangat terampil dalammemilih jenis, bahan dan teknik pengolahan kerang, kaca, keramik dan botol plastik sesuai dengan potensi daerah setempat</v>
      </c>
      <c r="KG31" s="234">
        <f t="shared" si="143"/>
        <v>98</v>
      </c>
      <c r="KH31" s="232" t="str">
        <f>IF(KG31="","",IF(KG31&gt;=KONVERSI!$A$5,KONVERSI!$E$12,IF(KG31&gt;=KONVERSI!$A$6,KONVERSI!$E$13,IF(KG31&gt;=KONVERSI!$A$7,KONVERSI!$E$14,KONVERSI!$E$15))))</f>
        <v>Sangat terampil</v>
      </c>
      <c r="KI31" s="134" t="str">
        <f>IF(GC31="","",IF(GC31&lt;$GD$3," "&amp;KONVERSI!$C$19&amp;INDEX($JJ$8:$KC$8,MATCH(KG32,JJ32:KC32,0))&amp;".",IF(GC31=0,"",IF(KG31&lt;&gt;0,KF31&amp;KH31&amp;".",KF31&amp;"."))))</f>
        <v>Sangat terampil dalammemilih jenis, bahan dan teknik pengolahan kerang, kaca, keramik dan botol plastik sesuai dengan potensi daerah setempatSangat terampil.</v>
      </c>
      <c r="KJ31" s="235" t="str">
        <f t="shared" si="144"/>
        <v>OK</v>
      </c>
      <c r="KK31" s="235" t="str">
        <f t="shared" si="145"/>
        <v>OK</v>
      </c>
      <c r="KL31" s="235" t="str">
        <f t="shared" si="146"/>
        <v/>
      </c>
      <c r="KM31" s="235" t="str">
        <f t="shared" si="147"/>
        <v/>
      </c>
      <c r="KN31" s="235" t="str">
        <f t="shared" si="148"/>
        <v/>
      </c>
      <c r="KO31" s="235" t="str">
        <f t="shared" si="149"/>
        <v/>
      </c>
      <c r="KP31" s="235" t="str">
        <f t="shared" si="150"/>
        <v/>
      </c>
      <c r="KQ31" s="235" t="str">
        <f t="shared" si="151"/>
        <v/>
      </c>
      <c r="KR31" s="235" t="str">
        <f t="shared" si="152"/>
        <v/>
      </c>
      <c r="KS31" s="235" t="str">
        <f t="shared" si="153"/>
        <v/>
      </c>
      <c r="KT31" s="235" t="str">
        <f t="shared" si="154"/>
        <v/>
      </c>
      <c r="KU31" s="235" t="str">
        <f t="shared" si="155"/>
        <v/>
      </c>
      <c r="KV31" s="235" t="str">
        <f t="shared" si="156"/>
        <v/>
      </c>
      <c r="KW31" s="235" t="str">
        <f t="shared" si="157"/>
        <v/>
      </c>
      <c r="KX31" s="235" t="str">
        <f t="shared" si="158"/>
        <v/>
      </c>
      <c r="KY31" s="235" t="str">
        <f t="shared" si="159"/>
        <v/>
      </c>
      <c r="KZ31" s="235" t="str">
        <f t="shared" si="160"/>
        <v/>
      </c>
      <c r="LA31" s="235" t="str">
        <f t="shared" si="161"/>
        <v/>
      </c>
      <c r="LB31" s="235" t="str">
        <f t="shared" si="162"/>
        <v/>
      </c>
      <c r="LC31" s="235" t="str">
        <f t="shared" si="163"/>
        <v/>
      </c>
      <c r="LD31" s="134" t="str">
        <f t="shared" si="164"/>
        <v>memilih jenis, bahan dan teknik pengolahan kerang, kaca, keramik dan botol plastik sesuai dengan potensi daerah setempat</v>
      </c>
      <c r="LE31" s="134" t="str">
        <f t="shared" si="164"/>
        <v>perancangan pembuatan dan penyajian kerajinan kerang, kaca, keramik dan botol plastik yang kreatif dan inovatif</v>
      </c>
      <c r="LF31" s="134" t="str">
        <f t="shared" si="164"/>
        <v/>
      </c>
      <c r="LG31" s="134" t="str">
        <f t="shared" si="164"/>
        <v/>
      </c>
      <c r="LH31" s="134" t="str">
        <f t="shared" si="164"/>
        <v/>
      </c>
      <c r="LI31" s="134" t="str">
        <f t="shared" si="164"/>
        <v/>
      </c>
      <c r="LJ31" s="134" t="str">
        <f t="shared" si="164"/>
        <v/>
      </c>
      <c r="LK31" s="134" t="str">
        <f t="shared" si="164"/>
        <v/>
      </c>
      <c r="LL31" s="134" t="str">
        <f t="shared" si="164"/>
        <v/>
      </c>
      <c r="LM31" s="134" t="str">
        <f t="shared" si="190"/>
        <v/>
      </c>
      <c r="LN31" s="134" t="str">
        <f t="shared" si="190"/>
        <v/>
      </c>
      <c r="LO31" s="134" t="str">
        <f t="shared" si="190"/>
        <v/>
      </c>
      <c r="LP31" s="134" t="str">
        <f t="shared" si="190"/>
        <v/>
      </c>
      <c r="LQ31" s="134" t="str">
        <f t="shared" si="190"/>
        <v/>
      </c>
      <c r="LR31" s="134" t="str">
        <f t="shared" si="190"/>
        <v/>
      </c>
      <c r="LS31" s="134" t="str">
        <f t="shared" si="190"/>
        <v/>
      </c>
      <c r="LT31" s="134" t="str">
        <f t="shared" si="190"/>
        <v/>
      </c>
      <c r="LU31" s="134" t="str">
        <f t="shared" si="190"/>
        <v/>
      </c>
      <c r="LV31" s="134" t="str">
        <f t="shared" si="190"/>
        <v/>
      </c>
      <c r="LW31" s="134" t="str">
        <f t="shared" si="190"/>
        <v/>
      </c>
      <c r="LX31" s="134" t="str">
        <f t="shared" si="165"/>
        <v>Sangat terampil dalam memilih jenis, bahan dan teknik pengolahan kerang, kaca, keramik dan botol plastik sesuai dengan potensi daerah setempatperancangan pembuatan dan penyajian kerajinan kerang, kaca, keramik dan botol plastik yang kreatif dan inovatif</v>
      </c>
      <c r="LY31" s="134" t="str">
        <f t="shared" si="166"/>
        <v>Sangat terampil dalam memilih jenis, bahan dan teknik pengolahan kerang, kaca, keramik dan botol plastik sesuai dengan potensi daerah setempatperancangan pembuatan dan penyajian kerajinan kerang, kaca, keramik dan botol plastik yang kreatif dan inovati.  </v>
      </c>
      <c r="LZ31" s="236">
        <f t="shared" si="97"/>
        <v>2</v>
      </c>
      <c r="MA31" s="235" t="str">
        <f t="shared" si="167"/>
        <v>OK</v>
      </c>
      <c r="MB31" s="235" t="str">
        <f t="shared" si="168"/>
        <v>OK</v>
      </c>
      <c r="MC31" s="235" t="str">
        <f t="shared" si="169"/>
        <v/>
      </c>
      <c r="MD31" s="235" t="str">
        <f t="shared" si="170"/>
        <v/>
      </c>
      <c r="ME31" s="235" t="str">
        <f t="shared" si="171"/>
        <v/>
      </c>
      <c r="MF31" s="235" t="str">
        <f t="shared" si="172"/>
        <v/>
      </c>
      <c r="MG31" s="235" t="str">
        <f t="shared" si="173"/>
        <v/>
      </c>
      <c r="MH31" s="235" t="str">
        <f t="shared" si="174"/>
        <v/>
      </c>
      <c r="MI31" s="235" t="str">
        <f t="shared" si="175"/>
        <v/>
      </c>
      <c r="MJ31" s="235" t="str">
        <f t="shared" si="176"/>
        <v/>
      </c>
      <c r="MK31" s="235" t="str">
        <f t="shared" si="177"/>
        <v/>
      </c>
      <c r="ML31" s="235" t="str">
        <f t="shared" si="178"/>
        <v/>
      </c>
      <c r="MM31" s="235" t="str">
        <f t="shared" si="179"/>
        <v/>
      </c>
      <c r="MN31" s="235" t="str">
        <f t="shared" si="180"/>
        <v/>
      </c>
      <c r="MO31" s="235" t="str">
        <f t="shared" si="181"/>
        <v/>
      </c>
      <c r="MP31" s="235" t="str">
        <f t="shared" si="182"/>
        <v/>
      </c>
      <c r="MQ31" s="235" t="str">
        <f t="shared" si="183"/>
        <v/>
      </c>
      <c r="MR31" s="235" t="str">
        <f t="shared" si="184"/>
        <v/>
      </c>
      <c r="MS31" s="235" t="str">
        <f t="shared" si="185"/>
        <v/>
      </c>
      <c r="MT31" s="235" t="str">
        <f t="shared" si="186"/>
        <v/>
      </c>
      <c r="MU31" s="134" t="str">
        <f t="shared" si="187"/>
        <v>memilih jenis, bahan dan teknik pengolahan kerang, kaca, keramik dan botol plastik sesuai dengan potensi daerah setempat</v>
      </c>
      <c r="MV31" s="134" t="str">
        <f t="shared" si="187"/>
        <v>perancangan pembuatan dan penyajian kerajinan kerang, kaca, keramik dan botol plastik yang kreatif dan inovatif</v>
      </c>
      <c r="MW31" s="134" t="str">
        <f t="shared" si="187"/>
        <v/>
      </c>
      <c r="MX31" s="134" t="str">
        <f t="shared" si="187"/>
        <v/>
      </c>
      <c r="MY31" s="134" t="str">
        <f t="shared" si="187"/>
        <v/>
      </c>
      <c r="MZ31" s="134" t="str">
        <f t="shared" si="187"/>
        <v/>
      </c>
      <c r="NA31" s="134" t="str">
        <f t="shared" si="187"/>
        <v/>
      </c>
      <c r="NB31" s="134" t="str">
        <f t="shared" si="187"/>
        <v/>
      </c>
      <c r="NC31" s="134" t="str">
        <f t="shared" si="187"/>
        <v/>
      </c>
      <c r="ND31" s="134" t="str">
        <f t="shared" si="191"/>
        <v/>
      </c>
      <c r="NE31" s="134" t="str">
        <f t="shared" si="191"/>
        <v/>
      </c>
      <c r="NF31" s="134" t="str">
        <f t="shared" si="191"/>
        <v/>
      </c>
      <c r="NG31" s="134" t="str">
        <f t="shared" si="191"/>
        <v/>
      </c>
      <c r="NH31" s="134" t="str">
        <f t="shared" si="191"/>
        <v/>
      </c>
      <c r="NI31" s="134" t="str">
        <f t="shared" si="191"/>
        <v/>
      </c>
      <c r="NJ31" s="134" t="str">
        <f t="shared" si="191"/>
        <v/>
      </c>
      <c r="NK31" s="134" t="str">
        <f t="shared" si="191"/>
        <v/>
      </c>
      <c r="NL31" s="134" t="str">
        <f t="shared" si="191"/>
        <v/>
      </c>
      <c r="NM31" s="134" t="str">
        <f t="shared" si="191"/>
        <v/>
      </c>
      <c r="NN31" s="134" t="str">
        <f t="shared" si="191"/>
        <v/>
      </c>
      <c r="NO31" s="134" t="str">
        <f>IF(KE31=KH31,"",IF(KG31="","",IF(KG31&gt;=KONVERSI!$A$14,'KI4'!KH31&amp;" dalam"&amp;MU31&amp;MV31&amp;MW31&amp;MX31&amp;MY31&amp;MZ31&amp;NA31&amp;NB31&amp;NC31&amp;ND31&amp;NE31&amp;NF31&amp;NG31&amp;NH31&amp;NI31&amp;NJ31&amp;NK31&amp;NL31&amp;NM31&amp;NN31,KONVERSI!$C$19&amp;" dalam"&amp;MU31&amp;MV31&amp;MW31&amp;MX31&amp;MY31&amp;MZ31&amp;NA31&amp;NB31&amp;NC31&amp;ND31&amp;NE31&amp;NF31&amp;NG31&amp;NH31&amp;NI31&amp;NJ31&amp;NK31&amp;NL31&amp;NM31&amp;NN31)))</f>
        <v/>
      </c>
      <c r="NP31" s="134" t="str">
        <f t="shared" si="188"/>
        <v/>
      </c>
      <c r="NQ31" s="236">
        <f t="shared" si="111"/>
        <v>2</v>
      </c>
      <c r="NR31" s="134" t="str">
        <f t="shared" si="189"/>
        <v>Sangat terampil dalam memilih jenis, bahan dan teknik pengolahan kerang, kaca, keramik dan botol plastik sesuai dengan potensi daerah setempatperancangan pembuatan dan penyajian kerajinan kerang, kaca, keramik dan botol plastik yang kreatif dan inovati.  </v>
      </c>
    </row>
    <row r="32" ht="27.6" customHeight="1" spans="1:382">
      <c r="A32" s="136"/>
      <c r="B32" s="177">
        <v>24</v>
      </c>
      <c r="C32" s="178" t="str">
        <f>siswa!C28</f>
        <v>TAGON BOAS BARUARA</v>
      </c>
      <c r="D32" s="174">
        <f>siswa!D28</f>
        <v>2848</v>
      </c>
      <c r="E32" s="175">
        <v>88</v>
      </c>
      <c r="F32" s="176"/>
      <c r="G32" s="176"/>
      <c r="H32" s="176"/>
      <c r="I32" s="176"/>
      <c r="J32" s="176"/>
      <c r="K32" s="176"/>
      <c r="L32" s="176"/>
      <c r="M32" s="194">
        <f t="shared" si="2"/>
        <v>88</v>
      </c>
      <c r="N32" s="176"/>
      <c r="O32" s="176"/>
      <c r="P32" s="175">
        <v>88</v>
      </c>
      <c r="Q32" s="176"/>
      <c r="R32" s="176"/>
      <c r="S32" s="176"/>
      <c r="T32" s="176"/>
      <c r="U32" s="176"/>
      <c r="V32" s="194">
        <f t="shared" si="3"/>
        <v>88</v>
      </c>
      <c r="W32" s="176"/>
      <c r="X32" s="176"/>
      <c r="Y32" s="176"/>
      <c r="Z32" s="176"/>
      <c r="AA32" s="176"/>
      <c r="AB32" s="176"/>
      <c r="AC32" s="176"/>
      <c r="AD32" s="176"/>
      <c r="AE32" s="194" t="str">
        <f t="shared" si="4"/>
        <v/>
      </c>
      <c r="AF32" s="176"/>
      <c r="AG32" s="176"/>
      <c r="AH32" s="176"/>
      <c r="AI32" s="176"/>
      <c r="AJ32" s="176"/>
      <c r="AK32" s="176"/>
      <c r="AL32" s="176"/>
      <c r="AM32" s="176"/>
      <c r="AN32" s="194" t="str">
        <f t="shared" si="5"/>
        <v/>
      </c>
      <c r="AO32" s="181"/>
      <c r="AP32" s="176"/>
      <c r="AQ32" s="176"/>
      <c r="AR32" s="176"/>
      <c r="AS32" s="176"/>
      <c r="AT32" s="176"/>
      <c r="AU32" s="176"/>
      <c r="AV32" s="176"/>
      <c r="AW32" s="194" t="str">
        <f t="shared" si="112"/>
        <v/>
      </c>
      <c r="AX32" s="181"/>
      <c r="AY32" s="176"/>
      <c r="AZ32" s="176"/>
      <c r="BA32" s="176"/>
      <c r="BB32" s="176"/>
      <c r="BC32" s="176"/>
      <c r="BD32" s="176"/>
      <c r="BE32" s="176"/>
      <c r="BF32" s="194" t="str">
        <f t="shared" si="6"/>
        <v/>
      </c>
      <c r="BG32" s="181"/>
      <c r="BH32" s="176"/>
      <c r="BI32" s="176"/>
      <c r="BJ32" s="176"/>
      <c r="BK32" s="176"/>
      <c r="BL32" s="176"/>
      <c r="BM32" s="176"/>
      <c r="BN32" s="176"/>
      <c r="BO32" s="194" t="str">
        <f t="shared" si="113"/>
        <v/>
      </c>
      <c r="BP32" s="181"/>
      <c r="BQ32" s="176"/>
      <c r="BR32" s="176"/>
      <c r="BS32" s="176"/>
      <c r="BT32" s="176"/>
      <c r="BU32" s="176"/>
      <c r="BV32" s="176"/>
      <c r="BW32" s="176"/>
      <c r="BX32" s="194" t="str">
        <f t="shared" si="114"/>
        <v/>
      </c>
      <c r="BY32" s="181"/>
      <c r="BZ32" s="176"/>
      <c r="CA32" s="176"/>
      <c r="CB32" s="176"/>
      <c r="CC32" s="176"/>
      <c r="CD32" s="176"/>
      <c r="CE32" s="176"/>
      <c r="CF32" s="176"/>
      <c r="CG32" s="194" t="str">
        <f t="shared" si="115"/>
        <v/>
      </c>
      <c r="CH32" s="181"/>
      <c r="CI32" s="176"/>
      <c r="CJ32" s="176"/>
      <c r="CK32" s="176"/>
      <c r="CL32" s="176"/>
      <c r="CM32" s="176"/>
      <c r="CN32" s="176"/>
      <c r="CO32" s="176"/>
      <c r="CP32" s="194" t="str">
        <f t="shared" si="7"/>
        <v/>
      </c>
      <c r="CQ32" s="181"/>
      <c r="CR32" s="176"/>
      <c r="CS32" s="176"/>
      <c r="CT32" s="176"/>
      <c r="CU32" s="176"/>
      <c r="CV32" s="176"/>
      <c r="CW32" s="176"/>
      <c r="CX32" s="176"/>
      <c r="CY32" s="194" t="str">
        <f t="shared" si="116"/>
        <v/>
      </c>
      <c r="CZ32" s="181"/>
      <c r="DA32" s="176"/>
      <c r="DB32" s="176"/>
      <c r="DC32" s="176"/>
      <c r="DD32" s="176"/>
      <c r="DE32" s="176"/>
      <c r="DF32" s="176"/>
      <c r="DG32" s="176"/>
      <c r="DH32" s="194" t="str">
        <f t="shared" si="8"/>
        <v/>
      </c>
      <c r="DI32" s="181"/>
      <c r="DJ32" s="176"/>
      <c r="DK32" s="176"/>
      <c r="DL32" s="176"/>
      <c r="DM32" s="176"/>
      <c r="DN32" s="176"/>
      <c r="DO32" s="176"/>
      <c r="DP32" s="176"/>
      <c r="DQ32" s="194" t="str">
        <f t="shared" si="117"/>
        <v/>
      </c>
      <c r="DR32" s="181"/>
      <c r="DS32" s="176"/>
      <c r="DT32" s="176"/>
      <c r="DU32" s="176"/>
      <c r="DV32" s="176"/>
      <c r="DW32" s="176"/>
      <c r="DX32" s="176"/>
      <c r="DY32" s="176"/>
      <c r="DZ32" s="194" t="str">
        <f t="shared" si="9"/>
        <v/>
      </c>
      <c r="EA32" s="181"/>
      <c r="EB32" s="176"/>
      <c r="EC32" s="176"/>
      <c r="ED32" s="176"/>
      <c r="EE32" s="176"/>
      <c r="EF32" s="176"/>
      <c r="EG32" s="176"/>
      <c r="EH32" s="176"/>
      <c r="EI32" s="194" t="str">
        <f t="shared" si="10"/>
        <v/>
      </c>
      <c r="EJ32" s="181"/>
      <c r="EK32" s="176"/>
      <c r="EL32" s="176"/>
      <c r="EM32" s="176"/>
      <c r="EN32" s="176"/>
      <c r="EO32" s="176"/>
      <c r="EP32" s="176"/>
      <c r="EQ32" s="176"/>
      <c r="ER32" s="194" t="str">
        <f t="shared" si="11"/>
        <v/>
      </c>
      <c r="ES32" s="181"/>
      <c r="ET32" s="176"/>
      <c r="EU32" s="176"/>
      <c r="EV32" s="176"/>
      <c r="EW32" s="176"/>
      <c r="EX32" s="176"/>
      <c r="EY32" s="176"/>
      <c r="EZ32" s="176"/>
      <c r="FA32" s="194" t="str">
        <f t="shared" si="12"/>
        <v/>
      </c>
      <c r="FB32" s="181"/>
      <c r="FC32" s="176"/>
      <c r="FD32" s="176"/>
      <c r="FE32" s="176"/>
      <c r="FF32" s="176"/>
      <c r="FG32" s="176"/>
      <c r="FH32" s="176"/>
      <c r="FI32" s="176"/>
      <c r="FJ32" s="194" t="str">
        <f t="shared" si="13"/>
        <v/>
      </c>
      <c r="FK32" s="181"/>
      <c r="FL32" s="176"/>
      <c r="FM32" s="176"/>
      <c r="FN32" s="176"/>
      <c r="FO32" s="176"/>
      <c r="FP32" s="176"/>
      <c r="FQ32" s="176"/>
      <c r="FR32" s="176"/>
      <c r="FS32" s="194" t="str">
        <f t="shared" si="14"/>
        <v/>
      </c>
      <c r="FT32" s="181"/>
      <c r="FU32" s="176"/>
      <c r="FV32" s="176"/>
      <c r="FW32" s="176"/>
      <c r="FX32" s="176"/>
      <c r="FY32" s="176"/>
      <c r="FZ32" s="176"/>
      <c r="GA32" s="176"/>
      <c r="GB32" s="194" t="str">
        <f t="shared" si="118"/>
        <v/>
      </c>
      <c r="GC32" s="194">
        <f t="shared" si="119"/>
        <v>88</v>
      </c>
      <c r="GD32" s="194" t="str">
        <f>IF(GC32="","",IF(GC32&gt;=KONVERSI!$A$5,KONVERSI!$D$5,IF(GC32&gt;=KONVERSI!$A$6,KONVERSI!$D$6,IF(GC32&gt;=KONVERSI!$A$7,KONVERSI!$D$7,KONVERSI!$D$8))))</f>
        <v>B</v>
      </c>
      <c r="GE32" s="194" t="str">
        <f t="shared" si="120"/>
        <v>Tuntas</v>
      </c>
      <c r="GF32" s="222"/>
      <c r="GG32" s="223">
        <f t="shared" si="15"/>
        <v>88</v>
      </c>
      <c r="GH32" s="194">
        <f t="shared" si="16"/>
        <v>0</v>
      </c>
      <c r="GI32" s="194">
        <f t="shared" si="17"/>
        <v>0</v>
      </c>
      <c r="GJ32" s="194">
        <f t="shared" si="18"/>
        <v>0</v>
      </c>
      <c r="GK32" s="194">
        <f t="shared" si="19"/>
        <v>0</v>
      </c>
      <c r="GL32" s="194">
        <f t="shared" si="20"/>
        <v>88</v>
      </c>
      <c r="GM32" s="194">
        <f t="shared" si="21"/>
        <v>0</v>
      </c>
      <c r="GN32" s="194">
        <f t="shared" si="22"/>
        <v>0</v>
      </c>
      <c r="GO32" s="194">
        <f t="shared" si="23"/>
        <v>0</v>
      </c>
      <c r="GP32" s="194">
        <f t="shared" si="24"/>
        <v>0</v>
      </c>
      <c r="GQ32" s="194">
        <f t="shared" si="25"/>
        <v>0</v>
      </c>
      <c r="GR32" s="194">
        <f t="shared" si="26"/>
        <v>0</v>
      </c>
      <c r="GS32" s="194">
        <f t="shared" si="27"/>
        <v>0</v>
      </c>
      <c r="GT32" s="194">
        <f t="shared" si="28"/>
        <v>0</v>
      </c>
      <c r="GU32" s="194">
        <f t="shared" si="29"/>
        <v>0</v>
      </c>
      <c r="GV32" s="194">
        <f t="shared" si="30"/>
        <v>0</v>
      </c>
      <c r="GW32" s="194">
        <f t="shared" si="31"/>
        <v>0</v>
      </c>
      <c r="GX32" s="194">
        <f t="shared" si="32"/>
        <v>0</v>
      </c>
      <c r="GY32" s="194">
        <f t="shared" si="33"/>
        <v>0</v>
      </c>
      <c r="GZ32" s="194">
        <f t="shared" si="34"/>
        <v>0</v>
      </c>
      <c r="HA32" s="194">
        <f t="shared" si="35"/>
        <v>0</v>
      </c>
      <c r="HB32" s="194">
        <f t="shared" si="36"/>
        <v>0</v>
      </c>
      <c r="HC32" s="194">
        <f t="shared" si="37"/>
        <v>0</v>
      </c>
      <c r="HD32" s="194">
        <f t="shared" si="38"/>
        <v>0</v>
      </c>
      <c r="HE32" s="194">
        <f t="shared" si="39"/>
        <v>0</v>
      </c>
      <c r="HF32" s="194">
        <f t="shared" si="40"/>
        <v>0</v>
      </c>
      <c r="HG32" s="194">
        <f t="shared" si="41"/>
        <v>0</v>
      </c>
      <c r="HH32" s="194">
        <f t="shared" si="42"/>
        <v>0</v>
      </c>
      <c r="HI32" s="194">
        <f t="shared" si="43"/>
        <v>0</v>
      </c>
      <c r="HJ32" s="194">
        <f t="shared" si="44"/>
        <v>0</v>
      </c>
      <c r="HK32" s="194">
        <f t="shared" si="45"/>
        <v>0</v>
      </c>
      <c r="HL32" s="194">
        <f t="shared" si="46"/>
        <v>0</v>
      </c>
      <c r="HM32" s="194">
        <f t="shared" si="47"/>
        <v>0</v>
      </c>
      <c r="HN32" s="194">
        <f t="shared" si="48"/>
        <v>0</v>
      </c>
      <c r="HO32" s="194">
        <f t="shared" si="49"/>
        <v>0</v>
      </c>
      <c r="HP32" s="194">
        <f t="shared" si="50"/>
        <v>0</v>
      </c>
      <c r="HQ32" s="194">
        <f t="shared" si="51"/>
        <v>0</v>
      </c>
      <c r="HR32" s="194">
        <f t="shared" si="52"/>
        <v>0</v>
      </c>
      <c r="HS32" s="194">
        <f t="shared" si="53"/>
        <v>0</v>
      </c>
      <c r="HT32" s="194">
        <f t="shared" si="54"/>
        <v>0</v>
      </c>
      <c r="HU32" s="194">
        <f t="shared" si="55"/>
        <v>0</v>
      </c>
      <c r="HV32" s="194">
        <f t="shared" si="56"/>
        <v>0</v>
      </c>
      <c r="HW32" s="194">
        <f t="shared" si="57"/>
        <v>0</v>
      </c>
      <c r="HX32" s="194">
        <f t="shared" si="58"/>
        <v>0</v>
      </c>
      <c r="HY32" s="194">
        <f t="shared" si="59"/>
        <v>0</v>
      </c>
      <c r="HZ32" s="194">
        <f t="shared" si="60"/>
        <v>0</v>
      </c>
      <c r="IA32" s="194">
        <f t="shared" si="61"/>
        <v>0</v>
      </c>
      <c r="IB32" s="194">
        <f t="shared" si="62"/>
        <v>0</v>
      </c>
      <c r="IC32" s="194">
        <f t="shared" si="63"/>
        <v>0</v>
      </c>
      <c r="ID32" s="194">
        <f t="shared" si="64"/>
        <v>0</v>
      </c>
      <c r="IE32" s="194">
        <f t="shared" si="65"/>
        <v>0</v>
      </c>
      <c r="IF32" s="194">
        <f t="shared" si="66"/>
        <v>0</v>
      </c>
      <c r="IG32" s="194">
        <f t="shared" si="67"/>
        <v>0</v>
      </c>
      <c r="IH32" s="194">
        <f t="shared" si="68"/>
        <v>0</v>
      </c>
      <c r="II32" s="194">
        <f t="shared" si="69"/>
        <v>0</v>
      </c>
      <c r="IJ32" s="194">
        <f t="shared" si="70"/>
        <v>0</v>
      </c>
      <c r="IK32" s="194">
        <f t="shared" si="71"/>
        <v>0</v>
      </c>
      <c r="IL32" s="194">
        <f t="shared" si="72"/>
        <v>0</v>
      </c>
      <c r="IM32" s="194">
        <f t="shared" si="73"/>
        <v>0</v>
      </c>
      <c r="IN32" s="194">
        <f t="shared" si="74"/>
        <v>0</v>
      </c>
      <c r="IO32" s="194">
        <f t="shared" si="75"/>
        <v>0</v>
      </c>
      <c r="IP32" s="194">
        <f t="shared" si="76"/>
        <v>0</v>
      </c>
      <c r="IQ32" s="194">
        <f t="shared" si="77"/>
        <v>0</v>
      </c>
      <c r="IR32" s="194">
        <f t="shared" si="78"/>
        <v>0</v>
      </c>
      <c r="IS32" s="194">
        <f t="shared" si="79"/>
        <v>0</v>
      </c>
      <c r="IT32" s="194">
        <f t="shared" si="80"/>
        <v>0</v>
      </c>
      <c r="IU32" s="194">
        <f t="shared" si="81"/>
        <v>0</v>
      </c>
      <c r="IV32" s="194">
        <f t="shared" si="82"/>
        <v>0</v>
      </c>
      <c r="IW32" s="194">
        <f t="shared" si="83"/>
        <v>0</v>
      </c>
      <c r="IX32" s="194">
        <f t="shared" si="84"/>
        <v>0</v>
      </c>
      <c r="IY32" s="194">
        <f t="shared" si="85"/>
        <v>0</v>
      </c>
      <c r="IZ32" s="194">
        <f t="shared" si="86"/>
        <v>0</v>
      </c>
      <c r="JA32" s="194">
        <f t="shared" si="87"/>
        <v>0</v>
      </c>
      <c r="JB32" s="194">
        <f t="shared" si="88"/>
        <v>0</v>
      </c>
      <c r="JC32" s="194">
        <f t="shared" si="89"/>
        <v>0</v>
      </c>
      <c r="JD32" s="194">
        <f t="shared" si="90"/>
        <v>0</v>
      </c>
      <c r="JE32" s="194">
        <f t="shared" si="91"/>
        <v>0</v>
      </c>
      <c r="JF32" s="194">
        <f t="shared" si="92"/>
        <v>0</v>
      </c>
      <c r="JG32" s="194">
        <f t="shared" si="93"/>
        <v>0</v>
      </c>
      <c r="JH32" s="194">
        <f t="shared" si="94"/>
        <v>0</v>
      </c>
      <c r="JI32" s="228">
        <v>24</v>
      </c>
      <c r="JJ32" s="229">
        <f t="shared" si="121"/>
        <v>88</v>
      </c>
      <c r="JK32" s="229">
        <f t="shared" si="122"/>
        <v>88</v>
      </c>
      <c r="JL32" s="229" t="str">
        <f t="shared" si="123"/>
        <v/>
      </c>
      <c r="JM32" s="229" t="str">
        <f t="shared" si="124"/>
        <v/>
      </c>
      <c r="JN32" s="229" t="str">
        <f t="shared" si="125"/>
        <v/>
      </c>
      <c r="JO32" s="229" t="str">
        <f t="shared" si="126"/>
        <v/>
      </c>
      <c r="JP32" s="229" t="str">
        <f t="shared" si="127"/>
        <v/>
      </c>
      <c r="JQ32" s="229" t="str">
        <f t="shared" si="128"/>
        <v/>
      </c>
      <c r="JR32" s="229" t="str">
        <f t="shared" si="129"/>
        <v/>
      </c>
      <c r="JS32" s="229" t="str">
        <f t="shared" si="130"/>
        <v/>
      </c>
      <c r="JT32" s="229" t="str">
        <f t="shared" si="131"/>
        <v/>
      </c>
      <c r="JU32" s="229" t="str">
        <f t="shared" si="132"/>
        <v/>
      </c>
      <c r="JV32" s="229" t="str">
        <f t="shared" si="133"/>
        <v/>
      </c>
      <c r="JW32" s="229" t="str">
        <f t="shared" si="134"/>
        <v/>
      </c>
      <c r="JX32" s="229" t="str">
        <f t="shared" si="135"/>
        <v/>
      </c>
      <c r="JY32" s="229" t="str">
        <f t="shared" si="136"/>
        <v/>
      </c>
      <c r="JZ32" s="229" t="str">
        <f t="shared" si="137"/>
        <v/>
      </c>
      <c r="KA32" s="229" t="str">
        <f t="shared" si="138"/>
        <v/>
      </c>
      <c r="KB32" s="229" t="str">
        <f t="shared" si="139"/>
        <v/>
      </c>
      <c r="KC32" s="229" t="str">
        <f t="shared" si="140"/>
        <v/>
      </c>
      <c r="KD32" s="231">
        <f t="shared" si="141"/>
        <v>88</v>
      </c>
      <c r="KE32" s="232" t="str">
        <f>IF(KD32="","",IF(KD32&gt;=KONVERSI!$A$5,KONVERSI!$E$12,IF(KD32&gt;=KONVERSI!$A$6,KONVERSI!$E$13,IF(KD32&gt;=KONVERSI!$A$7,KONVERSI!$E$14,KONVERSI!$E$15))))</f>
        <v>Terampil</v>
      </c>
      <c r="KF32" s="233" t="str">
        <f t="shared" si="142"/>
        <v>Terampil dalammemilih jenis, bahan dan teknik pengolahan kerang, kaca, keramik dan botol plastik sesuai dengan potensi daerah setempat</v>
      </c>
      <c r="KG32" s="234">
        <f t="shared" si="143"/>
        <v>88</v>
      </c>
      <c r="KH32" s="232" t="str">
        <f>IF(KG32="","",IF(KG32&gt;=KONVERSI!$A$5,KONVERSI!$E$12,IF(KG32&gt;=KONVERSI!$A$6,KONVERSI!$E$13,IF(KG32&gt;=KONVERSI!$A$7,KONVERSI!$E$14,KONVERSI!$E$15))))</f>
        <v>Terampil</v>
      </c>
      <c r="KI32" s="134" t="str">
        <f>IF(GC32="","",IF(GC32&lt;$GD$3," "&amp;KONVERSI!$C$19&amp;INDEX($JJ$8:$KC$8,MATCH(KG33,JJ33:KC33,0))&amp;".",IF(GC32=0,"",IF(KG32&lt;&gt;0,KF32&amp;KH32&amp;".",KF32&amp;"."))))</f>
        <v>Terampil dalammemilih jenis, bahan dan teknik pengolahan kerang, kaca, keramik dan botol plastik sesuai dengan potensi daerah setempatTerampil.</v>
      </c>
      <c r="KJ32" s="235" t="str">
        <f t="shared" si="144"/>
        <v>OK</v>
      </c>
      <c r="KK32" s="235" t="str">
        <f t="shared" si="145"/>
        <v>OK</v>
      </c>
      <c r="KL32" s="235" t="str">
        <f t="shared" si="146"/>
        <v/>
      </c>
      <c r="KM32" s="235" t="str">
        <f t="shared" si="147"/>
        <v/>
      </c>
      <c r="KN32" s="235" t="str">
        <f t="shared" si="148"/>
        <v/>
      </c>
      <c r="KO32" s="235" t="str">
        <f t="shared" si="149"/>
        <v/>
      </c>
      <c r="KP32" s="235" t="str">
        <f t="shared" si="150"/>
        <v/>
      </c>
      <c r="KQ32" s="235" t="str">
        <f t="shared" si="151"/>
        <v/>
      </c>
      <c r="KR32" s="235" t="str">
        <f t="shared" si="152"/>
        <v/>
      </c>
      <c r="KS32" s="235" t="str">
        <f t="shared" si="153"/>
        <v/>
      </c>
      <c r="KT32" s="235" t="str">
        <f t="shared" si="154"/>
        <v/>
      </c>
      <c r="KU32" s="235" t="str">
        <f t="shared" si="155"/>
        <v/>
      </c>
      <c r="KV32" s="235" t="str">
        <f t="shared" si="156"/>
        <v/>
      </c>
      <c r="KW32" s="235" t="str">
        <f t="shared" si="157"/>
        <v/>
      </c>
      <c r="KX32" s="235" t="str">
        <f t="shared" si="158"/>
        <v/>
      </c>
      <c r="KY32" s="235" t="str">
        <f t="shared" si="159"/>
        <v/>
      </c>
      <c r="KZ32" s="235" t="str">
        <f t="shared" si="160"/>
        <v/>
      </c>
      <c r="LA32" s="235" t="str">
        <f t="shared" si="161"/>
        <v/>
      </c>
      <c r="LB32" s="235" t="str">
        <f t="shared" si="162"/>
        <v/>
      </c>
      <c r="LC32" s="235" t="str">
        <f t="shared" si="163"/>
        <v/>
      </c>
      <c r="LD32" s="134" t="str">
        <f t="shared" si="164"/>
        <v>memilih jenis, bahan dan teknik pengolahan kerang, kaca, keramik dan botol plastik sesuai dengan potensi daerah setempat</v>
      </c>
      <c r="LE32" s="134" t="str">
        <f t="shared" si="164"/>
        <v>perancangan pembuatan dan penyajian kerajinan kerang, kaca, keramik dan botol plastik yang kreatif dan inovatif</v>
      </c>
      <c r="LF32" s="134" t="str">
        <f t="shared" si="164"/>
        <v/>
      </c>
      <c r="LG32" s="134" t="str">
        <f t="shared" si="164"/>
        <v/>
      </c>
      <c r="LH32" s="134" t="str">
        <f t="shared" si="164"/>
        <v/>
      </c>
      <c r="LI32" s="134" t="str">
        <f t="shared" si="164"/>
        <v/>
      </c>
      <c r="LJ32" s="134" t="str">
        <f t="shared" si="164"/>
        <v/>
      </c>
      <c r="LK32" s="134" t="str">
        <f t="shared" si="164"/>
        <v/>
      </c>
      <c r="LL32" s="134" t="str">
        <f t="shared" si="164"/>
        <v/>
      </c>
      <c r="LM32" s="134" t="str">
        <f t="shared" si="190"/>
        <v/>
      </c>
      <c r="LN32" s="134" t="str">
        <f t="shared" si="190"/>
        <v/>
      </c>
      <c r="LO32" s="134" t="str">
        <f t="shared" si="190"/>
        <v/>
      </c>
      <c r="LP32" s="134" t="str">
        <f t="shared" si="190"/>
        <v/>
      </c>
      <c r="LQ32" s="134" t="str">
        <f t="shared" si="190"/>
        <v/>
      </c>
      <c r="LR32" s="134" t="str">
        <f t="shared" si="190"/>
        <v/>
      </c>
      <c r="LS32" s="134" t="str">
        <f t="shared" si="190"/>
        <v/>
      </c>
      <c r="LT32" s="134" t="str">
        <f t="shared" si="190"/>
        <v/>
      </c>
      <c r="LU32" s="134" t="str">
        <f t="shared" si="190"/>
        <v/>
      </c>
      <c r="LV32" s="134" t="str">
        <f t="shared" si="190"/>
        <v/>
      </c>
      <c r="LW32" s="134" t="str">
        <f t="shared" si="190"/>
        <v/>
      </c>
      <c r="LX32" s="134" t="str">
        <f t="shared" si="165"/>
        <v>Terampil dalam memilih jenis, bahan dan teknik pengolahan kerang, kaca, keramik dan botol plastik sesuai dengan potensi daerah setempatperancangan pembuatan dan penyajian kerajinan kerang, kaca, keramik dan botol plastik yang kreatif dan inovatif</v>
      </c>
      <c r="LY32" s="134" t="str">
        <f t="shared" si="166"/>
        <v>Terampil dalam memilih jenis, bahan dan teknik pengolahan kerang, kaca, keramik dan botol plastik sesuai dengan potensi daerah setempatperancangan pembuatan dan penyajian kerajinan kerang, kaca, keramik dan botol plastik yang kreatif dan inovati.  </v>
      </c>
      <c r="LZ32" s="236">
        <f t="shared" si="97"/>
        <v>2</v>
      </c>
      <c r="MA32" s="235" t="str">
        <f t="shared" si="167"/>
        <v>OK</v>
      </c>
      <c r="MB32" s="235" t="str">
        <f t="shared" si="168"/>
        <v>OK</v>
      </c>
      <c r="MC32" s="235" t="str">
        <f t="shared" si="169"/>
        <v/>
      </c>
      <c r="MD32" s="235" t="str">
        <f t="shared" si="170"/>
        <v/>
      </c>
      <c r="ME32" s="235" t="str">
        <f t="shared" si="171"/>
        <v/>
      </c>
      <c r="MF32" s="235" t="str">
        <f t="shared" si="172"/>
        <v/>
      </c>
      <c r="MG32" s="235" t="str">
        <f t="shared" si="173"/>
        <v/>
      </c>
      <c r="MH32" s="235" t="str">
        <f t="shared" si="174"/>
        <v/>
      </c>
      <c r="MI32" s="235" t="str">
        <f t="shared" si="175"/>
        <v/>
      </c>
      <c r="MJ32" s="235" t="str">
        <f t="shared" si="176"/>
        <v/>
      </c>
      <c r="MK32" s="235" t="str">
        <f t="shared" si="177"/>
        <v/>
      </c>
      <c r="ML32" s="235" t="str">
        <f t="shared" si="178"/>
        <v/>
      </c>
      <c r="MM32" s="235" t="str">
        <f t="shared" si="179"/>
        <v/>
      </c>
      <c r="MN32" s="235" t="str">
        <f t="shared" si="180"/>
        <v/>
      </c>
      <c r="MO32" s="235" t="str">
        <f t="shared" si="181"/>
        <v/>
      </c>
      <c r="MP32" s="235" t="str">
        <f t="shared" si="182"/>
        <v/>
      </c>
      <c r="MQ32" s="235" t="str">
        <f t="shared" si="183"/>
        <v/>
      </c>
      <c r="MR32" s="235" t="str">
        <f t="shared" si="184"/>
        <v/>
      </c>
      <c r="MS32" s="235" t="str">
        <f t="shared" si="185"/>
        <v/>
      </c>
      <c r="MT32" s="235" t="str">
        <f t="shared" si="186"/>
        <v/>
      </c>
      <c r="MU32" s="134" t="str">
        <f t="shared" si="187"/>
        <v>memilih jenis, bahan dan teknik pengolahan kerang, kaca, keramik dan botol plastik sesuai dengan potensi daerah setempat</v>
      </c>
      <c r="MV32" s="134" t="str">
        <f t="shared" si="187"/>
        <v>perancangan pembuatan dan penyajian kerajinan kerang, kaca, keramik dan botol plastik yang kreatif dan inovatif</v>
      </c>
      <c r="MW32" s="134" t="str">
        <f t="shared" si="187"/>
        <v/>
      </c>
      <c r="MX32" s="134" t="str">
        <f t="shared" si="187"/>
        <v/>
      </c>
      <c r="MY32" s="134" t="str">
        <f t="shared" si="187"/>
        <v/>
      </c>
      <c r="MZ32" s="134" t="str">
        <f t="shared" si="187"/>
        <v/>
      </c>
      <c r="NA32" s="134" t="str">
        <f t="shared" si="187"/>
        <v/>
      </c>
      <c r="NB32" s="134" t="str">
        <f t="shared" si="187"/>
        <v/>
      </c>
      <c r="NC32" s="134" t="str">
        <f t="shared" si="187"/>
        <v/>
      </c>
      <c r="ND32" s="134" t="str">
        <f t="shared" si="191"/>
        <v/>
      </c>
      <c r="NE32" s="134" t="str">
        <f t="shared" si="191"/>
        <v/>
      </c>
      <c r="NF32" s="134" t="str">
        <f t="shared" si="191"/>
        <v/>
      </c>
      <c r="NG32" s="134" t="str">
        <f t="shared" si="191"/>
        <v/>
      </c>
      <c r="NH32" s="134" t="str">
        <f t="shared" si="191"/>
        <v/>
      </c>
      <c r="NI32" s="134" t="str">
        <f t="shared" si="191"/>
        <v/>
      </c>
      <c r="NJ32" s="134" t="str">
        <f t="shared" si="191"/>
        <v/>
      </c>
      <c r="NK32" s="134" t="str">
        <f t="shared" si="191"/>
        <v/>
      </c>
      <c r="NL32" s="134" t="str">
        <f t="shared" si="191"/>
        <v/>
      </c>
      <c r="NM32" s="134" t="str">
        <f t="shared" si="191"/>
        <v/>
      </c>
      <c r="NN32" s="134" t="str">
        <f t="shared" si="191"/>
        <v/>
      </c>
      <c r="NO32" s="134" t="str">
        <f>IF(KE32=KH32,"",IF(KG32="","",IF(KG32&gt;=KONVERSI!$A$14,'KI4'!KH32&amp;" dalam"&amp;MU32&amp;MV32&amp;MW32&amp;MX32&amp;MY32&amp;MZ32&amp;NA32&amp;NB32&amp;NC32&amp;ND32&amp;NE32&amp;NF32&amp;NG32&amp;NH32&amp;NI32&amp;NJ32&amp;NK32&amp;NL32&amp;NM32&amp;NN32,KONVERSI!$C$19&amp;" dalam"&amp;MU32&amp;MV32&amp;MW32&amp;MX32&amp;MY32&amp;MZ32&amp;NA32&amp;NB32&amp;NC32&amp;ND32&amp;NE32&amp;NF32&amp;NG32&amp;NH32&amp;NI32&amp;NJ32&amp;NK32&amp;NL32&amp;NM32&amp;NN32)))</f>
        <v/>
      </c>
      <c r="NP32" s="134" t="str">
        <f t="shared" si="188"/>
        <v/>
      </c>
      <c r="NQ32" s="236">
        <f t="shared" si="111"/>
        <v>2</v>
      </c>
      <c r="NR32" s="134" t="str">
        <f t="shared" si="189"/>
        <v>Terampil dalam memilih jenis, bahan dan teknik pengolahan kerang, kaca, keramik dan botol plastik sesuai dengan potensi daerah setempatperancangan pembuatan dan penyajian kerajinan kerang, kaca, keramik dan botol plastik yang kreatif dan inovati.  </v>
      </c>
    </row>
    <row r="33" ht="27.6" customHeight="1" spans="1:382">
      <c r="A33" s="136"/>
      <c r="B33" s="177">
        <v>25</v>
      </c>
      <c r="C33" s="178" t="str">
        <f>siswa!C29</f>
        <v>TRIAS RAMADAN PASARIBU</v>
      </c>
      <c r="D33" s="174">
        <f>siswa!D29</f>
        <v>2854</v>
      </c>
      <c r="E33" s="175"/>
      <c r="F33" s="176"/>
      <c r="G33" s="176"/>
      <c r="H33" s="176"/>
      <c r="I33" s="176"/>
      <c r="J33" s="176"/>
      <c r="K33" s="176"/>
      <c r="L33" s="176"/>
      <c r="M33" s="194" t="str">
        <f t="shared" si="2"/>
        <v/>
      </c>
      <c r="N33" s="176"/>
      <c r="O33" s="176"/>
      <c r="P33" s="175"/>
      <c r="Q33" s="176"/>
      <c r="R33" s="176"/>
      <c r="S33" s="176"/>
      <c r="T33" s="176"/>
      <c r="U33" s="176"/>
      <c r="V33" s="194" t="str">
        <f t="shared" si="3"/>
        <v/>
      </c>
      <c r="W33" s="176"/>
      <c r="X33" s="176"/>
      <c r="Y33" s="176"/>
      <c r="Z33" s="176"/>
      <c r="AA33" s="176"/>
      <c r="AB33" s="176"/>
      <c r="AC33" s="176"/>
      <c r="AD33" s="176"/>
      <c r="AE33" s="194" t="str">
        <f t="shared" si="4"/>
        <v/>
      </c>
      <c r="AF33" s="176"/>
      <c r="AG33" s="176"/>
      <c r="AH33" s="176"/>
      <c r="AI33" s="176"/>
      <c r="AJ33" s="176"/>
      <c r="AK33" s="176"/>
      <c r="AL33" s="176"/>
      <c r="AM33" s="176"/>
      <c r="AN33" s="194" t="str">
        <f t="shared" si="5"/>
        <v/>
      </c>
      <c r="AO33" s="181"/>
      <c r="AP33" s="176"/>
      <c r="AQ33" s="176"/>
      <c r="AR33" s="176"/>
      <c r="AS33" s="176"/>
      <c r="AT33" s="176"/>
      <c r="AU33" s="176"/>
      <c r="AV33" s="176"/>
      <c r="AW33" s="194" t="str">
        <f t="shared" si="112"/>
        <v/>
      </c>
      <c r="AX33" s="181"/>
      <c r="AY33" s="176"/>
      <c r="AZ33" s="176"/>
      <c r="BA33" s="176"/>
      <c r="BB33" s="176"/>
      <c r="BC33" s="176"/>
      <c r="BD33" s="176"/>
      <c r="BE33" s="176"/>
      <c r="BF33" s="194" t="str">
        <f t="shared" si="6"/>
        <v/>
      </c>
      <c r="BG33" s="181"/>
      <c r="BH33" s="176"/>
      <c r="BI33" s="176"/>
      <c r="BJ33" s="176"/>
      <c r="BK33" s="176"/>
      <c r="BL33" s="176"/>
      <c r="BM33" s="176"/>
      <c r="BN33" s="176"/>
      <c r="BO33" s="194" t="str">
        <f t="shared" si="113"/>
        <v/>
      </c>
      <c r="BP33" s="181"/>
      <c r="BQ33" s="176"/>
      <c r="BR33" s="176"/>
      <c r="BS33" s="176"/>
      <c r="BT33" s="176"/>
      <c r="BU33" s="176"/>
      <c r="BV33" s="176"/>
      <c r="BW33" s="176"/>
      <c r="BX33" s="194" t="str">
        <f t="shared" si="114"/>
        <v/>
      </c>
      <c r="BY33" s="181"/>
      <c r="BZ33" s="176"/>
      <c r="CA33" s="176"/>
      <c r="CB33" s="176"/>
      <c r="CC33" s="176"/>
      <c r="CD33" s="176"/>
      <c r="CE33" s="176"/>
      <c r="CF33" s="176"/>
      <c r="CG33" s="194" t="str">
        <f t="shared" si="115"/>
        <v/>
      </c>
      <c r="CH33" s="181"/>
      <c r="CI33" s="176"/>
      <c r="CJ33" s="176"/>
      <c r="CK33" s="176"/>
      <c r="CL33" s="176"/>
      <c r="CM33" s="176"/>
      <c r="CN33" s="176"/>
      <c r="CO33" s="176"/>
      <c r="CP33" s="194" t="str">
        <f t="shared" si="7"/>
        <v/>
      </c>
      <c r="CQ33" s="181"/>
      <c r="CR33" s="176"/>
      <c r="CS33" s="176"/>
      <c r="CT33" s="176"/>
      <c r="CU33" s="176"/>
      <c r="CV33" s="176"/>
      <c r="CW33" s="176"/>
      <c r="CX33" s="176"/>
      <c r="CY33" s="194" t="str">
        <f t="shared" si="116"/>
        <v/>
      </c>
      <c r="CZ33" s="181"/>
      <c r="DA33" s="176"/>
      <c r="DB33" s="176"/>
      <c r="DC33" s="176"/>
      <c r="DD33" s="176"/>
      <c r="DE33" s="176"/>
      <c r="DF33" s="176"/>
      <c r="DG33" s="176"/>
      <c r="DH33" s="194" t="str">
        <f t="shared" si="8"/>
        <v/>
      </c>
      <c r="DI33" s="181"/>
      <c r="DJ33" s="176"/>
      <c r="DK33" s="176"/>
      <c r="DL33" s="176"/>
      <c r="DM33" s="176"/>
      <c r="DN33" s="176"/>
      <c r="DO33" s="176"/>
      <c r="DP33" s="176"/>
      <c r="DQ33" s="194" t="str">
        <f t="shared" si="117"/>
        <v/>
      </c>
      <c r="DR33" s="181"/>
      <c r="DS33" s="176"/>
      <c r="DT33" s="176"/>
      <c r="DU33" s="176"/>
      <c r="DV33" s="176"/>
      <c r="DW33" s="176"/>
      <c r="DX33" s="176"/>
      <c r="DY33" s="176"/>
      <c r="DZ33" s="194" t="str">
        <f t="shared" si="9"/>
        <v/>
      </c>
      <c r="EA33" s="181"/>
      <c r="EB33" s="176"/>
      <c r="EC33" s="176"/>
      <c r="ED33" s="176"/>
      <c r="EE33" s="176"/>
      <c r="EF33" s="176"/>
      <c r="EG33" s="176"/>
      <c r="EH33" s="176"/>
      <c r="EI33" s="194" t="str">
        <f t="shared" si="10"/>
        <v/>
      </c>
      <c r="EJ33" s="181"/>
      <c r="EK33" s="176"/>
      <c r="EL33" s="176"/>
      <c r="EM33" s="176"/>
      <c r="EN33" s="176"/>
      <c r="EO33" s="176"/>
      <c r="EP33" s="176"/>
      <c r="EQ33" s="176"/>
      <c r="ER33" s="194" t="str">
        <f t="shared" si="11"/>
        <v/>
      </c>
      <c r="ES33" s="181"/>
      <c r="ET33" s="176"/>
      <c r="EU33" s="176"/>
      <c r="EV33" s="176"/>
      <c r="EW33" s="176"/>
      <c r="EX33" s="176"/>
      <c r="EY33" s="176"/>
      <c r="EZ33" s="176"/>
      <c r="FA33" s="194" t="str">
        <f t="shared" si="12"/>
        <v/>
      </c>
      <c r="FB33" s="181"/>
      <c r="FC33" s="176"/>
      <c r="FD33" s="176"/>
      <c r="FE33" s="176"/>
      <c r="FF33" s="176"/>
      <c r="FG33" s="176"/>
      <c r="FH33" s="176"/>
      <c r="FI33" s="176"/>
      <c r="FJ33" s="194" t="str">
        <f t="shared" si="13"/>
        <v/>
      </c>
      <c r="FK33" s="181"/>
      <c r="FL33" s="176"/>
      <c r="FM33" s="176"/>
      <c r="FN33" s="176"/>
      <c r="FO33" s="176"/>
      <c r="FP33" s="176"/>
      <c r="FQ33" s="176"/>
      <c r="FR33" s="176"/>
      <c r="FS33" s="194" t="str">
        <f t="shared" si="14"/>
        <v/>
      </c>
      <c r="FT33" s="181"/>
      <c r="FU33" s="176"/>
      <c r="FV33" s="176"/>
      <c r="FW33" s="176"/>
      <c r="FX33" s="176"/>
      <c r="FY33" s="176"/>
      <c r="FZ33" s="176"/>
      <c r="GA33" s="176"/>
      <c r="GB33" s="194" t="str">
        <f t="shared" si="118"/>
        <v/>
      </c>
      <c r="GC33" s="194" t="str">
        <f t="shared" si="119"/>
        <v/>
      </c>
      <c r="GD33" s="194" t="str">
        <f>IF(GC33="","",IF(GC33&gt;=KONVERSI!$A$5,KONVERSI!$D$5,IF(GC33&gt;=KONVERSI!$A$6,KONVERSI!$D$6,IF(GC33&gt;=KONVERSI!$A$7,KONVERSI!$D$7,KONVERSI!$D$8))))</f>
        <v/>
      </c>
      <c r="GE33" s="194" t="str">
        <f t="shared" si="120"/>
        <v/>
      </c>
      <c r="GF33" s="222"/>
      <c r="GG33" s="223">
        <f t="shared" si="15"/>
        <v>0</v>
      </c>
      <c r="GH33" s="194">
        <f t="shared" si="16"/>
        <v>0</v>
      </c>
      <c r="GI33" s="194">
        <f t="shared" si="17"/>
        <v>0</v>
      </c>
      <c r="GJ33" s="194">
        <f t="shared" si="18"/>
        <v>0</v>
      </c>
      <c r="GK33" s="194">
        <f t="shared" si="19"/>
        <v>0</v>
      </c>
      <c r="GL33" s="194">
        <f t="shared" si="20"/>
        <v>0</v>
      </c>
      <c r="GM33" s="194">
        <f t="shared" si="21"/>
        <v>0</v>
      </c>
      <c r="GN33" s="194">
        <f t="shared" si="22"/>
        <v>0</v>
      </c>
      <c r="GO33" s="194">
        <f t="shared" si="23"/>
        <v>0</v>
      </c>
      <c r="GP33" s="194">
        <f t="shared" si="24"/>
        <v>0</v>
      </c>
      <c r="GQ33" s="194">
        <f t="shared" si="25"/>
        <v>0</v>
      </c>
      <c r="GR33" s="194">
        <f t="shared" si="26"/>
        <v>0</v>
      </c>
      <c r="GS33" s="194">
        <f t="shared" si="27"/>
        <v>0</v>
      </c>
      <c r="GT33" s="194">
        <f t="shared" si="28"/>
        <v>0</v>
      </c>
      <c r="GU33" s="194">
        <f t="shared" si="29"/>
        <v>0</v>
      </c>
      <c r="GV33" s="194">
        <f t="shared" si="30"/>
        <v>0</v>
      </c>
      <c r="GW33" s="194">
        <f t="shared" si="31"/>
        <v>0</v>
      </c>
      <c r="GX33" s="194">
        <f t="shared" si="32"/>
        <v>0</v>
      </c>
      <c r="GY33" s="194">
        <f t="shared" si="33"/>
        <v>0</v>
      </c>
      <c r="GZ33" s="194">
        <f t="shared" si="34"/>
        <v>0</v>
      </c>
      <c r="HA33" s="194">
        <f t="shared" si="35"/>
        <v>0</v>
      </c>
      <c r="HB33" s="194">
        <f t="shared" si="36"/>
        <v>0</v>
      </c>
      <c r="HC33" s="194">
        <f t="shared" si="37"/>
        <v>0</v>
      </c>
      <c r="HD33" s="194">
        <f t="shared" si="38"/>
        <v>0</v>
      </c>
      <c r="HE33" s="194">
        <f t="shared" si="39"/>
        <v>0</v>
      </c>
      <c r="HF33" s="194">
        <f t="shared" si="40"/>
        <v>0</v>
      </c>
      <c r="HG33" s="194">
        <f t="shared" si="41"/>
        <v>0</v>
      </c>
      <c r="HH33" s="194">
        <f t="shared" si="42"/>
        <v>0</v>
      </c>
      <c r="HI33" s="194">
        <f t="shared" si="43"/>
        <v>0</v>
      </c>
      <c r="HJ33" s="194">
        <f t="shared" si="44"/>
        <v>0</v>
      </c>
      <c r="HK33" s="194">
        <f t="shared" si="45"/>
        <v>0</v>
      </c>
      <c r="HL33" s="194">
        <f t="shared" si="46"/>
        <v>0</v>
      </c>
      <c r="HM33" s="194">
        <f t="shared" si="47"/>
        <v>0</v>
      </c>
      <c r="HN33" s="194">
        <f t="shared" si="48"/>
        <v>0</v>
      </c>
      <c r="HO33" s="194">
        <f t="shared" si="49"/>
        <v>0</v>
      </c>
      <c r="HP33" s="194">
        <f t="shared" si="50"/>
        <v>0</v>
      </c>
      <c r="HQ33" s="194">
        <f t="shared" si="51"/>
        <v>0</v>
      </c>
      <c r="HR33" s="194">
        <f t="shared" si="52"/>
        <v>0</v>
      </c>
      <c r="HS33" s="194">
        <f t="shared" si="53"/>
        <v>0</v>
      </c>
      <c r="HT33" s="194">
        <f t="shared" si="54"/>
        <v>0</v>
      </c>
      <c r="HU33" s="194">
        <f t="shared" si="55"/>
        <v>0</v>
      </c>
      <c r="HV33" s="194">
        <f t="shared" si="56"/>
        <v>0</v>
      </c>
      <c r="HW33" s="194">
        <f t="shared" si="57"/>
        <v>0</v>
      </c>
      <c r="HX33" s="194">
        <f t="shared" si="58"/>
        <v>0</v>
      </c>
      <c r="HY33" s="194">
        <f t="shared" si="59"/>
        <v>0</v>
      </c>
      <c r="HZ33" s="194">
        <f t="shared" si="60"/>
        <v>0</v>
      </c>
      <c r="IA33" s="194">
        <f t="shared" si="61"/>
        <v>0</v>
      </c>
      <c r="IB33" s="194">
        <f t="shared" si="62"/>
        <v>0</v>
      </c>
      <c r="IC33" s="194">
        <f t="shared" si="63"/>
        <v>0</v>
      </c>
      <c r="ID33" s="194">
        <f t="shared" si="64"/>
        <v>0</v>
      </c>
      <c r="IE33" s="194">
        <f t="shared" si="65"/>
        <v>0</v>
      </c>
      <c r="IF33" s="194">
        <f t="shared" si="66"/>
        <v>0</v>
      </c>
      <c r="IG33" s="194">
        <f t="shared" si="67"/>
        <v>0</v>
      </c>
      <c r="IH33" s="194">
        <f t="shared" si="68"/>
        <v>0</v>
      </c>
      <c r="II33" s="194">
        <f t="shared" si="69"/>
        <v>0</v>
      </c>
      <c r="IJ33" s="194">
        <f t="shared" si="70"/>
        <v>0</v>
      </c>
      <c r="IK33" s="194">
        <f t="shared" si="71"/>
        <v>0</v>
      </c>
      <c r="IL33" s="194">
        <f t="shared" si="72"/>
        <v>0</v>
      </c>
      <c r="IM33" s="194">
        <f t="shared" si="73"/>
        <v>0</v>
      </c>
      <c r="IN33" s="194">
        <f t="shared" si="74"/>
        <v>0</v>
      </c>
      <c r="IO33" s="194">
        <f t="shared" si="75"/>
        <v>0</v>
      </c>
      <c r="IP33" s="194">
        <f t="shared" si="76"/>
        <v>0</v>
      </c>
      <c r="IQ33" s="194">
        <f t="shared" si="77"/>
        <v>0</v>
      </c>
      <c r="IR33" s="194">
        <f t="shared" si="78"/>
        <v>0</v>
      </c>
      <c r="IS33" s="194">
        <f t="shared" si="79"/>
        <v>0</v>
      </c>
      <c r="IT33" s="194">
        <f t="shared" si="80"/>
        <v>0</v>
      </c>
      <c r="IU33" s="194">
        <f t="shared" si="81"/>
        <v>0</v>
      </c>
      <c r="IV33" s="194">
        <f t="shared" si="82"/>
        <v>0</v>
      </c>
      <c r="IW33" s="194">
        <f t="shared" si="83"/>
        <v>0</v>
      </c>
      <c r="IX33" s="194">
        <f t="shared" si="84"/>
        <v>0</v>
      </c>
      <c r="IY33" s="194">
        <f t="shared" si="85"/>
        <v>0</v>
      </c>
      <c r="IZ33" s="194">
        <f t="shared" si="86"/>
        <v>0</v>
      </c>
      <c r="JA33" s="194">
        <f t="shared" si="87"/>
        <v>0</v>
      </c>
      <c r="JB33" s="194">
        <f t="shared" si="88"/>
        <v>0</v>
      </c>
      <c r="JC33" s="194">
        <f t="shared" si="89"/>
        <v>0</v>
      </c>
      <c r="JD33" s="194">
        <f t="shared" si="90"/>
        <v>0</v>
      </c>
      <c r="JE33" s="194">
        <f t="shared" si="91"/>
        <v>0</v>
      </c>
      <c r="JF33" s="194">
        <f t="shared" si="92"/>
        <v>0</v>
      </c>
      <c r="JG33" s="194">
        <f t="shared" si="93"/>
        <v>0</v>
      </c>
      <c r="JH33" s="194">
        <f t="shared" si="94"/>
        <v>0</v>
      </c>
      <c r="JI33" s="228">
        <v>25</v>
      </c>
      <c r="JJ33" s="229" t="str">
        <f t="shared" si="121"/>
        <v/>
      </c>
      <c r="JK33" s="229" t="str">
        <f t="shared" si="122"/>
        <v/>
      </c>
      <c r="JL33" s="229" t="str">
        <f t="shared" si="123"/>
        <v/>
      </c>
      <c r="JM33" s="229" t="str">
        <f t="shared" si="124"/>
        <v/>
      </c>
      <c r="JN33" s="229" t="str">
        <f t="shared" si="125"/>
        <v/>
      </c>
      <c r="JO33" s="229" t="str">
        <f t="shared" si="126"/>
        <v/>
      </c>
      <c r="JP33" s="229" t="str">
        <f t="shared" si="127"/>
        <v/>
      </c>
      <c r="JQ33" s="229" t="str">
        <f t="shared" si="128"/>
        <v/>
      </c>
      <c r="JR33" s="229" t="str">
        <f t="shared" si="129"/>
        <v/>
      </c>
      <c r="JS33" s="229" t="str">
        <f t="shared" si="130"/>
        <v/>
      </c>
      <c r="JT33" s="229" t="str">
        <f t="shared" si="131"/>
        <v/>
      </c>
      <c r="JU33" s="229" t="str">
        <f t="shared" si="132"/>
        <v/>
      </c>
      <c r="JV33" s="229" t="str">
        <f t="shared" si="133"/>
        <v/>
      </c>
      <c r="JW33" s="229" t="str">
        <f t="shared" si="134"/>
        <v/>
      </c>
      <c r="JX33" s="229" t="str">
        <f t="shared" si="135"/>
        <v/>
      </c>
      <c r="JY33" s="229" t="str">
        <f t="shared" si="136"/>
        <v/>
      </c>
      <c r="JZ33" s="229" t="str">
        <f t="shared" si="137"/>
        <v/>
      </c>
      <c r="KA33" s="229" t="str">
        <f t="shared" si="138"/>
        <v/>
      </c>
      <c r="KB33" s="229" t="str">
        <f t="shared" si="139"/>
        <v/>
      </c>
      <c r="KC33" s="229" t="str">
        <f t="shared" si="140"/>
        <v/>
      </c>
      <c r="KD33" s="231" t="str">
        <f t="shared" si="141"/>
        <v/>
      </c>
      <c r="KE33" s="232" t="str">
        <f>IF(KD33="","",IF(KD33&gt;=KONVERSI!$A$5,KONVERSI!$E$12,IF(KD33&gt;=KONVERSI!$A$6,KONVERSI!$E$13,IF(KD33&gt;=KONVERSI!$A$7,KONVERSI!$E$14,KONVERSI!$E$15))))</f>
        <v/>
      </c>
      <c r="KF33" s="233" t="str">
        <f t="shared" si="142"/>
        <v/>
      </c>
      <c r="KG33" s="234" t="str">
        <f t="shared" si="143"/>
        <v/>
      </c>
      <c r="KH33" s="232" t="str">
        <f>IF(KG33="","",IF(KG33&gt;=KONVERSI!$A$5,KONVERSI!$E$12,IF(KG33&gt;=KONVERSI!$A$6,KONVERSI!$E$13,IF(KG33&gt;=KONVERSI!$A$7,KONVERSI!$E$14,KONVERSI!$E$15))))</f>
        <v/>
      </c>
      <c r="KI33" s="134" t="str">
        <f>IF(GC33="","",IF(GC33&lt;$GD$3," "&amp;KONVERSI!$C$19&amp;INDEX($JJ$8:$KC$8,MATCH(KG34,JJ34:KC34,0))&amp;".",IF(GC33=0,"",IF(KG33&lt;&gt;0,KF33&amp;KH33&amp;".",KF33&amp;"."))))</f>
        <v/>
      </c>
      <c r="KJ33" s="235" t="str">
        <f t="shared" si="144"/>
        <v/>
      </c>
      <c r="KK33" s="235" t="str">
        <f t="shared" si="145"/>
        <v/>
      </c>
      <c r="KL33" s="235" t="str">
        <f t="shared" si="146"/>
        <v/>
      </c>
      <c r="KM33" s="235" t="str">
        <f t="shared" si="147"/>
        <v/>
      </c>
      <c r="KN33" s="235" t="str">
        <f t="shared" si="148"/>
        <v/>
      </c>
      <c r="KO33" s="235" t="str">
        <f t="shared" si="149"/>
        <v/>
      </c>
      <c r="KP33" s="235" t="str">
        <f t="shared" si="150"/>
        <v/>
      </c>
      <c r="KQ33" s="235" t="str">
        <f t="shared" si="151"/>
        <v/>
      </c>
      <c r="KR33" s="235" t="str">
        <f t="shared" si="152"/>
        <v/>
      </c>
      <c r="KS33" s="235" t="str">
        <f t="shared" si="153"/>
        <v/>
      </c>
      <c r="KT33" s="235" t="str">
        <f t="shared" si="154"/>
        <v/>
      </c>
      <c r="KU33" s="235" t="str">
        <f t="shared" si="155"/>
        <v/>
      </c>
      <c r="KV33" s="235" t="str">
        <f t="shared" si="156"/>
        <v/>
      </c>
      <c r="KW33" s="235" t="str">
        <f t="shared" si="157"/>
        <v/>
      </c>
      <c r="KX33" s="235" t="str">
        <f t="shared" si="158"/>
        <v/>
      </c>
      <c r="KY33" s="235" t="str">
        <f t="shared" si="159"/>
        <v/>
      </c>
      <c r="KZ33" s="235" t="str">
        <f t="shared" si="160"/>
        <v/>
      </c>
      <c r="LA33" s="235" t="str">
        <f t="shared" si="161"/>
        <v/>
      </c>
      <c r="LB33" s="235" t="str">
        <f t="shared" si="162"/>
        <v/>
      </c>
      <c r="LC33" s="235" t="str">
        <f t="shared" si="163"/>
        <v/>
      </c>
      <c r="LD33" s="134" t="str">
        <f t="shared" si="164"/>
        <v/>
      </c>
      <c r="LE33" s="134" t="str">
        <f t="shared" si="164"/>
        <v/>
      </c>
      <c r="LF33" s="134" t="str">
        <f t="shared" si="164"/>
        <v/>
      </c>
      <c r="LG33" s="134" t="str">
        <f t="shared" si="164"/>
        <v/>
      </c>
      <c r="LH33" s="134" t="str">
        <f t="shared" si="164"/>
        <v/>
      </c>
      <c r="LI33" s="134" t="str">
        <f t="shared" si="164"/>
        <v/>
      </c>
      <c r="LJ33" s="134" t="str">
        <f t="shared" si="164"/>
        <v/>
      </c>
      <c r="LK33" s="134" t="str">
        <f t="shared" si="164"/>
        <v/>
      </c>
      <c r="LL33" s="134" t="str">
        <f t="shared" si="164"/>
        <v/>
      </c>
      <c r="LM33" s="134" t="str">
        <f t="shared" si="190"/>
        <v/>
      </c>
      <c r="LN33" s="134" t="str">
        <f t="shared" si="190"/>
        <v/>
      </c>
      <c r="LO33" s="134" t="str">
        <f t="shared" si="190"/>
        <v/>
      </c>
      <c r="LP33" s="134" t="str">
        <f t="shared" si="190"/>
        <v/>
      </c>
      <c r="LQ33" s="134" t="str">
        <f t="shared" si="190"/>
        <v/>
      </c>
      <c r="LR33" s="134" t="str">
        <f t="shared" si="190"/>
        <v/>
      </c>
      <c r="LS33" s="134" t="str">
        <f t="shared" si="190"/>
        <v/>
      </c>
      <c r="LT33" s="134" t="str">
        <f t="shared" si="190"/>
        <v/>
      </c>
      <c r="LU33" s="134" t="str">
        <f t="shared" si="190"/>
        <v/>
      </c>
      <c r="LV33" s="134" t="str">
        <f t="shared" si="190"/>
        <v/>
      </c>
      <c r="LW33" s="134" t="str">
        <f t="shared" si="190"/>
        <v/>
      </c>
      <c r="LX33" s="134" t="str">
        <f t="shared" si="165"/>
        <v/>
      </c>
      <c r="LY33" s="134" t="str">
        <f t="shared" si="166"/>
        <v>  </v>
      </c>
      <c r="LZ33" s="236">
        <f t="shared" si="97"/>
        <v>0</v>
      </c>
      <c r="MA33" s="235" t="str">
        <f t="shared" si="167"/>
        <v/>
      </c>
      <c r="MB33" s="235" t="str">
        <f t="shared" si="168"/>
        <v/>
      </c>
      <c r="MC33" s="235" t="str">
        <f t="shared" si="169"/>
        <v/>
      </c>
      <c r="MD33" s="235" t="str">
        <f t="shared" si="170"/>
        <v/>
      </c>
      <c r="ME33" s="235" t="str">
        <f t="shared" si="171"/>
        <v/>
      </c>
      <c r="MF33" s="235" t="str">
        <f t="shared" si="172"/>
        <v/>
      </c>
      <c r="MG33" s="235" t="str">
        <f t="shared" si="173"/>
        <v/>
      </c>
      <c r="MH33" s="235" t="str">
        <f t="shared" si="174"/>
        <v/>
      </c>
      <c r="MI33" s="235" t="str">
        <f t="shared" si="175"/>
        <v/>
      </c>
      <c r="MJ33" s="235" t="str">
        <f t="shared" si="176"/>
        <v/>
      </c>
      <c r="MK33" s="235" t="str">
        <f t="shared" si="177"/>
        <v/>
      </c>
      <c r="ML33" s="235" t="str">
        <f t="shared" si="178"/>
        <v/>
      </c>
      <c r="MM33" s="235" t="str">
        <f t="shared" si="179"/>
        <v/>
      </c>
      <c r="MN33" s="235" t="str">
        <f t="shared" si="180"/>
        <v/>
      </c>
      <c r="MO33" s="235" t="str">
        <f t="shared" si="181"/>
        <v/>
      </c>
      <c r="MP33" s="235" t="str">
        <f t="shared" si="182"/>
        <v/>
      </c>
      <c r="MQ33" s="235" t="str">
        <f t="shared" si="183"/>
        <v/>
      </c>
      <c r="MR33" s="235" t="str">
        <f t="shared" si="184"/>
        <v/>
      </c>
      <c r="MS33" s="235" t="str">
        <f t="shared" si="185"/>
        <v/>
      </c>
      <c r="MT33" s="235" t="str">
        <f t="shared" si="186"/>
        <v/>
      </c>
      <c r="MU33" s="134" t="str">
        <f t="shared" si="187"/>
        <v/>
      </c>
      <c r="MV33" s="134" t="str">
        <f t="shared" si="187"/>
        <v/>
      </c>
      <c r="MW33" s="134" t="str">
        <f t="shared" si="187"/>
        <v/>
      </c>
      <c r="MX33" s="134" t="str">
        <f t="shared" si="187"/>
        <v/>
      </c>
      <c r="MY33" s="134" t="str">
        <f t="shared" si="187"/>
        <v/>
      </c>
      <c r="MZ33" s="134" t="str">
        <f t="shared" si="187"/>
        <v/>
      </c>
      <c r="NA33" s="134" t="str">
        <f t="shared" si="187"/>
        <v/>
      </c>
      <c r="NB33" s="134" t="str">
        <f t="shared" si="187"/>
        <v/>
      </c>
      <c r="NC33" s="134" t="str">
        <f t="shared" si="187"/>
        <v/>
      </c>
      <c r="ND33" s="134" t="str">
        <f t="shared" si="191"/>
        <v/>
      </c>
      <c r="NE33" s="134" t="str">
        <f t="shared" si="191"/>
        <v/>
      </c>
      <c r="NF33" s="134" t="str">
        <f t="shared" si="191"/>
        <v/>
      </c>
      <c r="NG33" s="134" t="str">
        <f t="shared" si="191"/>
        <v/>
      </c>
      <c r="NH33" s="134" t="str">
        <f t="shared" si="191"/>
        <v/>
      </c>
      <c r="NI33" s="134" t="str">
        <f t="shared" si="191"/>
        <v/>
      </c>
      <c r="NJ33" s="134" t="str">
        <f t="shared" si="191"/>
        <v/>
      </c>
      <c r="NK33" s="134" t="str">
        <f t="shared" si="191"/>
        <v/>
      </c>
      <c r="NL33" s="134" t="str">
        <f t="shared" si="191"/>
        <v/>
      </c>
      <c r="NM33" s="134" t="str">
        <f t="shared" si="191"/>
        <v/>
      </c>
      <c r="NN33" s="134" t="str">
        <f t="shared" si="191"/>
        <v/>
      </c>
      <c r="NO33" s="134" t="str">
        <f>IF(KE33=KH33,"",IF(KG33="","",IF(KG33&gt;=KONVERSI!$A$14,'KI4'!KH33&amp;" dalam"&amp;MU33&amp;MV33&amp;MW33&amp;MX33&amp;MY33&amp;MZ33&amp;NA33&amp;NB33&amp;NC33&amp;ND33&amp;NE33&amp;NF33&amp;NG33&amp;NH33&amp;NI33&amp;NJ33&amp;NK33&amp;NL33&amp;NM33&amp;NN33,KONVERSI!$C$19&amp;" dalam"&amp;MU33&amp;MV33&amp;MW33&amp;MX33&amp;MY33&amp;MZ33&amp;NA33&amp;NB33&amp;NC33&amp;ND33&amp;NE33&amp;NF33&amp;NG33&amp;NH33&amp;NI33&amp;NJ33&amp;NK33&amp;NL33&amp;NM33&amp;NN33)))</f>
        <v/>
      </c>
      <c r="NP33" s="134" t="str">
        <f t="shared" si="188"/>
        <v/>
      </c>
      <c r="NQ33" s="236">
        <f t="shared" si="111"/>
        <v>0</v>
      </c>
      <c r="NR33" s="134" t="str">
        <f t="shared" si="189"/>
        <v/>
      </c>
    </row>
    <row r="34" ht="27.6" customHeight="1" spans="1:382">
      <c r="A34" s="136"/>
      <c r="B34" s="177">
        <v>26</v>
      </c>
      <c r="C34" s="178" t="str">
        <f>siswa!C30</f>
        <v>TUAHMAN</v>
      </c>
      <c r="D34" s="174">
        <f>siswa!D30</f>
        <v>2856</v>
      </c>
      <c r="E34" s="175"/>
      <c r="F34" s="176"/>
      <c r="G34" s="176"/>
      <c r="H34" s="176"/>
      <c r="I34" s="176"/>
      <c r="J34" s="176"/>
      <c r="K34" s="176"/>
      <c r="L34" s="176"/>
      <c r="M34" s="194" t="str">
        <f t="shared" si="2"/>
        <v/>
      </c>
      <c r="N34" s="176"/>
      <c r="O34" s="176"/>
      <c r="P34" s="175"/>
      <c r="Q34" s="176"/>
      <c r="R34" s="176"/>
      <c r="S34" s="176"/>
      <c r="T34" s="176"/>
      <c r="U34" s="176"/>
      <c r="V34" s="194" t="str">
        <f t="shared" si="3"/>
        <v/>
      </c>
      <c r="W34" s="176"/>
      <c r="X34" s="176"/>
      <c r="Y34" s="176"/>
      <c r="Z34" s="176"/>
      <c r="AA34" s="176"/>
      <c r="AB34" s="176"/>
      <c r="AC34" s="176"/>
      <c r="AD34" s="176"/>
      <c r="AE34" s="194" t="str">
        <f t="shared" si="4"/>
        <v/>
      </c>
      <c r="AF34" s="176"/>
      <c r="AG34" s="176"/>
      <c r="AH34" s="176"/>
      <c r="AI34" s="176"/>
      <c r="AJ34" s="176"/>
      <c r="AK34" s="176"/>
      <c r="AL34" s="176"/>
      <c r="AM34" s="176"/>
      <c r="AN34" s="194" t="str">
        <f t="shared" si="5"/>
        <v/>
      </c>
      <c r="AO34" s="181"/>
      <c r="AP34" s="176"/>
      <c r="AQ34" s="176"/>
      <c r="AR34" s="176"/>
      <c r="AS34" s="176"/>
      <c r="AT34" s="176"/>
      <c r="AU34" s="176"/>
      <c r="AV34" s="176"/>
      <c r="AW34" s="194" t="str">
        <f t="shared" si="112"/>
        <v/>
      </c>
      <c r="AX34" s="181"/>
      <c r="AY34" s="176"/>
      <c r="AZ34" s="176"/>
      <c r="BA34" s="176"/>
      <c r="BB34" s="176"/>
      <c r="BC34" s="176"/>
      <c r="BD34" s="176"/>
      <c r="BE34" s="176"/>
      <c r="BF34" s="194" t="str">
        <f t="shared" si="6"/>
        <v/>
      </c>
      <c r="BG34" s="181"/>
      <c r="BH34" s="176"/>
      <c r="BI34" s="176"/>
      <c r="BJ34" s="176"/>
      <c r="BK34" s="176"/>
      <c r="BL34" s="176"/>
      <c r="BM34" s="176"/>
      <c r="BN34" s="176"/>
      <c r="BO34" s="194" t="str">
        <f t="shared" si="113"/>
        <v/>
      </c>
      <c r="BP34" s="181"/>
      <c r="BQ34" s="176"/>
      <c r="BR34" s="176"/>
      <c r="BS34" s="176"/>
      <c r="BT34" s="176"/>
      <c r="BU34" s="176"/>
      <c r="BV34" s="176"/>
      <c r="BW34" s="176"/>
      <c r="BX34" s="194" t="str">
        <f t="shared" si="114"/>
        <v/>
      </c>
      <c r="BY34" s="181"/>
      <c r="BZ34" s="176"/>
      <c r="CA34" s="176"/>
      <c r="CB34" s="176"/>
      <c r="CC34" s="176"/>
      <c r="CD34" s="176"/>
      <c r="CE34" s="176"/>
      <c r="CF34" s="176"/>
      <c r="CG34" s="194" t="str">
        <f t="shared" si="115"/>
        <v/>
      </c>
      <c r="CH34" s="181"/>
      <c r="CI34" s="176"/>
      <c r="CJ34" s="176"/>
      <c r="CK34" s="176"/>
      <c r="CL34" s="176"/>
      <c r="CM34" s="176"/>
      <c r="CN34" s="176"/>
      <c r="CO34" s="176"/>
      <c r="CP34" s="194" t="str">
        <f t="shared" si="7"/>
        <v/>
      </c>
      <c r="CQ34" s="181"/>
      <c r="CR34" s="176"/>
      <c r="CS34" s="176"/>
      <c r="CT34" s="176"/>
      <c r="CU34" s="176"/>
      <c r="CV34" s="176"/>
      <c r="CW34" s="176"/>
      <c r="CX34" s="176"/>
      <c r="CY34" s="194" t="str">
        <f t="shared" si="116"/>
        <v/>
      </c>
      <c r="CZ34" s="181"/>
      <c r="DA34" s="176"/>
      <c r="DB34" s="176"/>
      <c r="DC34" s="176"/>
      <c r="DD34" s="176"/>
      <c r="DE34" s="176"/>
      <c r="DF34" s="176"/>
      <c r="DG34" s="176"/>
      <c r="DH34" s="194" t="str">
        <f t="shared" si="8"/>
        <v/>
      </c>
      <c r="DI34" s="181"/>
      <c r="DJ34" s="176"/>
      <c r="DK34" s="176"/>
      <c r="DL34" s="176"/>
      <c r="DM34" s="176"/>
      <c r="DN34" s="176"/>
      <c r="DO34" s="176"/>
      <c r="DP34" s="176"/>
      <c r="DQ34" s="194" t="str">
        <f t="shared" si="117"/>
        <v/>
      </c>
      <c r="DR34" s="181"/>
      <c r="DS34" s="176"/>
      <c r="DT34" s="176"/>
      <c r="DU34" s="176"/>
      <c r="DV34" s="176"/>
      <c r="DW34" s="176"/>
      <c r="DX34" s="176"/>
      <c r="DY34" s="176"/>
      <c r="DZ34" s="194" t="str">
        <f t="shared" si="9"/>
        <v/>
      </c>
      <c r="EA34" s="181"/>
      <c r="EB34" s="176"/>
      <c r="EC34" s="176"/>
      <c r="ED34" s="176"/>
      <c r="EE34" s="176"/>
      <c r="EF34" s="176"/>
      <c r="EG34" s="176"/>
      <c r="EH34" s="176"/>
      <c r="EI34" s="194" t="str">
        <f t="shared" si="10"/>
        <v/>
      </c>
      <c r="EJ34" s="181"/>
      <c r="EK34" s="176"/>
      <c r="EL34" s="176"/>
      <c r="EM34" s="176"/>
      <c r="EN34" s="176"/>
      <c r="EO34" s="176"/>
      <c r="EP34" s="176"/>
      <c r="EQ34" s="176"/>
      <c r="ER34" s="194" t="str">
        <f t="shared" si="11"/>
        <v/>
      </c>
      <c r="ES34" s="181"/>
      <c r="ET34" s="176"/>
      <c r="EU34" s="176"/>
      <c r="EV34" s="176"/>
      <c r="EW34" s="176"/>
      <c r="EX34" s="176"/>
      <c r="EY34" s="176"/>
      <c r="EZ34" s="176"/>
      <c r="FA34" s="194" t="str">
        <f t="shared" si="12"/>
        <v/>
      </c>
      <c r="FB34" s="181"/>
      <c r="FC34" s="176"/>
      <c r="FD34" s="176"/>
      <c r="FE34" s="176"/>
      <c r="FF34" s="176"/>
      <c r="FG34" s="176"/>
      <c r="FH34" s="176"/>
      <c r="FI34" s="176"/>
      <c r="FJ34" s="194" t="str">
        <f t="shared" si="13"/>
        <v/>
      </c>
      <c r="FK34" s="181"/>
      <c r="FL34" s="176"/>
      <c r="FM34" s="176"/>
      <c r="FN34" s="176"/>
      <c r="FO34" s="176"/>
      <c r="FP34" s="176"/>
      <c r="FQ34" s="176"/>
      <c r="FR34" s="176"/>
      <c r="FS34" s="194" t="str">
        <f t="shared" si="14"/>
        <v/>
      </c>
      <c r="FT34" s="181"/>
      <c r="FU34" s="176"/>
      <c r="FV34" s="176"/>
      <c r="FW34" s="176"/>
      <c r="FX34" s="176"/>
      <c r="FY34" s="176"/>
      <c r="FZ34" s="176"/>
      <c r="GA34" s="176"/>
      <c r="GB34" s="194" t="str">
        <f t="shared" si="118"/>
        <v/>
      </c>
      <c r="GC34" s="194" t="str">
        <f t="shared" si="119"/>
        <v/>
      </c>
      <c r="GD34" s="194" t="str">
        <f>IF(GC34="","",IF(GC34&gt;=KONVERSI!$A$5,KONVERSI!$D$5,IF(GC34&gt;=KONVERSI!$A$6,KONVERSI!$D$6,IF(GC34&gt;=KONVERSI!$A$7,KONVERSI!$D$7,KONVERSI!$D$8))))</f>
        <v/>
      </c>
      <c r="GE34" s="194" t="str">
        <f t="shared" si="120"/>
        <v/>
      </c>
      <c r="GF34" s="222"/>
      <c r="GG34" s="223">
        <f t="shared" si="15"/>
        <v>0</v>
      </c>
      <c r="GH34" s="194">
        <f t="shared" si="16"/>
        <v>0</v>
      </c>
      <c r="GI34" s="194">
        <f t="shared" si="17"/>
        <v>0</v>
      </c>
      <c r="GJ34" s="194">
        <f t="shared" si="18"/>
        <v>0</v>
      </c>
      <c r="GK34" s="194">
        <f t="shared" si="19"/>
        <v>0</v>
      </c>
      <c r="GL34" s="194">
        <f t="shared" si="20"/>
        <v>0</v>
      </c>
      <c r="GM34" s="194">
        <f t="shared" si="21"/>
        <v>0</v>
      </c>
      <c r="GN34" s="194">
        <f t="shared" si="22"/>
        <v>0</v>
      </c>
      <c r="GO34" s="194">
        <f t="shared" si="23"/>
        <v>0</v>
      </c>
      <c r="GP34" s="194">
        <f t="shared" si="24"/>
        <v>0</v>
      </c>
      <c r="GQ34" s="194">
        <f t="shared" si="25"/>
        <v>0</v>
      </c>
      <c r="GR34" s="194">
        <f t="shared" si="26"/>
        <v>0</v>
      </c>
      <c r="GS34" s="194">
        <f t="shared" si="27"/>
        <v>0</v>
      </c>
      <c r="GT34" s="194">
        <f t="shared" si="28"/>
        <v>0</v>
      </c>
      <c r="GU34" s="194">
        <f t="shared" si="29"/>
        <v>0</v>
      </c>
      <c r="GV34" s="194">
        <f t="shared" si="30"/>
        <v>0</v>
      </c>
      <c r="GW34" s="194">
        <f t="shared" si="31"/>
        <v>0</v>
      </c>
      <c r="GX34" s="194">
        <f t="shared" si="32"/>
        <v>0</v>
      </c>
      <c r="GY34" s="194">
        <f t="shared" si="33"/>
        <v>0</v>
      </c>
      <c r="GZ34" s="194">
        <f t="shared" si="34"/>
        <v>0</v>
      </c>
      <c r="HA34" s="194">
        <f t="shared" si="35"/>
        <v>0</v>
      </c>
      <c r="HB34" s="194">
        <f t="shared" si="36"/>
        <v>0</v>
      </c>
      <c r="HC34" s="194">
        <f t="shared" si="37"/>
        <v>0</v>
      </c>
      <c r="HD34" s="194">
        <f t="shared" si="38"/>
        <v>0</v>
      </c>
      <c r="HE34" s="194">
        <f t="shared" si="39"/>
        <v>0</v>
      </c>
      <c r="HF34" s="194">
        <f t="shared" si="40"/>
        <v>0</v>
      </c>
      <c r="HG34" s="194">
        <f t="shared" si="41"/>
        <v>0</v>
      </c>
      <c r="HH34" s="194">
        <f t="shared" si="42"/>
        <v>0</v>
      </c>
      <c r="HI34" s="194">
        <f t="shared" si="43"/>
        <v>0</v>
      </c>
      <c r="HJ34" s="194">
        <f t="shared" si="44"/>
        <v>0</v>
      </c>
      <c r="HK34" s="194">
        <f t="shared" si="45"/>
        <v>0</v>
      </c>
      <c r="HL34" s="194">
        <f t="shared" si="46"/>
        <v>0</v>
      </c>
      <c r="HM34" s="194">
        <f t="shared" si="47"/>
        <v>0</v>
      </c>
      <c r="HN34" s="194">
        <f t="shared" si="48"/>
        <v>0</v>
      </c>
      <c r="HO34" s="194">
        <f t="shared" si="49"/>
        <v>0</v>
      </c>
      <c r="HP34" s="194">
        <f t="shared" si="50"/>
        <v>0</v>
      </c>
      <c r="HQ34" s="194">
        <f t="shared" si="51"/>
        <v>0</v>
      </c>
      <c r="HR34" s="194">
        <f t="shared" si="52"/>
        <v>0</v>
      </c>
      <c r="HS34" s="194">
        <f t="shared" si="53"/>
        <v>0</v>
      </c>
      <c r="HT34" s="194">
        <f t="shared" si="54"/>
        <v>0</v>
      </c>
      <c r="HU34" s="194">
        <f t="shared" si="55"/>
        <v>0</v>
      </c>
      <c r="HV34" s="194">
        <f t="shared" si="56"/>
        <v>0</v>
      </c>
      <c r="HW34" s="194">
        <f t="shared" si="57"/>
        <v>0</v>
      </c>
      <c r="HX34" s="194">
        <f t="shared" si="58"/>
        <v>0</v>
      </c>
      <c r="HY34" s="194">
        <f t="shared" si="59"/>
        <v>0</v>
      </c>
      <c r="HZ34" s="194">
        <f t="shared" si="60"/>
        <v>0</v>
      </c>
      <c r="IA34" s="194">
        <f t="shared" si="61"/>
        <v>0</v>
      </c>
      <c r="IB34" s="194">
        <f t="shared" si="62"/>
        <v>0</v>
      </c>
      <c r="IC34" s="194">
        <f t="shared" si="63"/>
        <v>0</v>
      </c>
      <c r="ID34" s="194">
        <f t="shared" si="64"/>
        <v>0</v>
      </c>
      <c r="IE34" s="194">
        <f t="shared" si="65"/>
        <v>0</v>
      </c>
      <c r="IF34" s="194">
        <f t="shared" si="66"/>
        <v>0</v>
      </c>
      <c r="IG34" s="194">
        <f t="shared" si="67"/>
        <v>0</v>
      </c>
      <c r="IH34" s="194">
        <f t="shared" si="68"/>
        <v>0</v>
      </c>
      <c r="II34" s="194">
        <f t="shared" si="69"/>
        <v>0</v>
      </c>
      <c r="IJ34" s="194">
        <f t="shared" si="70"/>
        <v>0</v>
      </c>
      <c r="IK34" s="194">
        <f t="shared" si="71"/>
        <v>0</v>
      </c>
      <c r="IL34" s="194">
        <f t="shared" si="72"/>
        <v>0</v>
      </c>
      <c r="IM34" s="194">
        <f t="shared" si="73"/>
        <v>0</v>
      </c>
      <c r="IN34" s="194">
        <f t="shared" si="74"/>
        <v>0</v>
      </c>
      <c r="IO34" s="194">
        <f t="shared" si="75"/>
        <v>0</v>
      </c>
      <c r="IP34" s="194">
        <f t="shared" si="76"/>
        <v>0</v>
      </c>
      <c r="IQ34" s="194">
        <f t="shared" si="77"/>
        <v>0</v>
      </c>
      <c r="IR34" s="194">
        <f t="shared" si="78"/>
        <v>0</v>
      </c>
      <c r="IS34" s="194">
        <f t="shared" si="79"/>
        <v>0</v>
      </c>
      <c r="IT34" s="194">
        <f t="shared" si="80"/>
        <v>0</v>
      </c>
      <c r="IU34" s="194">
        <f t="shared" si="81"/>
        <v>0</v>
      </c>
      <c r="IV34" s="194">
        <f t="shared" si="82"/>
        <v>0</v>
      </c>
      <c r="IW34" s="194">
        <f t="shared" si="83"/>
        <v>0</v>
      </c>
      <c r="IX34" s="194">
        <f t="shared" si="84"/>
        <v>0</v>
      </c>
      <c r="IY34" s="194">
        <f t="shared" si="85"/>
        <v>0</v>
      </c>
      <c r="IZ34" s="194">
        <f t="shared" si="86"/>
        <v>0</v>
      </c>
      <c r="JA34" s="194">
        <f t="shared" si="87"/>
        <v>0</v>
      </c>
      <c r="JB34" s="194">
        <f t="shared" si="88"/>
        <v>0</v>
      </c>
      <c r="JC34" s="194">
        <f t="shared" si="89"/>
        <v>0</v>
      </c>
      <c r="JD34" s="194">
        <f t="shared" si="90"/>
        <v>0</v>
      </c>
      <c r="JE34" s="194">
        <f t="shared" si="91"/>
        <v>0</v>
      </c>
      <c r="JF34" s="194">
        <f t="shared" si="92"/>
        <v>0</v>
      </c>
      <c r="JG34" s="194">
        <f t="shared" si="93"/>
        <v>0</v>
      </c>
      <c r="JH34" s="194">
        <f t="shared" si="94"/>
        <v>0</v>
      </c>
      <c r="JI34" s="228">
        <v>26</v>
      </c>
      <c r="JJ34" s="229" t="str">
        <f t="shared" si="121"/>
        <v/>
      </c>
      <c r="JK34" s="229" t="str">
        <f t="shared" si="122"/>
        <v/>
      </c>
      <c r="JL34" s="229" t="str">
        <f t="shared" si="123"/>
        <v/>
      </c>
      <c r="JM34" s="229" t="str">
        <f t="shared" si="124"/>
        <v/>
      </c>
      <c r="JN34" s="229" t="str">
        <f t="shared" si="125"/>
        <v/>
      </c>
      <c r="JO34" s="229" t="str">
        <f t="shared" si="126"/>
        <v/>
      </c>
      <c r="JP34" s="229" t="str">
        <f t="shared" si="127"/>
        <v/>
      </c>
      <c r="JQ34" s="229" t="str">
        <f t="shared" si="128"/>
        <v/>
      </c>
      <c r="JR34" s="229" t="str">
        <f t="shared" si="129"/>
        <v/>
      </c>
      <c r="JS34" s="229" t="str">
        <f t="shared" si="130"/>
        <v/>
      </c>
      <c r="JT34" s="229" t="str">
        <f t="shared" si="131"/>
        <v/>
      </c>
      <c r="JU34" s="229" t="str">
        <f t="shared" si="132"/>
        <v/>
      </c>
      <c r="JV34" s="229" t="str">
        <f t="shared" si="133"/>
        <v/>
      </c>
      <c r="JW34" s="229" t="str">
        <f t="shared" si="134"/>
        <v/>
      </c>
      <c r="JX34" s="229" t="str">
        <f t="shared" si="135"/>
        <v/>
      </c>
      <c r="JY34" s="229" t="str">
        <f t="shared" si="136"/>
        <v/>
      </c>
      <c r="JZ34" s="229" t="str">
        <f t="shared" si="137"/>
        <v/>
      </c>
      <c r="KA34" s="229" t="str">
        <f t="shared" si="138"/>
        <v/>
      </c>
      <c r="KB34" s="229" t="str">
        <f t="shared" si="139"/>
        <v/>
      </c>
      <c r="KC34" s="229" t="str">
        <f t="shared" si="140"/>
        <v/>
      </c>
      <c r="KD34" s="231" t="str">
        <f t="shared" si="141"/>
        <v/>
      </c>
      <c r="KE34" s="232" t="str">
        <f>IF(KD34="","",IF(KD34&gt;=KONVERSI!$A$5,KONVERSI!$E$12,IF(KD34&gt;=KONVERSI!$A$6,KONVERSI!$E$13,IF(KD34&gt;=KONVERSI!$A$7,KONVERSI!$E$14,KONVERSI!$E$15))))</f>
        <v/>
      </c>
      <c r="KF34" s="233" t="str">
        <f t="shared" si="142"/>
        <v/>
      </c>
      <c r="KG34" s="234" t="str">
        <f t="shared" si="143"/>
        <v/>
      </c>
      <c r="KH34" s="232" t="str">
        <f>IF(KG34="","",IF(KG34&gt;=KONVERSI!$A$5,KONVERSI!$E$12,IF(KG34&gt;=KONVERSI!$A$6,KONVERSI!$E$13,IF(KG34&gt;=KONVERSI!$A$7,KONVERSI!$E$14,KONVERSI!$E$15))))</f>
        <v/>
      </c>
      <c r="KI34" s="134" t="str">
        <f>IF(GC34="","",IF(GC34&lt;$GD$3," "&amp;KONVERSI!$C$19&amp;INDEX($JJ$8:$KC$8,MATCH(KG35,JJ35:KC35,0))&amp;".",IF(GC34=0,"",IF(KG34&lt;&gt;0,KF34&amp;KH34&amp;".",KF34&amp;"."))))</f>
        <v/>
      </c>
      <c r="KJ34" s="235" t="str">
        <f t="shared" si="144"/>
        <v/>
      </c>
      <c r="KK34" s="235" t="str">
        <f t="shared" si="145"/>
        <v/>
      </c>
      <c r="KL34" s="235" t="str">
        <f t="shared" si="146"/>
        <v/>
      </c>
      <c r="KM34" s="235" t="str">
        <f t="shared" si="147"/>
        <v/>
      </c>
      <c r="KN34" s="235" t="str">
        <f t="shared" si="148"/>
        <v/>
      </c>
      <c r="KO34" s="235" t="str">
        <f t="shared" si="149"/>
        <v/>
      </c>
      <c r="KP34" s="235" t="str">
        <f t="shared" si="150"/>
        <v/>
      </c>
      <c r="KQ34" s="235" t="str">
        <f t="shared" si="151"/>
        <v/>
      </c>
      <c r="KR34" s="235" t="str">
        <f t="shared" si="152"/>
        <v/>
      </c>
      <c r="KS34" s="235" t="str">
        <f t="shared" si="153"/>
        <v/>
      </c>
      <c r="KT34" s="235" t="str">
        <f t="shared" si="154"/>
        <v/>
      </c>
      <c r="KU34" s="235" t="str">
        <f t="shared" si="155"/>
        <v/>
      </c>
      <c r="KV34" s="235" t="str">
        <f t="shared" si="156"/>
        <v/>
      </c>
      <c r="KW34" s="235" t="str">
        <f t="shared" si="157"/>
        <v/>
      </c>
      <c r="KX34" s="235" t="str">
        <f t="shared" si="158"/>
        <v/>
      </c>
      <c r="KY34" s="235" t="str">
        <f t="shared" si="159"/>
        <v/>
      </c>
      <c r="KZ34" s="235" t="str">
        <f t="shared" si="160"/>
        <v/>
      </c>
      <c r="LA34" s="235" t="str">
        <f t="shared" si="161"/>
        <v/>
      </c>
      <c r="LB34" s="235" t="str">
        <f t="shared" si="162"/>
        <v/>
      </c>
      <c r="LC34" s="235" t="str">
        <f t="shared" si="163"/>
        <v/>
      </c>
      <c r="LD34" s="134" t="str">
        <f t="shared" si="164"/>
        <v/>
      </c>
      <c r="LE34" s="134" t="str">
        <f t="shared" si="164"/>
        <v/>
      </c>
      <c r="LF34" s="134" t="str">
        <f t="shared" si="164"/>
        <v/>
      </c>
      <c r="LG34" s="134" t="str">
        <f t="shared" si="164"/>
        <v/>
      </c>
      <c r="LH34" s="134" t="str">
        <f t="shared" si="164"/>
        <v/>
      </c>
      <c r="LI34" s="134" t="str">
        <f t="shared" si="164"/>
        <v/>
      </c>
      <c r="LJ34" s="134" t="str">
        <f t="shared" si="164"/>
        <v/>
      </c>
      <c r="LK34" s="134" t="str">
        <f t="shared" si="164"/>
        <v/>
      </c>
      <c r="LL34" s="134" t="str">
        <f t="shared" si="164"/>
        <v/>
      </c>
      <c r="LM34" s="134" t="str">
        <f t="shared" si="190"/>
        <v/>
      </c>
      <c r="LN34" s="134" t="str">
        <f t="shared" si="190"/>
        <v/>
      </c>
      <c r="LO34" s="134" t="str">
        <f t="shared" si="190"/>
        <v/>
      </c>
      <c r="LP34" s="134" t="str">
        <f t="shared" si="190"/>
        <v/>
      </c>
      <c r="LQ34" s="134" t="str">
        <f t="shared" si="190"/>
        <v/>
      </c>
      <c r="LR34" s="134" t="str">
        <f t="shared" si="190"/>
        <v/>
      </c>
      <c r="LS34" s="134" t="str">
        <f t="shared" si="190"/>
        <v/>
      </c>
      <c r="LT34" s="134" t="str">
        <f t="shared" si="190"/>
        <v/>
      </c>
      <c r="LU34" s="134" t="str">
        <f t="shared" si="190"/>
        <v/>
      </c>
      <c r="LV34" s="134" t="str">
        <f t="shared" si="190"/>
        <v/>
      </c>
      <c r="LW34" s="134" t="str">
        <f t="shared" si="190"/>
        <v/>
      </c>
      <c r="LX34" s="134" t="str">
        <f t="shared" si="165"/>
        <v/>
      </c>
      <c r="LY34" s="134" t="str">
        <f t="shared" si="166"/>
        <v>  </v>
      </c>
      <c r="LZ34" s="236">
        <f t="shared" si="97"/>
        <v>0</v>
      </c>
      <c r="MA34" s="235" t="str">
        <f t="shared" si="167"/>
        <v/>
      </c>
      <c r="MB34" s="235" t="str">
        <f t="shared" si="168"/>
        <v/>
      </c>
      <c r="MC34" s="235" t="str">
        <f t="shared" si="169"/>
        <v/>
      </c>
      <c r="MD34" s="235" t="str">
        <f t="shared" si="170"/>
        <v/>
      </c>
      <c r="ME34" s="235" t="str">
        <f t="shared" si="171"/>
        <v/>
      </c>
      <c r="MF34" s="235" t="str">
        <f t="shared" si="172"/>
        <v/>
      </c>
      <c r="MG34" s="235" t="str">
        <f t="shared" si="173"/>
        <v/>
      </c>
      <c r="MH34" s="235" t="str">
        <f t="shared" si="174"/>
        <v/>
      </c>
      <c r="MI34" s="235" t="str">
        <f t="shared" si="175"/>
        <v/>
      </c>
      <c r="MJ34" s="235" t="str">
        <f t="shared" si="176"/>
        <v/>
      </c>
      <c r="MK34" s="235" t="str">
        <f t="shared" si="177"/>
        <v/>
      </c>
      <c r="ML34" s="235" t="str">
        <f t="shared" si="178"/>
        <v/>
      </c>
      <c r="MM34" s="235" t="str">
        <f t="shared" si="179"/>
        <v/>
      </c>
      <c r="MN34" s="235" t="str">
        <f t="shared" si="180"/>
        <v/>
      </c>
      <c r="MO34" s="235" t="str">
        <f t="shared" si="181"/>
        <v/>
      </c>
      <c r="MP34" s="235" t="str">
        <f t="shared" si="182"/>
        <v/>
      </c>
      <c r="MQ34" s="235" t="str">
        <f t="shared" si="183"/>
        <v/>
      </c>
      <c r="MR34" s="235" t="str">
        <f t="shared" si="184"/>
        <v/>
      </c>
      <c r="MS34" s="235" t="str">
        <f t="shared" si="185"/>
        <v/>
      </c>
      <c r="MT34" s="235" t="str">
        <f t="shared" si="186"/>
        <v/>
      </c>
      <c r="MU34" s="134" t="str">
        <f t="shared" si="187"/>
        <v/>
      </c>
      <c r="MV34" s="134" t="str">
        <f t="shared" si="187"/>
        <v/>
      </c>
      <c r="MW34" s="134" t="str">
        <f t="shared" si="187"/>
        <v/>
      </c>
      <c r="MX34" s="134" t="str">
        <f t="shared" si="187"/>
        <v/>
      </c>
      <c r="MY34" s="134" t="str">
        <f t="shared" si="187"/>
        <v/>
      </c>
      <c r="MZ34" s="134" t="str">
        <f t="shared" si="187"/>
        <v/>
      </c>
      <c r="NA34" s="134" t="str">
        <f t="shared" si="187"/>
        <v/>
      </c>
      <c r="NB34" s="134" t="str">
        <f t="shared" si="187"/>
        <v/>
      </c>
      <c r="NC34" s="134" t="str">
        <f t="shared" si="187"/>
        <v/>
      </c>
      <c r="ND34" s="134" t="str">
        <f t="shared" si="191"/>
        <v/>
      </c>
      <c r="NE34" s="134" t="str">
        <f t="shared" si="191"/>
        <v/>
      </c>
      <c r="NF34" s="134" t="str">
        <f t="shared" si="191"/>
        <v/>
      </c>
      <c r="NG34" s="134" t="str">
        <f t="shared" si="191"/>
        <v/>
      </c>
      <c r="NH34" s="134" t="str">
        <f t="shared" si="191"/>
        <v/>
      </c>
      <c r="NI34" s="134" t="str">
        <f t="shared" si="191"/>
        <v/>
      </c>
      <c r="NJ34" s="134" t="str">
        <f t="shared" si="191"/>
        <v/>
      </c>
      <c r="NK34" s="134" t="str">
        <f t="shared" si="191"/>
        <v/>
      </c>
      <c r="NL34" s="134" t="str">
        <f t="shared" si="191"/>
        <v/>
      </c>
      <c r="NM34" s="134" t="str">
        <f t="shared" si="191"/>
        <v/>
      </c>
      <c r="NN34" s="134" t="str">
        <f t="shared" si="191"/>
        <v/>
      </c>
      <c r="NO34" s="134" t="str">
        <f>IF(KE34=KH34,"",IF(KG34="","",IF(KG34&gt;=KONVERSI!$A$14,'KI4'!KH34&amp;" dalam"&amp;MU34&amp;MV34&amp;MW34&amp;MX34&amp;MY34&amp;MZ34&amp;NA34&amp;NB34&amp;NC34&amp;ND34&amp;NE34&amp;NF34&amp;NG34&amp;NH34&amp;NI34&amp;NJ34&amp;NK34&amp;NL34&amp;NM34&amp;NN34,KONVERSI!$C$19&amp;" dalam"&amp;MU34&amp;MV34&amp;MW34&amp;MX34&amp;MY34&amp;MZ34&amp;NA34&amp;NB34&amp;NC34&amp;ND34&amp;NE34&amp;NF34&amp;NG34&amp;NH34&amp;NI34&amp;NJ34&amp;NK34&amp;NL34&amp;NM34&amp;NN34)))</f>
        <v/>
      </c>
      <c r="NP34" s="134" t="str">
        <f t="shared" si="188"/>
        <v/>
      </c>
      <c r="NQ34" s="236">
        <f t="shared" si="111"/>
        <v>0</v>
      </c>
      <c r="NR34" s="134" t="str">
        <f t="shared" si="189"/>
        <v/>
      </c>
    </row>
    <row r="35" ht="27.6" customHeight="1" spans="1:382">
      <c r="A35" s="136"/>
      <c r="B35" s="177">
        <v>27</v>
      </c>
      <c r="C35" s="178" t="str">
        <f>siswa!C31</f>
        <v>VHARIL SUHAIB SIMBOLON</v>
      </c>
      <c r="D35" s="174">
        <f>siswa!D31</f>
        <v>2858</v>
      </c>
      <c r="E35" s="175"/>
      <c r="F35" s="176"/>
      <c r="G35" s="176"/>
      <c r="H35" s="176"/>
      <c r="I35" s="176"/>
      <c r="J35" s="176"/>
      <c r="K35" s="176"/>
      <c r="L35" s="176"/>
      <c r="M35" s="194" t="str">
        <f t="shared" si="2"/>
        <v/>
      </c>
      <c r="N35" s="176"/>
      <c r="O35" s="176"/>
      <c r="P35" s="175"/>
      <c r="Q35" s="176"/>
      <c r="R35" s="176"/>
      <c r="S35" s="176"/>
      <c r="T35" s="176"/>
      <c r="U35" s="176"/>
      <c r="V35" s="194" t="str">
        <f t="shared" si="3"/>
        <v/>
      </c>
      <c r="W35" s="176"/>
      <c r="X35" s="176"/>
      <c r="Y35" s="176"/>
      <c r="Z35" s="176"/>
      <c r="AA35" s="176"/>
      <c r="AB35" s="176"/>
      <c r="AC35" s="176"/>
      <c r="AD35" s="176"/>
      <c r="AE35" s="194" t="str">
        <f t="shared" si="4"/>
        <v/>
      </c>
      <c r="AF35" s="176"/>
      <c r="AG35" s="176"/>
      <c r="AH35" s="176"/>
      <c r="AI35" s="176"/>
      <c r="AJ35" s="176"/>
      <c r="AK35" s="176"/>
      <c r="AL35" s="176"/>
      <c r="AM35" s="176"/>
      <c r="AN35" s="194" t="str">
        <f t="shared" si="5"/>
        <v/>
      </c>
      <c r="AO35" s="181"/>
      <c r="AP35" s="176"/>
      <c r="AQ35" s="176"/>
      <c r="AR35" s="176"/>
      <c r="AS35" s="176"/>
      <c r="AT35" s="176"/>
      <c r="AU35" s="176"/>
      <c r="AV35" s="176"/>
      <c r="AW35" s="194" t="str">
        <f t="shared" si="112"/>
        <v/>
      </c>
      <c r="AX35" s="181"/>
      <c r="AY35" s="176"/>
      <c r="AZ35" s="176"/>
      <c r="BA35" s="176"/>
      <c r="BB35" s="176"/>
      <c r="BC35" s="176"/>
      <c r="BD35" s="176"/>
      <c r="BE35" s="176"/>
      <c r="BF35" s="194" t="str">
        <f t="shared" si="6"/>
        <v/>
      </c>
      <c r="BG35" s="181"/>
      <c r="BH35" s="176"/>
      <c r="BI35" s="176"/>
      <c r="BJ35" s="176"/>
      <c r="BK35" s="176"/>
      <c r="BL35" s="176"/>
      <c r="BM35" s="176"/>
      <c r="BN35" s="176"/>
      <c r="BO35" s="194" t="str">
        <f t="shared" si="113"/>
        <v/>
      </c>
      <c r="BP35" s="181"/>
      <c r="BQ35" s="176"/>
      <c r="BR35" s="176"/>
      <c r="BS35" s="176"/>
      <c r="BT35" s="176"/>
      <c r="BU35" s="176"/>
      <c r="BV35" s="176"/>
      <c r="BW35" s="176"/>
      <c r="BX35" s="194" t="str">
        <f t="shared" si="114"/>
        <v/>
      </c>
      <c r="BY35" s="181"/>
      <c r="BZ35" s="176"/>
      <c r="CA35" s="176"/>
      <c r="CB35" s="176"/>
      <c r="CC35" s="176"/>
      <c r="CD35" s="176"/>
      <c r="CE35" s="176"/>
      <c r="CF35" s="176"/>
      <c r="CG35" s="194" t="str">
        <f t="shared" si="115"/>
        <v/>
      </c>
      <c r="CH35" s="181"/>
      <c r="CI35" s="176"/>
      <c r="CJ35" s="176"/>
      <c r="CK35" s="176"/>
      <c r="CL35" s="176"/>
      <c r="CM35" s="176"/>
      <c r="CN35" s="176"/>
      <c r="CO35" s="176"/>
      <c r="CP35" s="194" t="str">
        <f t="shared" si="7"/>
        <v/>
      </c>
      <c r="CQ35" s="181"/>
      <c r="CR35" s="176"/>
      <c r="CS35" s="176"/>
      <c r="CT35" s="176"/>
      <c r="CU35" s="176"/>
      <c r="CV35" s="176"/>
      <c r="CW35" s="176"/>
      <c r="CX35" s="176"/>
      <c r="CY35" s="194" t="str">
        <f t="shared" si="116"/>
        <v/>
      </c>
      <c r="CZ35" s="181"/>
      <c r="DA35" s="176"/>
      <c r="DB35" s="176"/>
      <c r="DC35" s="176"/>
      <c r="DD35" s="176"/>
      <c r="DE35" s="176"/>
      <c r="DF35" s="176"/>
      <c r="DG35" s="176"/>
      <c r="DH35" s="194" t="str">
        <f t="shared" si="8"/>
        <v/>
      </c>
      <c r="DI35" s="181"/>
      <c r="DJ35" s="176"/>
      <c r="DK35" s="176"/>
      <c r="DL35" s="176"/>
      <c r="DM35" s="176"/>
      <c r="DN35" s="176"/>
      <c r="DO35" s="176"/>
      <c r="DP35" s="176"/>
      <c r="DQ35" s="194" t="str">
        <f t="shared" si="117"/>
        <v/>
      </c>
      <c r="DR35" s="181"/>
      <c r="DS35" s="176"/>
      <c r="DT35" s="176"/>
      <c r="DU35" s="176"/>
      <c r="DV35" s="176"/>
      <c r="DW35" s="176"/>
      <c r="DX35" s="176"/>
      <c r="DY35" s="176"/>
      <c r="DZ35" s="194" t="str">
        <f t="shared" si="9"/>
        <v/>
      </c>
      <c r="EA35" s="181"/>
      <c r="EB35" s="176"/>
      <c r="EC35" s="176"/>
      <c r="ED35" s="176"/>
      <c r="EE35" s="176"/>
      <c r="EF35" s="176"/>
      <c r="EG35" s="176"/>
      <c r="EH35" s="176"/>
      <c r="EI35" s="194" t="str">
        <f t="shared" si="10"/>
        <v/>
      </c>
      <c r="EJ35" s="181"/>
      <c r="EK35" s="176"/>
      <c r="EL35" s="176"/>
      <c r="EM35" s="176"/>
      <c r="EN35" s="176"/>
      <c r="EO35" s="176"/>
      <c r="EP35" s="176"/>
      <c r="EQ35" s="176"/>
      <c r="ER35" s="194" t="str">
        <f t="shared" si="11"/>
        <v/>
      </c>
      <c r="ES35" s="181"/>
      <c r="ET35" s="176"/>
      <c r="EU35" s="176"/>
      <c r="EV35" s="176"/>
      <c r="EW35" s="176"/>
      <c r="EX35" s="176"/>
      <c r="EY35" s="176"/>
      <c r="EZ35" s="176"/>
      <c r="FA35" s="194" t="str">
        <f t="shared" si="12"/>
        <v/>
      </c>
      <c r="FB35" s="181"/>
      <c r="FC35" s="176"/>
      <c r="FD35" s="176"/>
      <c r="FE35" s="176"/>
      <c r="FF35" s="176"/>
      <c r="FG35" s="176"/>
      <c r="FH35" s="176"/>
      <c r="FI35" s="176"/>
      <c r="FJ35" s="194" t="str">
        <f t="shared" si="13"/>
        <v/>
      </c>
      <c r="FK35" s="181"/>
      <c r="FL35" s="176"/>
      <c r="FM35" s="176"/>
      <c r="FN35" s="176"/>
      <c r="FO35" s="176"/>
      <c r="FP35" s="176"/>
      <c r="FQ35" s="176"/>
      <c r="FR35" s="176"/>
      <c r="FS35" s="194" t="str">
        <f t="shared" si="14"/>
        <v/>
      </c>
      <c r="FT35" s="181"/>
      <c r="FU35" s="176"/>
      <c r="FV35" s="176"/>
      <c r="FW35" s="176"/>
      <c r="FX35" s="176"/>
      <c r="FY35" s="176"/>
      <c r="FZ35" s="176"/>
      <c r="GA35" s="176"/>
      <c r="GB35" s="194" t="str">
        <f t="shared" si="118"/>
        <v/>
      </c>
      <c r="GC35" s="194" t="str">
        <f t="shared" si="119"/>
        <v/>
      </c>
      <c r="GD35" s="194" t="str">
        <f>IF(GC35="","",IF(GC35&gt;=KONVERSI!$A$5,KONVERSI!$D$5,IF(GC35&gt;=KONVERSI!$A$6,KONVERSI!$D$6,IF(GC35&gt;=KONVERSI!$A$7,KONVERSI!$D$7,KONVERSI!$D$8))))</f>
        <v/>
      </c>
      <c r="GE35" s="194" t="str">
        <f t="shared" si="120"/>
        <v/>
      </c>
      <c r="GF35" s="222"/>
      <c r="GG35" s="223">
        <f t="shared" si="15"/>
        <v>0</v>
      </c>
      <c r="GH35" s="194">
        <f t="shared" si="16"/>
        <v>0</v>
      </c>
      <c r="GI35" s="194">
        <f t="shared" si="17"/>
        <v>0</v>
      </c>
      <c r="GJ35" s="194">
        <f t="shared" si="18"/>
        <v>0</v>
      </c>
      <c r="GK35" s="194">
        <f t="shared" si="19"/>
        <v>0</v>
      </c>
      <c r="GL35" s="194">
        <f t="shared" si="20"/>
        <v>0</v>
      </c>
      <c r="GM35" s="194">
        <f t="shared" si="21"/>
        <v>0</v>
      </c>
      <c r="GN35" s="194">
        <f t="shared" si="22"/>
        <v>0</v>
      </c>
      <c r="GO35" s="194">
        <f t="shared" si="23"/>
        <v>0</v>
      </c>
      <c r="GP35" s="194">
        <f t="shared" si="24"/>
        <v>0</v>
      </c>
      <c r="GQ35" s="194">
        <f t="shared" si="25"/>
        <v>0</v>
      </c>
      <c r="GR35" s="194">
        <f t="shared" si="26"/>
        <v>0</v>
      </c>
      <c r="GS35" s="194">
        <f t="shared" si="27"/>
        <v>0</v>
      </c>
      <c r="GT35" s="194">
        <f t="shared" si="28"/>
        <v>0</v>
      </c>
      <c r="GU35" s="194">
        <f t="shared" si="29"/>
        <v>0</v>
      </c>
      <c r="GV35" s="194">
        <f t="shared" si="30"/>
        <v>0</v>
      </c>
      <c r="GW35" s="194">
        <f t="shared" si="31"/>
        <v>0</v>
      </c>
      <c r="GX35" s="194">
        <f t="shared" si="32"/>
        <v>0</v>
      </c>
      <c r="GY35" s="194">
        <f t="shared" si="33"/>
        <v>0</v>
      </c>
      <c r="GZ35" s="194">
        <f t="shared" si="34"/>
        <v>0</v>
      </c>
      <c r="HA35" s="194">
        <f t="shared" si="35"/>
        <v>0</v>
      </c>
      <c r="HB35" s="194">
        <f t="shared" si="36"/>
        <v>0</v>
      </c>
      <c r="HC35" s="194">
        <f t="shared" si="37"/>
        <v>0</v>
      </c>
      <c r="HD35" s="194">
        <f t="shared" si="38"/>
        <v>0</v>
      </c>
      <c r="HE35" s="194">
        <f t="shared" si="39"/>
        <v>0</v>
      </c>
      <c r="HF35" s="194">
        <f t="shared" si="40"/>
        <v>0</v>
      </c>
      <c r="HG35" s="194">
        <f t="shared" si="41"/>
        <v>0</v>
      </c>
      <c r="HH35" s="194">
        <f t="shared" si="42"/>
        <v>0</v>
      </c>
      <c r="HI35" s="194">
        <f t="shared" si="43"/>
        <v>0</v>
      </c>
      <c r="HJ35" s="194">
        <f t="shared" si="44"/>
        <v>0</v>
      </c>
      <c r="HK35" s="194">
        <f t="shared" si="45"/>
        <v>0</v>
      </c>
      <c r="HL35" s="194">
        <f t="shared" si="46"/>
        <v>0</v>
      </c>
      <c r="HM35" s="194">
        <f t="shared" si="47"/>
        <v>0</v>
      </c>
      <c r="HN35" s="194">
        <f t="shared" si="48"/>
        <v>0</v>
      </c>
      <c r="HO35" s="194">
        <f t="shared" si="49"/>
        <v>0</v>
      </c>
      <c r="HP35" s="194">
        <f t="shared" si="50"/>
        <v>0</v>
      </c>
      <c r="HQ35" s="194">
        <f t="shared" si="51"/>
        <v>0</v>
      </c>
      <c r="HR35" s="194">
        <f t="shared" si="52"/>
        <v>0</v>
      </c>
      <c r="HS35" s="194">
        <f t="shared" si="53"/>
        <v>0</v>
      </c>
      <c r="HT35" s="194">
        <f t="shared" si="54"/>
        <v>0</v>
      </c>
      <c r="HU35" s="194">
        <f t="shared" si="55"/>
        <v>0</v>
      </c>
      <c r="HV35" s="194">
        <f t="shared" si="56"/>
        <v>0</v>
      </c>
      <c r="HW35" s="194">
        <f t="shared" si="57"/>
        <v>0</v>
      </c>
      <c r="HX35" s="194">
        <f t="shared" si="58"/>
        <v>0</v>
      </c>
      <c r="HY35" s="194">
        <f t="shared" si="59"/>
        <v>0</v>
      </c>
      <c r="HZ35" s="194">
        <f t="shared" si="60"/>
        <v>0</v>
      </c>
      <c r="IA35" s="194">
        <f t="shared" si="61"/>
        <v>0</v>
      </c>
      <c r="IB35" s="194">
        <f t="shared" si="62"/>
        <v>0</v>
      </c>
      <c r="IC35" s="194">
        <f t="shared" si="63"/>
        <v>0</v>
      </c>
      <c r="ID35" s="194">
        <f t="shared" si="64"/>
        <v>0</v>
      </c>
      <c r="IE35" s="194">
        <f t="shared" si="65"/>
        <v>0</v>
      </c>
      <c r="IF35" s="194">
        <f t="shared" si="66"/>
        <v>0</v>
      </c>
      <c r="IG35" s="194">
        <f t="shared" si="67"/>
        <v>0</v>
      </c>
      <c r="IH35" s="194">
        <f t="shared" si="68"/>
        <v>0</v>
      </c>
      <c r="II35" s="194">
        <f t="shared" si="69"/>
        <v>0</v>
      </c>
      <c r="IJ35" s="194">
        <f t="shared" si="70"/>
        <v>0</v>
      </c>
      <c r="IK35" s="194">
        <f t="shared" si="71"/>
        <v>0</v>
      </c>
      <c r="IL35" s="194">
        <f t="shared" si="72"/>
        <v>0</v>
      </c>
      <c r="IM35" s="194">
        <f t="shared" si="73"/>
        <v>0</v>
      </c>
      <c r="IN35" s="194">
        <f t="shared" si="74"/>
        <v>0</v>
      </c>
      <c r="IO35" s="194">
        <f t="shared" si="75"/>
        <v>0</v>
      </c>
      <c r="IP35" s="194">
        <f t="shared" si="76"/>
        <v>0</v>
      </c>
      <c r="IQ35" s="194">
        <f t="shared" si="77"/>
        <v>0</v>
      </c>
      <c r="IR35" s="194">
        <f t="shared" si="78"/>
        <v>0</v>
      </c>
      <c r="IS35" s="194">
        <f t="shared" si="79"/>
        <v>0</v>
      </c>
      <c r="IT35" s="194">
        <f t="shared" si="80"/>
        <v>0</v>
      </c>
      <c r="IU35" s="194">
        <f t="shared" si="81"/>
        <v>0</v>
      </c>
      <c r="IV35" s="194">
        <f t="shared" si="82"/>
        <v>0</v>
      </c>
      <c r="IW35" s="194">
        <f t="shared" si="83"/>
        <v>0</v>
      </c>
      <c r="IX35" s="194">
        <f t="shared" si="84"/>
        <v>0</v>
      </c>
      <c r="IY35" s="194">
        <f t="shared" si="85"/>
        <v>0</v>
      </c>
      <c r="IZ35" s="194">
        <f t="shared" si="86"/>
        <v>0</v>
      </c>
      <c r="JA35" s="194">
        <f t="shared" si="87"/>
        <v>0</v>
      </c>
      <c r="JB35" s="194">
        <f t="shared" si="88"/>
        <v>0</v>
      </c>
      <c r="JC35" s="194">
        <f t="shared" si="89"/>
        <v>0</v>
      </c>
      <c r="JD35" s="194">
        <f t="shared" si="90"/>
        <v>0</v>
      </c>
      <c r="JE35" s="194">
        <f t="shared" si="91"/>
        <v>0</v>
      </c>
      <c r="JF35" s="194">
        <f t="shared" si="92"/>
        <v>0</v>
      </c>
      <c r="JG35" s="194">
        <f t="shared" si="93"/>
        <v>0</v>
      </c>
      <c r="JH35" s="194">
        <f t="shared" si="94"/>
        <v>0</v>
      </c>
      <c r="JI35" s="228">
        <v>27</v>
      </c>
      <c r="JJ35" s="229" t="str">
        <f t="shared" si="121"/>
        <v/>
      </c>
      <c r="JK35" s="229" t="str">
        <f t="shared" si="122"/>
        <v/>
      </c>
      <c r="JL35" s="229" t="str">
        <f t="shared" si="123"/>
        <v/>
      </c>
      <c r="JM35" s="229" t="str">
        <f t="shared" si="124"/>
        <v/>
      </c>
      <c r="JN35" s="229" t="str">
        <f t="shared" si="125"/>
        <v/>
      </c>
      <c r="JO35" s="229" t="str">
        <f t="shared" si="126"/>
        <v/>
      </c>
      <c r="JP35" s="229" t="str">
        <f t="shared" si="127"/>
        <v/>
      </c>
      <c r="JQ35" s="229" t="str">
        <f t="shared" si="128"/>
        <v/>
      </c>
      <c r="JR35" s="229" t="str">
        <f t="shared" si="129"/>
        <v/>
      </c>
      <c r="JS35" s="229" t="str">
        <f t="shared" si="130"/>
        <v/>
      </c>
      <c r="JT35" s="229" t="str">
        <f t="shared" si="131"/>
        <v/>
      </c>
      <c r="JU35" s="229" t="str">
        <f t="shared" si="132"/>
        <v/>
      </c>
      <c r="JV35" s="229" t="str">
        <f t="shared" si="133"/>
        <v/>
      </c>
      <c r="JW35" s="229" t="str">
        <f t="shared" si="134"/>
        <v/>
      </c>
      <c r="JX35" s="229" t="str">
        <f t="shared" si="135"/>
        <v/>
      </c>
      <c r="JY35" s="229" t="str">
        <f t="shared" si="136"/>
        <v/>
      </c>
      <c r="JZ35" s="229" t="str">
        <f t="shared" si="137"/>
        <v/>
      </c>
      <c r="KA35" s="229" t="str">
        <f t="shared" si="138"/>
        <v/>
      </c>
      <c r="KB35" s="229" t="str">
        <f t="shared" si="139"/>
        <v/>
      </c>
      <c r="KC35" s="229" t="str">
        <f t="shared" si="140"/>
        <v/>
      </c>
      <c r="KD35" s="231" t="str">
        <f t="shared" si="141"/>
        <v/>
      </c>
      <c r="KE35" s="232" t="str">
        <f>IF(KD35="","",IF(KD35&gt;=KONVERSI!$A$5,KONVERSI!$E$12,IF(KD35&gt;=KONVERSI!$A$6,KONVERSI!$E$13,IF(KD35&gt;=KONVERSI!$A$7,KONVERSI!$E$14,KONVERSI!$E$15))))</f>
        <v/>
      </c>
      <c r="KF35" s="233" t="str">
        <f t="shared" si="142"/>
        <v/>
      </c>
      <c r="KG35" s="234" t="str">
        <f t="shared" si="143"/>
        <v/>
      </c>
      <c r="KH35" s="232" t="str">
        <f>IF(KG35="","",IF(KG35&gt;=KONVERSI!$A$5,KONVERSI!$E$12,IF(KG35&gt;=KONVERSI!$A$6,KONVERSI!$E$13,IF(KG35&gt;=KONVERSI!$A$7,KONVERSI!$E$14,KONVERSI!$E$15))))</f>
        <v/>
      </c>
      <c r="KI35" s="134" t="str">
        <f>IF(GC35="","",IF(GC35&lt;$GD$3," "&amp;KONVERSI!$C$19&amp;INDEX($JJ$8:$KC$8,MATCH(KG36,JJ36:KC36,0))&amp;".",IF(GC35=0,"",IF(KG35&lt;&gt;0,KF35&amp;KH35&amp;".",KF35&amp;"."))))</f>
        <v/>
      </c>
      <c r="KJ35" s="235" t="str">
        <f t="shared" si="144"/>
        <v/>
      </c>
      <c r="KK35" s="235" t="str">
        <f t="shared" si="145"/>
        <v/>
      </c>
      <c r="KL35" s="235" t="str">
        <f t="shared" si="146"/>
        <v/>
      </c>
      <c r="KM35" s="235" t="str">
        <f t="shared" si="147"/>
        <v/>
      </c>
      <c r="KN35" s="235" t="str">
        <f t="shared" si="148"/>
        <v/>
      </c>
      <c r="KO35" s="235" t="str">
        <f t="shared" si="149"/>
        <v/>
      </c>
      <c r="KP35" s="235" t="str">
        <f t="shared" si="150"/>
        <v/>
      </c>
      <c r="KQ35" s="235" t="str">
        <f t="shared" si="151"/>
        <v/>
      </c>
      <c r="KR35" s="235" t="str">
        <f t="shared" si="152"/>
        <v/>
      </c>
      <c r="KS35" s="235" t="str">
        <f t="shared" si="153"/>
        <v/>
      </c>
      <c r="KT35" s="235" t="str">
        <f t="shared" si="154"/>
        <v/>
      </c>
      <c r="KU35" s="235" t="str">
        <f t="shared" si="155"/>
        <v/>
      </c>
      <c r="KV35" s="235" t="str">
        <f t="shared" si="156"/>
        <v/>
      </c>
      <c r="KW35" s="235" t="str">
        <f t="shared" si="157"/>
        <v/>
      </c>
      <c r="KX35" s="235" t="str">
        <f t="shared" si="158"/>
        <v/>
      </c>
      <c r="KY35" s="235" t="str">
        <f t="shared" si="159"/>
        <v/>
      </c>
      <c r="KZ35" s="235" t="str">
        <f t="shared" si="160"/>
        <v/>
      </c>
      <c r="LA35" s="235" t="str">
        <f t="shared" si="161"/>
        <v/>
      </c>
      <c r="LB35" s="235" t="str">
        <f t="shared" si="162"/>
        <v/>
      </c>
      <c r="LC35" s="235" t="str">
        <f t="shared" si="163"/>
        <v/>
      </c>
      <c r="LD35" s="134" t="str">
        <f t="shared" si="164"/>
        <v/>
      </c>
      <c r="LE35" s="134" t="str">
        <f t="shared" si="164"/>
        <v/>
      </c>
      <c r="LF35" s="134" t="str">
        <f t="shared" si="164"/>
        <v/>
      </c>
      <c r="LG35" s="134" t="str">
        <f t="shared" si="164"/>
        <v/>
      </c>
      <c r="LH35" s="134" t="str">
        <f t="shared" si="164"/>
        <v/>
      </c>
      <c r="LI35" s="134" t="str">
        <f t="shared" si="164"/>
        <v/>
      </c>
      <c r="LJ35" s="134" t="str">
        <f t="shared" si="164"/>
        <v/>
      </c>
      <c r="LK35" s="134" t="str">
        <f t="shared" si="164"/>
        <v/>
      </c>
      <c r="LL35" s="134" t="str">
        <f t="shared" si="164"/>
        <v/>
      </c>
      <c r="LM35" s="134" t="str">
        <f t="shared" si="190"/>
        <v/>
      </c>
      <c r="LN35" s="134" t="str">
        <f t="shared" si="190"/>
        <v/>
      </c>
      <c r="LO35" s="134" t="str">
        <f t="shared" si="190"/>
        <v/>
      </c>
      <c r="LP35" s="134" t="str">
        <f t="shared" si="190"/>
        <v/>
      </c>
      <c r="LQ35" s="134" t="str">
        <f t="shared" si="190"/>
        <v/>
      </c>
      <c r="LR35" s="134" t="str">
        <f t="shared" si="190"/>
        <v/>
      </c>
      <c r="LS35" s="134" t="str">
        <f t="shared" si="190"/>
        <v/>
      </c>
      <c r="LT35" s="134" t="str">
        <f t="shared" si="190"/>
        <v/>
      </c>
      <c r="LU35" s="134" t="str">
        <f t="shared" si="190"/>
        <v/>
      </c>
      <c r="LV35" s="134" t="str">
        <f t="shared" si="190"/>
        <v/>
      </c>
      <c r="LW35" s="134" t="str">
        <f t="shared" si="190"/>
        <v/>
      </c>
      <c r="LX35" s="134" t="str">
        <f t="shared" si="165"/>
        <v/>
      </c>
      <c r="LY35" s="134" t="str">
        <f t="shared" si="166"/>
        <v>  </v>
      </c>
      <c r="LZ35" s="236">
        <f t="shared" si="97"/>
        <v>0</v>
      </c>
      <c r="MA35" s="235" t="str">
        <f t="shared" si="167"/>
        <v/>
      </c>
      <c r="MB35" s="235" t="str">
        <f t="shared" si="168"/>
        <v/>
      </c>
      <c r="MC35" s="235" t="str">
        <f t="shared" si="169"/>
        <v/>
      </c>
      <c r="MD35" s="235" t="str">
        <f t="shared" si="170"/>
        <v/>
      </c>
      <c r="ME35" s="235" t="str">
        <f t="shared" si="171"/>
        <v/>
      </c>
      <c r="MF35" s="235" t="str">
        <f t="shared" si="172"/>
        <v/>
      </c>
      <c r="MG35" s="235" t="str">
        <f t="shared" si="173"/>
        <v/>
      </c>
      <c r="MH35" s="235" t="str">
        <f t="shared" si="174"/>
        <v/>
      </c>
      <c r="MI35" s="235" t="str">
        <f t="shared" si="175"/>
        <v/>
      </c>
      <c r="MJ35" s="235" t="str">
        <f t="shared" si="176"/>
        <v/>
      </c>
      <c r="MK35" s="235" t="str">
        <f t="shared" si="177"/>
        <v/>
      </c>
      <c r="ML35" s="235" t="str">
        <f t="shared" si="178"/>
        <v/>
      </c>
      <c r="MM35" s="235" t="str">
        <f t="shared" si="179"/>
        <v/>
      </c>
      <c r="MN35" s="235" t="str">
        <f t="shared" si="180"/>
        <v/>
      </c>
      <c r="MO35" s="235" t="str">
        <f t="shared" si="181"/>
        <v/>
      </c>
      <c r="MP35" s="235" t="str">
        <f t="shared" si="182"/>
        <v/>
      </c>
      <c r="MQ35" s="235" t="str">
        <f t="shared" si="183"/>
        <v/>
      </c>
      <c r="MR35" s="235" t="str">
        <f t="shared" si="184"/>
        <v/>
      </c>
      <c r="MS35" s="235" t="str">
        <f t="shared" si="185"/>
        <v/>
      </c>
      <c r="MT35" s="235" t="str">
        <f t="shared" si="186"/>
        <v/>
      </c>
      <c r="MU35" s="134" t="str">
        <f t="shared" si="187"/>
        <v/>
      </c>
      <c r="MV35" s="134" t="str">
        <f t="shared" si="187"/>
        <v/>
      </c>
      <c r="MW35" s="134" t="str">
        <f t="shared" si="187"/>
        <v/>
      </c>
      <c r="MX35" s="134" t="str">
        <f t="shared" si="187"/>
        <v/>
      </c>
      <c r="MY35" s="134" t="str">
        <f t="shared" si="187"/>
        <v/>
      </c>
      <c r="MZ35" s="134" t="str">
        <f t="shared" si="187"/>
        <v/>
      </c>
      <c r="NA35" s="134" t="str">
        <f t="shared" si="187"/>
        <v/>
      </c>
      <c r="NB35" s="134" t="str">
        <f t="shared" si="187"/>
        <v/>
      </c>
      <c r="NC35" s="134" t="str">
        <f t="shared" si="187"/>
        <v/>
      </c>
      <c r="ND35" s="134" t="str">
        <f t="shared" si="191"/>
        <v/>
      </c>
      <c r="NE35" s="134" t="str">
        <f t="shared" si="191"/>
        <v/>
      </c>
      <c r="NF35" s="134" t="str">
        <f t="shared" si="191"/>
        <v/>
      </c>
      <c r="NG35" s="134" t="str">
        <f t="shared" si="191"/>
        <v/>
      </c>
      <c r="NH35" s="134" t="str">
        <f t="shared" si="191"/>
        <v/>
      </c>
      <c r="NI35" s="134" t="str">
        <f t="shared" si="191"/>
        <v/>
      </c>
      <c r="NJ35" s="134" t="str">
        <f t="shared" si="191"/>
        <v/>
      </c>
      <c r="NK35" s="134" t="str">
        <f t="shared" si="191"/>
        <v/>
      </c>
      <c r="NL35" s="134" t="str">
        <f t="shared" si="191"/>
        <v/>
      </c>
      <c r="NM35" s="134" t="str">
        <f t="shared" si="191"/>
        <v/>
      </c>
      <c r="NN35" s="134" t="str">
        <f t="shared" si="191"/>
        <v/>
      </c>
      <c r="NO35" s="134" t="str">
        <f>IF(KE35=KH35,"",IF(KG35="","",IF(KG35&gt;=KONVERSI!$A$14,'KI4'!KH35&amp;" dalam"&amp;MU35&amp;MV35&amp;MW35&amp;MX35&amp;MY35&amp;MZ35&amp;NA35&amp;NB35&amp;NC35&amp;ND35&amp;NE35&amp;NF35&amp;NG35&amp;NH35&amp;NI35&amp;NJ35&amp;NK35&amp;NL35&amp;NM35&amp;NN35,KONVERSI!$C$19&amp;" dalam"&amp;MU35&amp;MV35&amp;MW35&amp;MX35&amp;MY35&amp;MZ35&amp;NA35&amp;NB35&amp;NC35&amp;ND35&amp;NE35&amp;NF35&amp;NG35&amp;NH35&amp;NI35&amp;NJ35&amp;NK35&amp;NL35&amp;NM35&amp;NN35)))</f>
        <v/>
      </c>
      <c r="NP35" s="134" t="str">
        <f t="shared" si="188"/>
        <v/>
      </c>
      <c r="NQ35" s="236">
        <f t="shared" si="111"/>
        <v>0</v>
      </c>
      <c r="NR35" s="134" t="str">
        <f t="shared" si="189"/>
        <v/>
      </c>
    </row>
    <row r="36" ht="27.6" customHeight="1" spans="1:382">
      <c r="A36" s="136"/>
      <c r="B36" s="177">
        <v>28</v>
      </c>
      <c r="C36" s="178" t="str">
        <f>siswa!C32</f>
        <v>SISKA DIANA PUTRI</v>
      </c>
      <c r="D36" s="174">
        <f>siswa!D32</f>
        <v>2871</v>
      </c>
      <c r="E36" s="175">
        <v>86</v>
      </c>
      <c r="F36" s="176"/>
      <c r="G36" s="176"/>
      <c r="H36" s="176"/>
      <c r="I36" s="176"/>
      <c r="J36" s="176"/>
      <c r="K36" s="176"/>
      <c r="L36" s="176"/>
      <c r="M36" s="194">
        <f t="shared" si="2"/>
        <v>86</v>
      </c>
      <c r="N36" s="176"/>
      <c r="O36" s="176"/>
      <c r="P36" s="175">
        <v>86</v>
      </c>
      <c r="Q36" s="176"/>
      <c r="R36" s="176"/>
      <c r="S36" s="176"/>
      <c r="T36" s="176"/>
      <c r="U36" s="176"/>
      <c r="V36" s="194">
        <f t="shared" si="3"/>
        <v>86</v>
      </c>
      <c r="W36" s="176"/>
      <c r="X36" s="176"/>
      <c r="Y36" s="176"/>
      <c r="Z36" s="176"/>
      <c r="AA36" s="176"/>
      <c r="AB36" s="176"/>
      <c r="AC36" s="176"/>
      <c r="AD36" s="176"/>
      <c r="AE36" s="194" t="str">
        <f t="shared" si="4"/>
        <v/>
      </c>
      <c r="AF36" s="176"/>
      <c r="AG36" s="176"/>
      <c r="AH36" s="176"/>
      <c r="AI36" s="176"/>
      <c r="AJ36" s="176"/>
      <c r="AK36" s="176"/>
      <c r="AL36" s="176"/>
      <c r="AM36" s="176"/>
      <c r="AN36" s="194" t="str">
        <f t="shared" si="5"/>
        <v/>
      </c>
      <c r="AO36" s="181"/>
      <c r="AP36" s="176"/>
      <c r="AQ36" s="176"/>
      <c r="AR36" s="176"/>
      <c r="AS36" s="176"/>
      <c r="AT36" s="176"/>
      <c r="AU36" s="176"/>
      <c r="AV36" s="176"/>
      <c r="AW36" s="194" t="str">
        <f t="shared" si="112"/>
        <v/>
      </c>
      <c r="AX36" s="181"/>
      <c r="AY36" s="176"/>
      <c r="AZ36" s="176"/>
      <c r="BA36" s="176"/>
      <c r="BB36" s="176"/>
      <c r="BC36" s="176"/>
      <c r="BD36" s="176"/>
      <c r="BE36" s="176"/>
      <c r="BF36" s="194" t="str">
        <f t="shared" si="6"/>
        <v/>
      </c>
      <c r="BG36" s="181"/>
      <c r="BH36" s="176"/>
      <c r="BI36" s="176"/>
      <c r="BJ36" s="176"/>
      <c r="BK36" s="176"/>
      <c r="BL36" s="176"/>
      <c r="BM36" s="176"/>
      <c r="BN36" s="176"/>
      <c r="BO36" s="194" t="str">
        <f t="shared" si="113"/>
        <v/>
      </c>
      <c r="BP36" s="181"/>
      <c r="BQ36" s="176"/>
      <c r="BR36" s="176"/>
      <c r="BS36" s="176"/>
      <c r="BT36" s="176"/>
      <c r="BU36" s="176"/>
      <c r="BV36" s="176"/>
      <c r="BW36" s="176"/>
      <c r="BX36" s="194" t="str">
        <f t="shared" si="114"/>
        <v/>
      </c>
      <c r="BY36" s="181"/>
      <c r="BZ36" s="176"/>
      <c r="CA36" s="176"/>
      <c r="CB36" s="176"/>
      <c r="CC36" s="176"/>
      <c r="CD36" s="176"/>
      <c r="CE36" s="176"/>
      <c r="CF36" s="176"/>
      <c r="CG36" s="194" t="str">
        <f t="shared" si="115"/>
        <v/>
      </c>
      <c r="CH36" s="181"/>
      <c r="CI36" s="176"/>
      <c r="CJ36" s="176"/>
      <c r="CK36" s="176"/>
      <c r="CL36" s="176"/>
      <c r="CM36" s="176"/>
      <c r="CN36" s="176"/>
      <c r="CO36" s="176"/>
      <c r="CP36" s="194" t="str">
        <f t="shared" si="7"/>
        <v/>
      </c>
      <c r="CQ36" s="181"/>
      <c r="CR36" s="176"/>
      <c r="CS36" s="176"/>
      <c r="CT36" s="176"/>
      <c r="CU36" s="176"/>
      <c r="CV36" s="176"/>
      <c r="CW36" s="176"/>
      <c r="CX36" s="176"/>
      <c r="CY36" s="194" t="str">
        <f t="shared" si="116"/>
        <v/>
      </c>
      <c r="CZ36" s="181"/>
      <c r="DA36" s="176"/>
      <c r="DB36" s="176"/>
      <c r="DC36" s="176"/>
      <c r="DD36" s="176"/>
      <c r="DE36" s="176"/>
      <c r="DF36" s="176"/>
      <c r="DG36" s="176"/>
      <c r="DH36" s="194" t="str">
        <f t="shared" si="8"/>
        <v/>
      </c>
      <c r="DI36" s="181"/>
      <c r="DJ36" s="176"/>
      <c r="DK36" s="176"/>
      <c r="DL36" s="176"/>
      <c r="DM36" s="176"/>
      <c r="DN36" s="176"/>
      <c r="DO36" s="176"/>
      <c r="DP36" s="176"/>
      <c r="DQ36" s="194" t="str">
        <f t="shared" si="117"/>
        <v/>
      </c>
      <c r="DR36" s="181"/>
      <c r="DS36" s="176"/>
      <c r="DT36" s="176"/>
      <c r="DU36" s="176"/>
      <c r="DV36" s="176"/>
      <c r="DW36" s="176"/>
      <c r="DX36" s="176"/>
      <c r="DY36" s="176"/>
      <c r="DZ36" s="194" t="str">
        <f t="shared" si="9"/>
        <v/>
      </c>
      <c r="EA36" s="181"/>
      <c r="EB36" s="176"/>
      <c r="EC36" s="176"/>
      <c r="ED36" s="176"/>
      <c r="EE36" s="176"/>
      <c r="EF36" s="176"/>
      <c r="EG36" s="176"/>
      <c r="EH36" s="176"/>
      <c r="EI36" s="194" t="str">
        <f t="shared" si="10"/>
        <v/>
      </c>
      <c r="EJ36" s="181"/>
      <c r="EK36" s="176"/>
      <c r="EL36" s="176"/>
      <c r="EM36" s="176"/>
      <c r="EN36" s="176"/>
      <c r="EO36" s="176"/>
      <c r="EP36" s="176"/>
      <c r="EQ36" s="176"/>
      <c r="ER36" s="194" t="str">
        <f t="shared" si="11"/>
        <v/>
      </c>
      <c r="ES36" s="181"/>
      <c r="ET36" s="176"/>
      <c r="EU36" s="176"/>
      <c r="EV36" s="176"/>
      <c r="EW36" s="176"/>
      <c r="EX36" s="176"/>
      <c r="EY36" s="176"/>
      <c r="EZ36" s="176"/>
      <c r="FA36" s="194" t="str">
        <f t="shared" si="12"/>
        <v/>
      </c>
      <c r="FB36" s="181"/>
      <c r="FC36" s="176"/>
      <c r="FD36" s="176"/>
      <c r="FE36" s="176"/>
      <c r="FF36" s="176"/>
      <c r="FG36" s="176"/>
      <c r="FH36" s="176"/>
      <c r="FI36" s="176"/>
      <c r="FJ36" s="194" t="str">
        <f t="shared" si="13"/>
        <v/>
      </c>
      <c r="FK36" s="181"/>
      <c r="FL36" s="176"/>
      <c r="FM36" s="176"/>
      <c r="FN36" s="176"/>
      <c r="FO36" s="176"/>
      <c r="FP36" s="176"/>
      <c r="FQ36" s="176"/>
      <c r="FR36" s="176"/>
      <c r="FS36" s="194" t="str">
        <f t="shared" si="14"/>
        <v/>
      </c>
      <c r="FT36" s="181"/>
      <c r="FU36" s="176"/>
      <c r="FV36" s="176"/>
      <c r="FW36" s="176"/>
      <c r="FX36" s="176"/>
      <c r="FY36" s="176"/>
      <c r="FZ36" s="176"/>
      <c r="GA36" s="176"/>
      <c r="GB36" s="194" t="str">
        <f t="shared" si="118"/>
        <v/>
      </c>
      <c r="GC36" s="194">
        <f t="shared" si="119"/>
        <v>86</v>
      </c>
      <c r="GD36" s="194" t="str">
        <f>IF(GC36="","",IF(GC36&gt;=KONVERSI!$A$5,KONVERSI!$D$5,IF(GC36&gt;=KONVERSI!$A$6,KONVERSI!$D$6,IF(GC36&gt;=KONVERSI!$A$7,KONVERSI!$D$7,KONVERSI!$D$8))))</f>
        <v>B</v>
      </c>
      <c r="GE36" s="194" t="str">
        <f t="shared" si="120"/>
        <v>Tuntas</v>
      </c>
      <c r="GF36" s="222"/>
      <c r="GG36" s="223">
        <f t="shared" si="15"/>
        <v>86</v>
      </c>
      <c r="GH36" s="194">
        <f t="shared" si="16"/>
        <v>0</v>
      </c>
      <c r="GI36" s="194">
        <f t="shared" si="17"/>
        <v>0</v>
      </c>
      <c r="GJ36" s="194">
        <f t="shared" si="18"/>
        <v>0</v>
      </c>
      <c r="GK36" s="194">
        <f t="shared" si="19"/>
        <v>0</v>
      </c>
      <c r="GL36" s="194">
        <f t="shared" si="20"/>
        <v>86</v>
      </c>
      <c r="GM36" s="194">
        <f t="shared" si="21"/>
        <v>0</v>
      </c>
      <c r="GN36" s="194">
        <f t="shared" si="22"/>
        <v>0</v>
      </c>
      <c r="GO36" s="194">
        <f t="shared" si="23"/>
        <v>0</v>
      </c>
      <c r="GP36" s="194">
        <f t="shared" si="24"/>
        <v>0</v>
      </c>
      <c r="GQ36" s="194">
        <f t="shared" si="25"/>
        <v>0</v>
      </c>
      <c r="GR36" s="194">
        <f t="shared" si="26"/>
        <v>0</v>
      </c>
      <c r="GS36" s="194">
        <f t="shared" si="27"/>
        <v>0</v>
      </c>
      <c r="GT36" s="194">
        <f t="shared" si="28"/>
        <v>0</v>
      </c>
      <c r="GU36" s="194">
        <f t="shared" si="29"/>
        <v>0</v>
      </c>
      <c r="GV36" s="194">
        <f t="shared" si="30"/>
        <v>0</v>
      </c>
      <c r="GW36" s="194">
        <f t="shared" si="31"/>
        <v>0</v>
      </c>
      <c r="GX36" s="194">
        <f t="shared" si="32"/>
        <v>0</v>
      </c>
      <c r="GY36" s="194">
        <f t="shared" si="33"/>
        <v>0</v>
      </c>
      <c r="GZ36" s="194">
        <f t="shared" si="34"/>
        <v>0</v>
      </c>
      <c r="HA36" s="194">
        <f t="shared" si="35"/>
        <v>0</v>
      </c>
      <c r="HB36" s="194">
        <f t="shared" si="36"/>
        <v>0</v>
      </c>
      <c r="HC36" s="194">
        <f t="shared" si="37"/>
        <v>0</v>
      </c>
      <c r="HD36" s="194">
        <f t="shared" si="38"/>
        <v>0</v>
      </c>
      <c r="HE36" s="194">
        <f t="shared" si="39"/>
        <v>0</v>
      </c>
      <c r="HF36" s="194">
        <f t="shared" si="40"/>
        <v>0</v>
      </c>
      <c r="HG36" s="194">
        <f t="shared" si="41"/>
        <v>0</v>
      </c>
      <c r="HH36" s="194">
        <f t="shared" si="42"/>
        <v>0</v>
      </c>
      <c r="HI36" s="194">
        <f t="shared" si="43"/>
        <v>0</v>
      </c>
      <c r="HJ36" s="194">
        <f t="shared" si="44"/>
        <v>0</v>
      </c>
      <c r="HK36" s="194">
        <f t="shared" si="45"/>
        <v>0</v>
      </c>
      <c r="HL36" s="194">
        <f t="shared" si="46"/>
        <v>0</v>
      </c>
      <c r="HM36" s="194">
        <f t="shared" si="47"/>
        <v>0</v>
      </c>
      <c r="HN36" s="194">
        <f t="shared" si="48"/>
        <v>0</v>
      </c>
      <c r="HO36" s="194">
        <f t="shared" si="49"/>
        <v>0</v>
      </c>
      <c r="HP36" s="194">
        <f t="shared" si="50"/>
        <v>0</v>
      </c>
      <c r="HQ36" s="194">
        <f t="shared" si="51"/>
        <v>0</v>
      </c>
      <c r="HR36" s="194">
        <f t="shared" si="52"/>
        <v>0</v>
      </c>
      <c r="HS36" s="194">
        <f t="shared" si="53"/>
        <v>0</v>
      </c>
      <c r="HT36" s="194">
        <f t="shared" si="54"/>
        <v>0</v>
      </c>
      <c r="HU36" s="194">
        <f t="shared" si="55"/>
        <v>0</v>
      </c>
      <c r="HV36" s="194">
        <f t="shared" si="56"/>
        <v>0</v>
      </c>
      <c r="HW36" s="194">
        <f t="shared" si="57"/>
        <v>0</v>
      </c>
      <c r="HX36" s="194">
        <f t="shared" si="58"/>
        <v>0</v>
      </c>
      <c r="HY36" s="194">
        <f t="shared" si="59"/>
        <v>0</v>
      </c>
      <c r="HZ36" s="194">
        <f t="shared" si="60"/>
        <v>0</v>
      </c>
      <c r="IA36" s="194">
        <f t="shared" si="61"/>
        <v>0</v>
      </c>
      <c r="IB36" s="194">
        <f t="shared" si="62"/>
        <v>0</v>
      </c>
      <c r="IC36" s="194">
        <f t="shared" si="63"/>
        <v>0</v>
      </c>
      <c r="ID36" s="194">
        <f t="shared" si="64"/>
        <v>0</v>
      </c>
      <c r="IE36" s="194">
        <f t="shared" si="65"/>
        <v>0</v>
      </c>
      <c r="IF36" s="194">
        <f t="shared" si="66"/>
        <v>0</v>
      </c>
      <c r="IG36" s="194">
        <f t="shared" si="67"/>
        <v>0</v>
      </c>
      <c r="IH36" s="194">
        <f t="shared" si="68"/>
        <v>0</v>
      </c>
      <c r="II36" s="194">
        <f t="shared" si="69"/>
        <v>0</v>
      </c>
      <c r="IJ36" s="194">
        <f t="shared" si="70"/>
        <v>0</v>
      </c>
      <c r="IK36" s="194">
        <f t="shared" si="71"/>
        <v>0</v>
      </c>
      <c r="IL36" s="194">
        <f t="shared" si="72"/>
        <v>0</v>
      </c>
      <c r="IM36" s="194">
        <f t="shared" si="73"/>
        <v>0</v>
      </c>
      <c r="IN36" s="194">
        <f t="shared" si="74"/>
        <v>0</v>
      </c>
      <c r="IO36" s="194">
        <f t="shared" si="75"/>
        <v>0</v>
      </c>
      <c r="IP36" s="194">
        <f t="shared" si="76"/>
        <v>0</v>
      </c>
      <c r="IQ36" s="194">
        <f t="shared" si="77"/>
        <v>0</v>
      </c>
      <c r="IR36" s="194">
        <f t="shared" si="78"/>
        <v>0</v>
      </c>
      <c r="IS36" s="194">
        <f t="shared" si="79"/>
        <v>0</v>
      </c>
      <c r="IT36" s="194">
        <f t="shared" si="80"/>
        <v>0</v>
      </c>
      <c r="IU36" s="194">
        <f t="shared" si="81"/>
        <v>0</v>
      </c>
      <c r="IV36" s="194">
        <f t="shared" si="82"/>
        <v>0</v>
      </c>
      <c r="IW36" s="194">
        <f t="shared" si="83"/>
        <v>0</v>
      </c>
      <c r="IX36" s="194">
        <f t="shared" si="84"/>
        <v>0</v>
      </c>
      <c r="IY36" s="194">
        <f t="shared" si="85"/>
        <v>0</v>
      </c>
      <c r="IZ36" s="194">
        <f t="shared" si="86"/>
        <v>0</v>
      </c>
      <c r="JA36" s="194">
        <f t="shared" si="87"/>
        <v>0</v>
      </c>
      <c r="JB36" s="194">
        <f t="shared" si="88"/>
        <v>0</v>
      </c>
      <c r="JC36" s="194">
        <f t="shared" si="89"/>
        <v>0</v>
      </c>
      <c r="JD36" s="194">
        <f t="shared" si="90"/>
        <v>0</v>
      </c>
      <c r="JE36" s="194">
        <f t="shared" si="91"/>
        <v>0</v>
      </c>
      <c r="JF36" s="194">
        <f t="shared" si="92"/>
        <v>0</v>
      </c>
      <c r="JG36" s="194">
        <f t="shared" si="93"/>
        <v>0</v>
      </c>
      <c r="JH36" s="194">
        <f t="shared" si="94"/>
        <v>0</v>
      </c>
      <c r="JI36" s="228">
        <v>28</v>
      </c>
      <c r="JJ36" s="229">
        <f t="shared" si="121"/>
        <v>86</v>
      </c>
      <c r="JK36" s="229">
        <f t="shared" si="122"/>
        <v>86</v>
      </c>
      <c r="JL36" s="229" t="str">
        <f t="shared" si="123"/>
        <v/>
      </c>
      <c r="JM36" s="229" t="str">
        <f t="shared" si="124"/>
        <v/>
      </c>
      <c r="JN36" s="229" t="str">
        <f t="shared" si="125"/>
        <v/>
      </c>
      <c r="JO36" s="229" t="str">
        <f t="shared" si="126"/>
        <v/>
      </c>
      <c r="JP36" s="229" t="str">
        <f t="shared" si="127"/>
        <v/>
      </c>
      <c r="JQ36" s="229" t="str">
        <f t="shared" si="128"/>
        <v/>
      </c>
      <c r="JR36" s="229" t="str">
        <f t="shared" si="129"/>
        <v/>
      </c>
      <c r="JS36" s="229" t="str">
        <f t="shared" si="130"/>
        <v/>
      </c>
      <c r="JT36" s="229" t="str">
        <f t="shared" si="131"/>
        <v/>
      </c>
      <c r="JU36" s="229" t="str">
        <f t="shared" si="132"/>
        <v/>
      </c>
      <c r="JV36" s="229" t="str">
        <f t="shared" si="133"/>
        <v/>
      </c>
      <c r="JW36" s="229" t="str">
        <f t="shared" si="134"/>
        <v/>
      </c>
      <c r="JX36" s="229" t="str">
        <f t="shared" si="135"/>
        <v/>
      </c>
      <c r="JY36" s="229" t="str">
        <f t="shared" si="136"/>
        <v/>
      </c>
      <c r="JZ36" s="229" t="str">
        <f t="shared" si="137"/>
        <v/>
      </c>
      <c r="KA36" s="229" t="str">
        <f t="shared" si="138"/>
        <v/>
      </c>
      <c r="KB36" s="229" t="str">
        <f t="shared" si="139"/>
        <v/>
      </c>
      <c r="KC36" s="229" t="str">
        <f t="shared" si="140"/>
        <v/>
      </c>
      <c r="KD36" s="231">
        <f t="shared" si="141"/>
        <v>86</v>
      </c>
      <c r="KE36" s="232" t="str">
        <f>IF(KD36="","",IF(KD36&gt;=KONVERSI!$A$5,KONVERSI!$E$12,IF(KD36&gt;=KONVERSI!$A$6,KONVERSI!$E$13,IF(KD36&gt;=KONVERSI!$A$7,KONVERSI!$E$14,KONVERSI!$E$15))))</f>
        <v>Terampil</v>
      </c>
      <c r="KF36" s="233" t="str">
        <f t="shared" si="142"/>
        <v>Terampil dalammemilih jenis, bahan dan teknik pengolahan kerang, kaca, keramik dan botol plastik sesuai dengan potensi daerah setempat</v>
      </c>
      <c r="KG36" s="234">
        <f t="shared" si="143"/>
        <v>86</v>
      </c>
      <c r="KH36" s="232" t="str">
        <f>IF(KG36="","",IF(KG36&gt;=KONVERSI!$A$5,KONVERSI!$E$12,IF(KG36&gt;=KONVERSI!$A$6,KONVERSI!$E$13,IF(KG36&gt;=KONVERSI!$A$7,KONVERSI!$E$14,KONVERSI!$E$15))))</f>
        <v>Terampil</v>
      </c>
      <c r="KI36" s="134" t="str">
        <f>IF(GC36="","",IF(GC36&lt;$GD$3," "&amp;KONVERSI!$C$19&amp;INDEX($JJ$8:$KC$8,MATCH(KG37,JJ37:KC37,0))&amp;".",IF(GC36=0,"",IF(KG36&lt;&gt;0,KF36&amp;KH36&amp;".",KF36&amp;"."))))</f>
        <v>Terampil dalammemilih jenis, bahan dan teknik pengolahan kerang, kaca, keramik dan botol plastik sesuai dengan potensi daerah setempatTerampil.</v>
      </c>
      <c r="KJ36" s="235" t="str">
        <f t="shared" si="144"/>
        <v>OK</v>
      </c>
      <c r="KK36" s="235" t="str">
        <f t="shared" si="145"/>
        <v>OK</v>
      </c>
      <c r="KL36" s="235" t="str">
        <f t="shared" si="146"/>
        <v/>
      </c>
      <c r="KM36" s="235" t="str">
        <f t="shared" si="147"/>
        <v/>
      </c>
      <c r="KN36" s="235" t="str">
        <f t="shared" si="148"/>
        <v/>
      </c>
      <c r="KO36" s="235" t="str">
        <f t="shared" si="149"/>
        <v/>
      </c>
      <c r="KP36" s="235" t="str">
        <f t="shared" si="150"/>
        <v/>
      </c>
      <c r="KQ36" s="235" t="str">
        <f t="shared" si="151"/>
        <v/>
      </c>
      <c r="KR36" s="235" t="str">
        <f t="shared" si="152"/>
        <v/>
      </c>
      <c r="KS36" s="235" t="str">
        <f t="shared" si="153"/>
        <v/>
      </c>
      <c r="KT36" s="235" t="str">
        <f t="shared" si="154"/>
        <v/>
      </c>
      <c r="KU36" s="235" t="str">
        <f t="shared" si="155"/>
        <v/>
      </c>
      <c r="KV36" s="235" t="str">
        <f t="shared" si="156"/>
        <v/>
      </c>
      <c r="KW36" s="235" t="str">
        <f t="shared" si="157"/>
        <v/>
      </c>
      <c r="KX36" s="235" t="str">
        <f t="shared" si="158"/>
        <v/>
      </c>
      <c r="KY36" s="235" t="str">
        <f t="shared" si="159"/>
        <v/>
      </c>
      <c r="KZ36" s="235" t="str">
        <f t="shared" si="160"/>
        <v/>
      </c>
      <c r="LA36" s="235" t="str">
        <f t="shared" si="161"/>
        <v/>
      </c>
      <c r="LB36" s="235" t="str">
        <f t="shared" si="162"/>
        <v/>
      </c>
      <c r="LC36" s="235" t="str">
        <f t="shared" si="163"/>
        <v/>
      </c>
      <c r="LD36" s="134" t="str">
        <f t="shared" si="164"/>
        <v>memilih jenis, bahan dan teknik pengolahan kerang, kaca, keramik dan botol plastik sesuai dengan potensi daerah setempat</v>
      </c>
      <c r="LE36" s="134" t="str">
        <f t="shared" si="164"/>
        <v>perancangan pembuatan dan penyajian kerajinan kerang, kaca, keramik dan botol plastik yang kreatif dan inovatif</v>
      </c>
      <c r="LF36" s="134" t="str">
        <f t="shared" si="164"/>
        <v/>
      </c>
      <c r="LG36" s="134" t="str">
        <f t="shared" si="164"/>
        <v/>
      </c>
      <c r="LH36" s="134" t="str">
        <f t="shared" si="164"/>
        <v/>
      </c>
      <c r="LI36" s="134" t="str">
        <f t="shared" si="164"/>
        <v/>
      </c>
      <c r="LJ36" s="134" t="str">
        <f t="shared" si="164"/>
        <v/>
      </c>
      <c r="LK36" s="134" t="str">
        <f t="shared" si="164"/>
        <v/>
      </c>
      <c r="LL36" s="134" t="str">
        <f t="shared" si="164"/>
        <v/>
      </c>
      <c r="LM36" s="134" t="str">
        <f t="shared" si="190"/>
        <v/>
      </c>
      <c r="LN36" s="134" t="str">
        <f t="shared" si="190"/>
        <v/>
      </c>
      <c r="LO36" s="134" t="str">
        <f t="shared" si="190"/>
        <v/>
      </c>
      <c r="LP36" s="134" t="str">
        <f t="shared" si="190"/>
        <v/>
      </c>
      <c r="LQ36" s="134" t="str">
        <f t="shared" si="190"/>
        <v/>
      </c>
      <c r="LR36" s="134" t="str">
        <f t="shared" si="190"/>
        <v/>
      </c>
      <c r="LS36" s="134" t="str">
        <f t="shared" si="190"/>
        <v/>
      </c>
      <c r="LT36" s="134" t="str">
        <f t="shared" si="190"/>
        <v/>
      </c>
      <c r="LU36" s="134" t="str">
        <f t="shared" si="190"/>
        <v/>
      </c>
      <c r="LV36" s="134" t="str">
        <f t="shared" si="190"/>
        <v/>
      </c>
      <c r="LW36" s="134" t="str">
        <f t="shared" si="190"/>
        <v/>
      </c>
      <c r="LX36" s="134" t="str">
        <f t="shared" si="165"/>
        <v>Terampil dalam memilih jenis, bahan dan teknik pengolahan kerang, kaca, keramik dan botol plastik sesuai dengan potensi daerah setempatperancangan pembuatan dan penyajian kerajinan kerang, kaca, keramik dan botol plastik yang kreatif dan inovatif</v>
      </c>
      <c r="LY36" s="134" t="str">
        <f t="shared" si="166"/>
        <v>Terampil dalam memilih jenis, bahan dan teknik pengolahan kerang, kaca, keramik dan botol plastik sesuai dengan potensi daerah setempatperancangan pembuatan dan penyajian kerajinan kerang, kaca, keramik dan botol plastik yang kreatif dan inovati.  </v>
      </c>
      <c r="LZ36" s="236">
        <f t="shared" si="97"/>
        <v>2</v>
      </c>
      <c r="MA36" s="235" t="str">
        <f t="shared" si="167"/>
        <v>OK</v>
      </c>
      <c r="MB36" s="235" t="str">
        <f t="shared" si="168"/>
        <v>OK</v>
      </c>
      <c r="MC36" s="235" t="str">
        <f t="shared" si="169"/>
        <v/>
      </c>
      <c r="MD36" s="235" t="str">
        <f t="shared" si="170"/>
        <v/>
      </c>
      <c r="ME36" s="235" t="str">
        <f t="shared" si="171"/>
        <v/>
      </c>
      <c r="MF36" s="235" t="str">
        <f t="shared" si="172"/>
        <v/>
      </c>
      <c r="MG36" s="235" t="str">
        <f t="shared" si="173"/>
        <v/>
      </c>
      <c r="MH36" s="235" t="str">
        <f t="shared" si="174"/>
        <v/>
      </c>
      <c r="MI36" s="235" t="str">
        <f t="shared" si="175"/>
        <v/>
      </c>
      <c r="MJ36" s="235" t="str">
        <f t="shared" si="176"/>
        <v/>
      </c>
      <c r="MK36" s="235" t="str">
        <f t="shared" si="177"/>
        <v/>
      </c>
      <c r="ML36" s="235" t="str">
        <f t="shared" si="178"/>
        <v/>
      </c>
      <c r="MM36" s="235" t="str">
        <f t="shared" si="179"/>
        <v/>
      </c>
      <c r="MN36" s="235" t="str">
        <f t="shared" si="180"/>
        <v/>
      </c>
      <c r="MO36" s="235" t="str">
        <f t="shared" si="181"/>
        <v/>
      </c>
      <c r="MP36" s="235" t="str">
        <f t="shared" si="182"/>
        <v/>
      </c>
      <c r="MQ36" s="235" t="str">
        <f t="shared" si="183"/>
        <v/>
      </c>
      <c r="MR36" s="235" t="str">
        <f t="shared" si="184"/>
        <v/>
      </c>
      <c r="MS36" s="235" t="str">
        <f t="shared" si="185"/>
        <v/>
      </c>
      <c r="MT36" s="235" t="str">
        <f t="shared" si="186"/>
        <v/>
      </c>
      <c r="MU36" s="134" t="str">
        <f t="shared" si="187"/>
        <v>memilih jenis, bahan dan teknik pengolahan kerang, kaca, keramik dan botol plastik sesuai dengan potensi daerah setempat</v>
      </c>
      <c r="MV36" s="134" t="str">
        <f t="shared" si="187"/>
        <v>perancangan pembuatan dan penyajian kerajinan kerang, kaca, keramik dan botol plastik yang kreatif dan inovatif</v>
      </c>
      <c r="MW36" s="134" t="str">
        <f t="shared" si="187"/>
        <v/>
      </c>
      <c r="MX36" s="134" t="str">
        <f t="shared" si="187"/>
        <v/>
      </c>
      <c r="MY36" s="134" t="str">
        <f t="shared" si="187"/>
        <v/>
      </c>
      <c r="MZ36" s="134" t="str">
        <f t="shared" si="187"/>
        <v/>
      </c>
      <c r="NA36" s="134" t="str">
        <f t="shared" si="187"/>
        <v/>
      </c>
      <c r="NB36" s="134" t="str">
        <f t="shared" si="187"/>
        <v/>
      </c>
      <c r="NC36" s="134" t="str">
        <f t="shared" si="187"/>
        <v/>
      </c>
      <c r="ND36" s="134" t="str">
        <f t="shared" si="191"/>
        <v/>
      </c>
      <c r="NE36" s="134" t="str">
        <f t="shared" si="191"/>
        <v/>
      </c>
      <c r="NF36" s="134" t="str">
        <f t="shared" si="191"/>
        <v/>
      </c>
      <c r="NG36" s="134" t="str">
        <f t="shared" si="191"/>
        <v/>
      </c>
      <c r="NH36" s="134" t="str">
        <f t="shared" si="191"/>
        <v/>
      </c>
      <c r="NI36" s="134" t="str">
        <f t="shared" si="191"/>
        <v/>
      </c>
      <c r="NJ36" s="134" t="str">
        <f t="shared" si="191"/>
        <v/>
      </c>
      <c r="NK36" s="134" t="str">
        <f t="shared" si="191"/>
        <v/>
      </c>
      <c r="NL36" s="134" t="str">
        <f t="shared" si="191"/>
        <v/>
      </c>
      <c r="NM36" s="134" t="str">
        <f t="shared" si="191"/>
        <v/>
      </c>
      <c r="NN36" s="134" t="str">
        <f t="shared" si="191"/>
        <v/>
      </c>
      <c r="NO36" s="134" t="str">
        <f>IF(KE36=KH36,"",IF(KG36="","",IF(KG36&gt;=KONVERSI!$A$14,'KI4'!KH36&amp;" dalam"&amp;MU36&amp;MV36&amp;MW36&amp;MX36&amp;MY36&amp;MZ36&amp;NA36&amp;NB36&amp;NC36&amp;ND36&amp;NE36&amp;NF36&amp;NG36&amp;NH36&amp;NI36&amp;NJ36&amp;NK36&amp;NL36&amp;NM36&amp;NN36,KONVERSI!$C$19&amp;" dalam"&amp;MU36&amp;MV36&amp;MW36&amp;MX36&amp;MY36&amp;MZ36&amp;NA36&amp;NB36&amp;NC36&amp;ND36&amp;NE36&amp;NF36&amp;NG36&amp;NH36&amp;NI36&amp;NJ36&amp;NK36&amp;NL36&amp;NM36&amp;NN36)))</f>
        <v/>
      </c>
      <c r="NP36" s="134" t="str">
        <f t="shared" si="188"/>
        <v/>
      </c>
      <c r="NQ36" s="236">
        <f t="shared" si="111"/>
        <v>2</v>
      </c>
      <c r="NR36" s="134" t="str">
        <f t="shared" si="189"/>
        <v>Terampil dalam memilih jenis, bahan dan teknik pengolahan kerang, kaca, keramik dan botol plastik sesuai dengan potensi daerah setempatperancangan pembuatan dan penyajian kerajinan kerang, kaca, keramik dan botol plastik yang kreatif dan inovati.  </v>
      </c>
    </row>
    <row r="37" ht="27.6" customHeight="1" spans="1:382">
      <c r="A37" s="136"/>
      <c r="B37" s="177">
        <v>29</v>
      </c>
      <c r="C37" s="178">
        <f>siswa!C33</f>
        <v>0</v>
      </c>
      <c r="D37" s="174">
        <f>siswa!D33</f>
        <v>0</v>
      </c>
      <c r="E37" s="176"/>
      <c r="F37" s="176"/>
      <c r="G37" s="176"/>
      <c r="H37" s="176"/>
      <c r="I37" s="176"/>
      <c r="J37" s="176"/>
      <c r="K37" s="176"/>
      <c r="L37" s="176"/>
      <c r="M37" s="194" t="str">
        <f t="shared" si="2"/>
        <v/>
      </c>
      <c r="N37" s="176"/>
      <c r="O37" s="176"/>
      <c r="P37" s="176"/>
      <c r="Q37" s="176"/>
      <c r="R37" s="176"/>
      <c r="S37" s="176"/>
      <c r="T37" s="176"/>
      <c r="U37" s="176"/>
      <c r="V37" s="194" t="str">
        <f t="shared" si="3"/>
        <v/>
      </c>
      <c r="W37" s="176"/>
      <c r="X37" s="176"/>
      <c r="Y37" s="176"/>
      <c r="Z37" s="176"/>
      <c r="AA37" s="176"/>
      <c r="AB37" s="176"/>
      <c r="AC37" s="176"/>
      <c r="AD37" s="176"/>
      <c r="AE37" s="194" t="str">
        <f t="shared" si="4"/>
        <v/>
      </c>
      <c r="AF37" s="176"/>
      <c r="AG37" s="176"/>
      <c r="AH37" s="176"/>
      <c r="AI37" s="176"/>
      <c r="AJ37" s="176"/>
      <c r="AK37" s="176"/>
      <c r="AL37" s="176"/>
      <c r="AM37" s="176"/>
      <c r="AN37" s="194" t="str">
        <f t="shared" si="5"/>
        <v/>
      </c>
      <c r="AO37" s="181"/>
      <c r="AP37" s="176"/>
      <c r="AQ37" s="176"/>
      <c r="AR37" s="176"/>
      <c r="AS37" s="176"/>
      <c r="AT37" s="176"/>
      <c r="AU37" s="176"/>
      <c r="AV37" s="176"/>
      <c r="AW37" s="194" t="str">
        <f t="shared" si="112"/>
        <v/>
      </c>
      <c r="AX37" s="181"/>
      <c r="AY37" s="176"/>
      <c r="AZ37" s="176"/>
      <c r="BA37" s="176"/>
      <c r="BB37" s="176"/>
      <c r="BC37" s="176"/>
      <c r="BD37" s="176"/>
      <c r="BE37" s="176"/>
      <c r="BF37" s="194" t="str">
        <f t="shared" si="6"/>
        <v/>
      </c>
      <c r="BG37" s="181"/>
      <c r="BH37" s="176"/>
      <c r="BI37" s="176"/>
      <c r="BJ37" s="176"/>
      <c r="BK37" s="176"/>
      <c r="BL37" s="176"/>
      <c r="BM37" s="176"/>
      <c r="BN37" s="176"/>
      <c r="BO37" s="194" t="str">
        <f t="shared" si="113"/>
        <v/>
      </c>
      <c r="BP37" s="181"/>
      <c r="BQ37" s="176"/>
      <c r="BR37" s="176"/>
      <c r="BS37" s="176"/>
      <c r="BT37" s="176"/>
      <c r="BU37" s="176"/>
      <c r="BV37" s="176"/>
      <c r="BW37" s="176"/>
      <c r="BX37" s="194" t="str">
        <f t="shared" si="114"/>
        <v/>
      </c>
      <c r="BY37" s="181"/>
      <c r="BZ37" s="176"/>
      <c r="CA37" s="176"/>
      <c r="CB37" s="176"/>
      <c r="CC37" s="176"/>
      <c r="CD37" s="176"/>
      <c r="CE37" s="176"/>
      <c r="CF37" s="176"/>
      <c r="CG37" s="194" t="str">
        <f t="shared" si="115"/>
        <v/>
      </c>
      <c r="CH37" s="181"/>
      <c r="CI37" s="176"/>
      <c r="CJ37" s="176"/>
      <c r="CK37" s="176"/>
      <c r="CL37" s="176"/>
      <c r="CM37" s="176"/>
      <c r="CN37" s="176"/>
      <c r="CO37" s="176"/>
      <c r="CP37" s="194" t="str">
        <f t="shared" si="7"/>
        <v/>
      </c>
      <c r="CQ37" s="181"/>
      <c r="CR37" s="176"/>
      <c r="CS37" s="176"/>
      <c r="CT37" s="176"/>
      <c r="CU37" s="176"/>
      <c r="CV37" s="176"/>
      <c r="CW37" s="176"/>
      <c r="CX37" s="176"/>
      <c r="CY37" s="194" t="str">
        <f t="shared" si="116"/>
        <v/>
      </c>
      <c r="CZ37" s="181"/>
      <c r="DA37" s="176"/>
      <c r="DB37" s="176"/>
      <c r="DC37" s="176"/>
      <c r="DD37" s="176"/>
      <c r="DE37" s="176"/>
      <c r="DF37" s="176"/>
      <c r="DG37" s="176"/>
      <c r="DH37" s="194" t="str">
        <f t="shared" si="8"/>
        <v/>
      </c>
      <c r="DI37" s="181"/>
      <c r="DJ37" s="176"/>
      <c r="DK37" s="176"/>
      <c r="DL37" s="176"/>
      <c r="DM37" s="176"/>
      <c r="DN37" s="176"/>
      <c r="DO37" s="176"/>
      <c r="DP37" s="176"/>
      <c r="DQ37" s="194" t="str">
        <f t="shared" si="117"/>
        <v/>
      </c>
      <c r="DR37" s="181"/>
      <c r="DS37" s="176"/>
      <c r="DT37" s="176"/>
      <c r="DU37" s="176"/>
      <c r="DV37" s="176"/>
      <c r="DW37" s="176"/>
      <c r="DX37" s="176"/>
      <c r="DY37" s="176"/>
      <c r="DZ37" s="194" t="str">
        <f t="shared" si="9"/>
        <v/>
      </c>
      <c r="EA37" s="181"/>
      <c r="EB37" s="176"/>
      <c r="EC37" s="176"/>
      <c r="ED37" s="176"/>
      <c r="EE37" s="176"/>
      <c r="EF37" s="176"/>
      <c r="EG37" s="176"/>
      <c r="EH37" s="176"/>
      <c r="EI37" s="194" t="str">
        <f t="shared" si="10"/>
        <v/>
      </c>
      <c r="EJ37" s="181"/>
      <c r="EK37" s="176"/>
      <c r="EL37" s="176"/>
      <c r="EM37" s="176"/>
      <c r="EN37" s="176"/>
      <c r="EO37" s="176"/>
      <c r="EP37" s="176"/>
      <c r="EQ37" s="176"/>
      <c r="ER37" s="194" t="str">
        <f t="shared" si="11"/>
        <v/>
      </c>
      <c r="ES37" s="181"/>
      <c r="ET37" s="176"/>
      <c r="EU37" s="176"/>
      <c r="EV37" s="176"/>
      <c r="EW37" s="176"/>
      <c r="EX37" s="176"/>
      <c r="EY37" s="176"/>
      <c r="EZ37" s="176"/>
      <c r="FA37" s="194" t="str">
        <f t="shared" si="12"/>
        <v/>
      </c>
      <c r="FB37" s="181"/>
      <c r="FC37" s="176"/>
      <c r="FD37" s="176"/>
      <c r="FE37" s="176"/>
      <c r="FF37" s="176"/>
      <c r="FG37" s="176"/>
      <c r="FH37" s="176"/>
      <c r="FI37" s="176"/>
      <c r="FJ37" s="194" t="str">
        <f t="shared" si="13"/>
        <v/>
      </c>
      <c r="FK37" s="181"/>
      <c r="FL37" s="176"/>
      <c r="FM37" s="176"/>
      <c r="FN37" s="176"/>
      <c r="FO37" s="176"/>
      <c r="FP37" s="176"/>
      <c r="FQ37" s="176"/>
      <c r="FR37" s="176"/>
      <c r="FS37" s="194" t="str">
        <f t="shared" si="14"/>
        <v/>
      </c>
      <c r="FT37" s="181"/>
      <c r="FU37" s="176"/>
      <c r="FV37" s="176"/>
      <c r="FW37" s="176"/>
      <c r="FX37" s="176"/>
      <c r="FY37" s="176"/>
      <c r="FZ37" s="176"/>
      <c r="GA37" s="176"/>
      <c r="GB37" s="194" t="str">
        <f t="shared" si="118"/>
        <v/>
      </c>
      <c r="GC37" s="194" t="str">
        <f t="shared" si="119"/>
        <v/>
      </c>
      <c r="GD37" s="194" t="str">
        <f>IF(GC37="","",IF(GC37&gt;=KONVERSI!$A$5,KONVERSI!$D$5,IF(GC37&gt;=KONVERSI!$A$6,KONVERSI!$D$6,IF(GC37&gt;=KONVERSI!$A$7,KONVERSI!$D$7,KONVERSI!$D$8))))</f>
        <v/>
      </c>
      <c r="GE37" s="194" t="str">
        <f t="shared" si="120"/>
        <v/>
      </c>
      <c r="GF37" s="222"/>
      <c r="GG37" s="223">
        <f t="shared" si="15"/>
        <v>0</v>
      </c>
      <c r="GH37" s="194">
        <f t="shared" si="16"/>
        <v>0</v>
      </c>
      <c r="GI37" s="194">
        <f t="shared" si="17"/>
        <v>0</v>
      </c>
      <c r="GJ37" s="194">
        <f t="shared" si="18"/>
        <v>0</v>
      </c>
      <c r="GK37" s="194">
        <f t="shared" si="19"/>
        <v>0</v>
      </c>
      <c r="GL37" s="194">
        <f t="shared" si="20"/>
        <v>0</v>
      </c>
      <c r="GM37" s="194">
        <f t="shared" si="21"/>
        <v>0</v>
      </c>
      <c r="GN37" s="194">
        <f t="shared" si="22"/>
        <v>0</v>
      </c>
      <c r="GO37" s="194">
        <f t="shared" si="23"/>
        <v>0</v>
      </c>
      <c r="GP37" s="194">
        <f t="shared" si="24"/>
        <v>0</v>
      </c>
      <c r="GQ37" s="194">
        <f t="shared" si="25"/>
        <v>0</v>
      </c>
      <c r="GR37" s="194">
        <f t="shared" si="26"/>
        <v>0</v>
      </c>
      <c r="GS37" s="194">
        <f t="shared" si="27"/>
        <v>0</v>
      </c>
      <c r="GT37" s="194">
        <f t="shared" si="28"/>
        <v>0</v>
      </c>
      <c r="GU37" s="194">
        <f t="shared" si="29"/>
        <v>0</v>
      </c>
      <c r="GV37" s="194">
        <f t="shared" si="30"/>
        <v>0</v>
      </c>
      <c r="GW37" s="194">
        <f t="shared" si="31"/>
        <v>0</v>
      </c>
      <c r="GX37" s="194">
        <f t="shared" si="32"/>
        <v>0</v>
      </c>
      <c r="GY37" s="194">
        <f t="shared" si="33"/>
        <v>0</v>
      </c>
      <c r="GZ37" s="194">
        <f t="shared" si="34"/>
        <v>0</v>
      </c>
      <c r="HA37" s="194">
        <f t="shared" si="35"/>
        <v>0</v>
      </c>
      <c r="HB37" s="194">
        <f t="shared" si="36"/>
        <v>0</v>
      </c>
      <c r="HC37" s="194">
        <f t="shared" si="37"/>
        <v>0</v>
      </c>
      <c r="HD37" s="194">
        <f t="shared" si="38"/>
        <v>0</v>
      </c>
      <c r="HE37" s="194">
        <f t="shared" si="39"/>
        <v>0</v>
      </c>
      <c r="HF37" s="194">
        <f t="shared" si="40"/>
        <v>0</v>
      </c>
      <c r="HG37" s="194">
        <f t="shared" si="41"/>
        <v>0</v>
      </c>
      <c r="HH37" s="194">
        <f t="shared" si="42"/>
        <v>0</v>
      </c>
      <c r="HI37" s="194">
        <f t="shared" si="43"/>
        <v>0</v>
      </c>
      <c r="HJ37" s="194">
        <f t="shared" si="44"/>
        <v>0</v>
      </c>
      <c r="HK37" s="194">
        <f t="shared" si="45"/>
        <v>0</v>
      </c>
      <c r="HL37" s="194">
        <f t="shared" si="46"/>
        <v>0</v>
      </c>
      <c r="HM37" s="194">
        <f t="shared" si="47"/>
        <v>0</v>
      </c>
      <c r="HN37" s="194">
        <f t="shared" si="48"/>
        <v>0</v>
      </c>
      <c r="HO37" s="194">
        <f t="shared" si="49"/>
        <v>0</v>
      </c>
      <c r="HP37" s="194">
        <f t="shared" si="50"/>
        <v>0</v>
      </c>
      <c r="HQ37" s="194">
        <f t="shared" si="51"/>
        <v>0</v>
      </c>
      <c r="HR37" s="194">
        <f t="shared" si="52"/>
        <v>0</v>
      </c>
      <c r="HS37" s="194">
        <f t="shared" si="53"/>
        <v>0</v>
      </c>
      <c r="HT37" s="194">
        <f t="shared" si="54"/>
        <v>0</v>
      </c>
      <c r="HU37" s="194">
        <f t="shared" si="55"/>
        <v>0</v>
      </c>
      <c r="HV37" s="194">
        <f t="shared" si="56"/>
        <v>0</v>
      </c>
      <c r="HW37" s="194">
        <f t="shared" si="57"/>
        <v>0</v>
      </c>
      <c r="HX37" s="194">
        <f t="shared" si="58"/>
        <v>0</v>
      </c>
      <c r="HY37" s="194">
        <f t="shared" si="59"/>
        <v>0</v>
      </c>
      <c r="HZ37" s="194">
        <f t="shared" si="60"/>
        <v>0</v>
      </c>
      <c r="IA37" s="194">
        <f t="shared" si="61"/>
        <v>0</v>
      </c>
      <c r="IB37" s="194">
        <f t="shared" si="62"/>
        <v>0</v>
      </c>
      <c r="IC37" s="194">
        <f t="shared" si="63"/>
        <v>0</v>
      </c>
      <c r="ID37" s="194">
        <f t="shared" si="64"/>
        <v>0</v>
      </c>
      <c r="IE37" s="194">
        <f t="shared" si="65"/>
        <v>0</v>
      </c>
      <c r="IF37" s="194">
        <f t="shared" si="66"/>
        <v>0</v>
      </c>
      <c r="IG37" s="194">
        <f t="shared" si="67"/>
        <v>0</v>
      </c>
      <c r="IH37" s="194">
        <f t="shared" si="68"/>
        <v>0</v>
      </c>
      <c r="II37" s="194">
        <f t="shared" si="69"/>
        <v>0</v>
      </c>
      <c r="IJ37" s="194">
        <f t="shared" si="70"/>
        <v>0</v>
      </c>
      <c r="IK37" s="194">
        <f t="shared" si="71"/>
        <v>0</v>
      </c>
      <c r="IL37" s="194">
        <f t="shared" si="72"/>
        <v>0</v>
      </c>
      <c r="IM37" s="194">
        <f t="shared" si="73"/>
        <v>0</v>
      </c>
      <c r="IN37" s="194">
        <f t="shared" si="74"/>
        <v>0</v>
      </c>
      <c r="IO37" s="194">
        <f t="shared" si="75"/>
        <v>0</v>
      </c>
      <c r="IP37" s="194">
        <f t="shared" si="76"/>
        <v>0</v>
      </c>
      <c r="IQ37" s="194">
        <f t="shared" si="77"/>
        <v>0</v>
      </c>
      <c r="IR37" s="194">
        <f t="shared" si="78"/>
        <v>0</v>
      </c>
      <c r="IS37" s="194">
        <f t="shared" si="79"/>
        <v>0</v>
      </c>
      <c r="IT37" s="194">
        <f t="shared" si="80"/>
        <v>0</v>
      </c>
      <c r="IU37" s="194">
        <f t="shared" si="81"/>
        <v>0</v>
      </c>
      <c r="IV37" s="194">
        <f t="shared" si="82"/>
        <v>0</v>
      </c>
      <c r="IW37" s="194">
        <f t="shared" si="83"/>
        <v>0</v>
      </c>
      <c r="IX37" s="194">
        <f t="shared" si="84"/>
        <v>0</v>
      </c>
      <c r="IY37" s="194">
        <f t="shared" si="85"/>
        <v>0</v>
      </c>
      <c r="IZ37" s="194">
        <f t="shared" si="86"/>
        <v>0</v>
      </c>
      <c r="JA37" s="194">
        <f t="shared" si="87"/>
        <v>0</v>
      </c>
      <c r="JB37" s="194">
        <f t="shared" si="88"/>
        <v>0</v>
      </c>
      <c r="JC37" s="194">
        <f t="shared" si="89"/>
        <v>0</v>
      </c>
      <c r="JD37" s="194">
        <f t="shared" si="90"/>
        <v>0</v>
      </c>
      <c r="JE37" s="194">
        <f t="shared" si="91"/>
        <v>0</v>
      </c>
      <c r="JF37" s="194">
        <f t="shared" si="92"/>
        <v>0</v>
      </c>
      <c r="JG37" s="194">
        <f t="shared" si="93"/>
        <v>0</v>
      </c>
      <c r="JH37" s="194">
        <f t="shared" si="94"/>
        <v>0</v>
      </c>
      <c r="JI37" s="228">
        <v>29</v>
      </c>
      <c r="JJ37" s="229" t="str">
        <f t="shared" si="121"/>
        <v/>
      </c>
      <c r="JK37" s="229" t="str">
        <f t="shared" si="122"/>
        <v/>
      </c>
      <c r="JL37" s="229" t="str">
        <f t="shared" si="123"/>
        <v/>
      </c>
      <c r="JM37" s="229" t="str">
        <f t="shared" si="124"/>
        <v/>
      </c>
      <c r="JN37" s="229" t="str">
        <f t="shared" si="125"/>
        <v/>
      </c>
      <c r="JO37" s="229" t="str">
        <f t="shared" si="126"/>
        <v/>
      </c>
      <c r="JP37" s="229" t="str">
        <f t="shared" si="127"/>
        <v/>
      </c>
      <c r="JQ37" s="229" t="str">
        <f t="shared" si="128"/>
        <v/>
      </c>
      <c r="JR37" s="229" t="str">
        <f t="shared" si="129"/>
        <v/>
      </c>
      <c r="JS37" s="229" t="str">
        <f t="shared" si="130"/>
        <v/>
      </c>
      <c r="JT37" s="229" t="str">
        <f t="shared" si="131"/>
        <v/>
      </c>
      <c r="JU37" s="229" t="str">
        <f t="shared" si="132"/>
        <v/>
      </c>
      <c r="JV37" s="229" t="str">
        <f t="shared" si="133"/>
        <v/>
      </c>
      <c r="JW37" s="229" t="str">
        <f t="shared" si="134"/>
        <v/>
      </c>
      <c r="JX37" s="229" t="str">
        <f t="shared" si="135"/>
        <v/>
      </c>
      <c r="JY37" s="229" t="str">
        <f t="shared" si="136"/>
        <v/>
      </c>
      <c r="JZ37" s="229" t="str">
        <f t="shared" si="137"/>
        <v/>
      </c>
      <c r="KA37" s="229" t="str">
        <f t="shared" si="138"/>
        <v/>
      </c>
      <c r="KB37" s="229" t="str">
        <f t="shared" si="139"/>
        <v/>
      </c>
      <c r="KC37" s="229" t="str">
        <f t="shared" si="140"/>
        <v/>
      </c>
      <c r="KD37" s="231" t="str">
        <f t="shared" si="141"/>
        <v/>
      </c>
      <c r="KE37" s="232" t="str">
        <f>IF(KD37="","",IF(KD37&gt;=KONVERSI!$A$5,KONVERSI!$E$12,IF(KD37&gt;=KONVERSI!$A$6,KONVERSI!$E$13,IF(KD37&gt;=KONVERSI!$A$7,KONVERSI!$E$14,KONVERSI!$E$15))))</f>
        <v/>
      </c>
      <c r="KF37" s="233" t="str">
        <f t="shared" si="142"/>
        <v/>
      </c>
      <c r="KG37" s="234" t="str">
        <f t="shared" si="143"/>
        <v/>
      </c>
      <c r="KH37" s="232" t="str">
        <f>IF(KG37="","",IF(KG37&gt;=KONVERSI!$A$5,KONVERSI!$E$12,IF(KG37&gt;=KONVERSI!$A$6,KONVERSI!$E$13,IF(KG37&gt;=KONVERSI!$A$7,KONVERSI!$E$14,KONVERSI!$E$15))))</f>
        <v/>
      </c>
      <c r="KI37" s="134" t="str">
        <f>IF(GC37="","",IF(GC37&lt;$GD$3," "&amp;KONVERSI!$C$19&amp;INDEX($JJ$8:$KC$8,MATCH(KG38,JJ38:KC38,0))&amp;".",IF(GC37=0,"",IF(KG37&lt;&gt;0,KF37&amp;KH37&amp;".",KF37&amp;"."))))</f>
        <v/>
      </c>
      <c r="KJ37" s="235" t="str">
        <f t="shared" si="144"/>
        <v/>
      </c>
      <c r="KK37" s="235" t="str">
        <f t="shared" si="145"/>
        <v/>
      </c>
      <c r="KL37" s="235" t="str">
        <f t="shared" si="146"/>
        <v/>
      </c>
      <c r="KM37" s="235" t="str">
        <f t="shared" si="147"/>
        <v/>
      </c>
      <c r="KN37" s="235" t="str">
        <f t="shared" si="148"/>
        <v/>
      </c>
      <c r="KO37" s="235" t="str">
        <f t="shared" si="149"/>
        <v/>
      </c>
      <c r="KP37" s="235" t="str">
        <f t="shared" si="150"/>
        <v/>
      </c>
      <c r="KQ37" s="235" t="str">
        <f t="shared" si="151"/>
        <v/>
      </c>
      <c r="KR37" s="235" t="str">
        <f t="shared" si="152"/>
        <v/>
      </c>
      <c r="KS37" s="235" t="str">
        <f t="shared" si="153"/>
        <v/>
      </c>
      <c r="KT37" s="235" t="str">
        <f t="shared" si="154"/>
        <v/>
      </c>
      <c r="KU37" s="235" t="str">
        <f t="shared" si="155"/>
        <v/>
      </c>
      <c r="KV37" s="235" t="str">
        <f t="shared" si="156"/>
        <v/>
      </c>
      <c r="KW37" s="235" t="str">
        <f t="shared" si="157"/>
        <v/>
      </c>
      <c r="KX37" s="235" t="str">
        <f t="shared" si="158"/>
        <v/>
      </c>
      <c r="KY37" s="235" t="str">
        <f t="shared" si="159"/>
        <v/>
      </c>
      <c r="KZ37" s="235" t="str">
        <f t="shared" si="160"/>
        <v/>
      </c>
      <c r="LA37" s="235" t="str">
        <f t="shared" si="161"/>
        <v/>
      </c>
      <c r="LB37" s="235" t="str">
        <f t="shared" si="162"/>
        <v/>
      </c>
      <c r="LC37" s="235" t="str">
        <f t="shared" si="163"/>
        <v/>
      </c>
      <c r="LD37" s="134" t="str">
        <f t="shared" si="164"/>
        <v/>
      </c>
      <c r="LE37" s="134" t="str">
        <f t="shared" si="164"/>
        <v/>
      </c>
      <c r="LF37" s="134" t="str">
        <f t="shared" si="164"/>
        <v/>
      </c>
      <c r="LG37" s="134" t="str">
        <f t="shared" si="164"/>
        <v/>
      </c>
      <c r="LH37" s="134" t="str">
        <f t="shared" si="164"/>
        <v/>
      </c>
      <c r="LI37" s="134" t="str">
        <f t="shared" si="164"/>
        <v/>
      </c>
      <c r="LJ37" s="134" t="str">
        <f t="shared" si="164"/>
        <v/>
      </c>
      <c r="LK37" s="134" t="str">
        <f t="shared" si="164"/>
        <v/>
      </c>
      <c r="LL37" s="134" t="str">
        <f t="shared" si="164"/>
        <v/>
      </c>
      <c r="LM37" s="134" t="str">
        <f t="shared" si="190"/>
        <v/>
      </c>
      <c r="LN37" s="134" t="str">
        <f t="shared" si="190"/>
        <v/>
      </c>
      <c r="LO37" s="134" t="str">
        <f t="shared" si="190"/>
        <v/>
      </c>
      <c r="LP37" s="134" t="str">
        <f t="shared" si="190"/>
        <v/>
      </c>
      <c r="LQ37" s="134" t="str">
        <f t="shared" si="190"/>
        <v/>
      </c>
      <c r="LR37" s="134" t="str">
        <f t="shared" si="190"/>
        <v/>
      </c>
      <c r="LS37" s="134" t="str">
        <f t="shared" si="190"/>
        <v/>
      </c>
      <c r="LT37" s="134" t="str">
        <f t="shared" si="190"/>
        <v/>
      </c>
      <c r="LU37" s="134" t="str">
        <f t="shared" si="190"/>
        <v/>
      </c>
      <c r="LV37" s="134" t="str">
        <f t="shared" si="190"/>
        <v/>
      </c>
      <c r="LW37" s="134" t="str">
        <f t="shared" si="190"/>
        <v/>
      </c>
      <c r="LX37" s="134" t="str">
        <f t="shared" si="165"/>
        <v/>
      </c>
      <c r="LY37" s="134" t="str">
        <f t="shared" si="166"/>
        <v>  </v>
      </c>
      <c r="LZ37" s="236">
        <f t="shared" si="97"/>
        <v>0</v>
      </c>
      <c r="MA37" s="235" t="str">
        <f t="shared" si="167"/>
        <v/>
      </c>
      <c r="MB37" s="235" t="str">
        <f t="shared" si="168"/>
        <v/>
      </c>
      <c r="MC37" s="235" t="str">
        <f t="shared" si="169"/>
        <v/>
      </c>
      <c r="MD37" s="235" t="str">
        <f t="shared" si="170"/>
        <v/>
      </c>
      <c r="ME37" s="235" t="str">
        <f t="shared" si="171"/>
        <v/>
      </c>
      <c r="MF37" s="235" t="str">
        <f t="shared" si="172"/>
        <v/>
      </c>
      <c r="MG37" s="235" t="str">
        <f t="shared" si="173"/>
        <v/>
      </c>
      <c r="MH37" s="235" t="str">
        <f t="shared" si="174"/>
        <v/>
      </c>
      <c r="MI37" s="235" t="str">
        <f t="shared" si="175"/>
        <v/>
      </c>
      <c r="MJ37" s="235" t="str">
        <f t="shared" si="176"/>
        <v/>
      </c>
      <c r="MK37" s="235" t="str">
        <f t="shared" si="177"/>
        <v/>
      </c>
      <c r="ML37" s="235" t="str">
        <f t="shared" si="178"/>
        <v/>
      </c>
      <c r="MM37" s="235" t="str">
        <f t="shared" si="179"/>
        <v/>
      </c>
      <c r="MN37" s="235" t="str">
        <f t="shared" si="180"/>
        <v/>
      </c>
      <c r="MO37" s="235" t="str">
        <f t="shared" si="181"/>
        <v/>
      </c>
      <c r="MP37" s="235" t="str">
        <f t="shared" si="182"/>
        <v/>
      </c>
      <c r="MQ37" s="235" t="str">
        <f t="shared" si="183"/>
        <v/>
      </c>
      <c r="MR37" s="235" t="str">
        <f t="shared" si="184"/>
        <v/>
      </c>
      <c r="MS37" s="235" t="str">
        <f t="shared" si="185"/>
        <v/>
      </c>
      <c r="MT37" s="235" t="str">
        <f t="shared" si="186"/>
        <v/>
      </c>
      <c r="MU37" s="134" t="str">
        <f t="shared" si="187"/>
        <v/>
      </c>
      <c r="MV37" s="134" t="str">
        <f t="shared" si="187"/>
        <v/>
      </c>
      <c r="MW37" s="134" t="str">
        <f t="shared" si="187"/>
        <v/>
      </c>
      <c r="MX37" s="134" t="str">
        <f t="shared" si="187"/>
        <v/>
      </c>
      <c r="MY37" s="134" t="str">
        <f t="shared" si="187"/>
        <v/>
      </c>
      <c r="MZ37" s="134" t="str">
        <f t="shared" si="187"/>
        <v/>
      </c>
      <c r="NA37" s="134" t="str">
        <f t="shared" si="187"/>
        <v/>
      </c>
      <c r="NB37" s="134" t="str">
        <f t="shared" si="187"/>
        <v/>
      </c>
      <c r="NC37" s="134" t="str">
        <f t="shared" si="187"/>
        <v/>
      </c>
      <c r="ND37" s="134" t="str">
        <f t="shared" si="191"/>
        <v/>
      </c>
      <c r="NE37" s="134" t="str">
        <f t="shared" si="191"/>
        <v/>
      </c>
      <c r="NF37" s="134" t="str">
        <f t="shared" si="191"/>
        <v/>
      </c>
      <c r="NG37" s="134" t="str">
        <f t="shared" si="191"/>
        <v/>
      </c>
      <c r="NH37" s="134" t="str">
        <f t="shared" si="191"/>
        <v/>
      </c>
      <c r="NI37" s="134" t="str">
        <f t="shared" si="191"/>
        <v/>
      </c>
      <c r="NJ37" s="134" t="str">
        <f t="shared" si="191"/>
        <v/>
      </c>
      <c r="NK37" s="134" t="str">
        <f t="shared" si="191"/>
        <v/>
      </c>
      <c r="NL37" s="134" t="str">
        <f t="shared" si="191"/>
        <v/>
      </c>
      <c r="NM37" s="134" t="str">
        <f t="shared" si="191"/>
        <v/>
      </c>
      <c r="NN37" s="134" t="str">
        <f t="shared" si="191"/>
        <v/>
      </c>
      <c r="NO37" s="134" t="str">
        <f>IF(KE37=KH37,"",IF(KG37="","",IF(KG37&gt;=KONVERSI!$A$14,'KI4'!KH37&amp;" dalam"&amp;MU37&amp;MV37&amp;MW37&amp;MX37&amp;MY37&amp;MZ37&amp;NA37&amp;NB37&amp;NC37&amp;ND37&amp;NE37&amp;NF37&amp;NG37&amp;NH37&amp;NI37&amp;NJ37&amp;NK37&amp;NL37&amp;NM37&amp;NN37,KONVERSI!$C$19&amp;" dalam"&amp;MU37&amp;MV37&amp;MW37&amp;MX37&amp;MY37&amp;MZ37&amp;NA37&amp;NB37&amp;NC37&amp;ND37&amp;NE37&amp;NF37&amp;NG37&amp;NH37&amp;NI37&amp;NJ37&amp;NK37&amp;NL37&amp;NM37&amp;NN37)))</f>
        <v/>
      </c>
      <c r="NP37" s="134" t="str">
        <f t="shared" si="188"/>
        <v/>
      </c>
      <c r="NQ37" s="236">
        <f t="shared" si="111"/>
        <v>0</v>
      </c>
      <c r="NR37" s="134" t="str">
        <f t="shared" si="189"/>
        <v/>
      </c>
    </row>
    <row r="38" ht="27.6" customHeight="1" spans="1:382">
      <c r="A38" s="136"/>
      <c r="B38" s="177">
        <v>30</v>
      </c>
      <c r="C38" s="178">
        <f>siswa!C34</f>
        <v>0</v>
      </c>
      <c r="D38" s="174">
        <f>siswa!D34</f>
        <v>0</v>
      </c>
      <c r="E38" s="176"/>
      <c r="F38" s="176"/>
      <c r="G38" s="176"/>
      <c r="H38" s="176"/>
      <c r="I38" s="176"/>
      <c r="J38" s="176"/>
      <c r="K38" s="176"/>
      <c r="L38" s="176"/>
      <c r="M38" s="194" t="str">
        <f t="shared" si="2"/>
        <v/>
      </c>
      <c r="N38" s="176"/>
      <c r="O38" s="176"/>
      <c r="P38" s="176"/>
      <c r="Q38" s="176"/>
      <c r="R38" s="176"/>
      <c r="S38" s="176"/>
      <c r="T38" s="176"/>
      <c r="U38" s="176"/>
      <c r="V38" s="194" t="str">
        <f t="shared" si="3"/>
        <v/>
      </c>
      <c r="W38" s="176"/>
      <c r="X38" s="176"/>
      <c r="Y38" s="176"/>
      <c r="Z38" s="176"/>
      <c r="AA38" s="176"/>
      <c r="AB38" s="176"/>
      <c r="AC38" s="176"/>
      <c r="AD38" s="176"/>
      <c r="AE38" s="194" t="str">
        <f t="shared" si="4"/>
        <v/>
      </c>
      <c r="AF38" s="176"/>
      <c r="AG38" s="176"/>
      <c r="AH38" s="176"/>
      <c r="AI38" s="176"/>
      <c r="AJ38" s="176"/>
      <c r="AK38" s="176"/>
      <c r="AL38" s="176"/>
      <c r="AM38" s="176"/>
      <c r="AN38" s="194" t="str">
        <f t="shared" si="5"/>
        <v/>
      </c>
      <c r="AO38" s="181"/>
      <c r="AP38" s="176"/>
      <c r="AQ38" s="176"/>
      <c r="AR38" s="176"/>
      <c r="AS38" s="176"/>
      <c r="AT38" s="176"/>
      <c r="AU38" s="176"/>
      <c r="AV38" s="176"/>
      <c r="AW38" s="194" t="str">
        <f t="shared" si="112"/>
        <v/>
      </c>
      <c r="AX38" s="181"/>
      <c r="AY38" s="176"/>
      <c r="AZ38" s="176"/>
      <c r="BA38" s="176"/>
      <c r="BB38" s="176"/>
      <c r="BC38" s="176"/>
      <c r="BD38" s="176"/>
      <c r="BE38" s="176"/>
      <c r="BF38" s="194" t="str">
        <f t="shared" si="6"/>
        <v/>
      </c>
      <c r="BG38" s="181"/>
      <c r="BH38" s="176"/>
      <c r="BI38" s="176"/>
      <c r="BJ38" s="176"/>
      <c r="BK38" s="176"/>
      <c r="BL38" s="176"/>
      <c r="BM38" s="176"/>
      <c r="BN38" s="176"/>
      <c r="BO38" s="194" t="str">
        <f t="shared" si="113"/>
        <v/>
      </c>
      <c r="BP38" s="181"/>
      <c r="BQ38" s="176"/>
      <c r="BR38" s="176"/>
      <c r="BS38" s="176"/>
      <c r="BT38" s="176"/>
      <c r="BU38" s="176"/>
      <c r="BV38" s="176"/>
      <c r="BW38" s="176"/>
      <c r="BX38" s="194" t="str">
        <f t="shared" si="114"/>
        <v/>
      </c>
      <c r="BY38" s="181"/>
      <c r="BZ38" s="176"/>
      <c r="CA38" s="176"/>
      <c r="CB38" s="176"/>
      <c r="CC38" s="176"/>
      <c r="CD38" s="176"/>
      <c r="CE38" s="176"/>
      <c r="CF38" s="176"/>
      <c r="CG38" s="194" t="str">
        <f t="shared" si="115"/>
        <v/>
      </c>
      <c r="CH38" s="181"/>
      <c r="CI38" s="176"/>
      <c r="CJ38" s="176"/>
      <c r="CK38" s="176"/>
      <c r="CL38" s="176"/>
      <c r="CM38" s="176"/>
      <c r="CN38" s="176"/>
      <c r="CO38" s="176"/>
      <c r="CP38" s="194" t="str">
        <f t="shared" si="7"/>
        <v/>
      </c>
      <c r="CQ38" s="181"/>
      <c r="CR38" s="176"/>
      <c r="CS38" s="176"/>
      <c r="CT38" s="176"/>
      <c r="CU38" s="176"/>
      <c r="CV38" s="176"/>
      <c r="CW38" s="176"/>
      <c r="CX38" s="176"/>
      <c r="CY38" s="194" t="str">
        <f t="shared" si="116"/>
        <v/>
      </c>
      <c r="CZ38" s="181"/>
      <c r="DA38" s="176"/>
      <c r="DB38" s="176"/>
      <c r="DC38" s="176"/>
      <c r="DD38" s="176"/>
      <c r="DE38" s="176"/>
      <c r="DF38" s="176"/>
      <c r="DG38" s="176"/>
      <c r="DH38" s="194" t="str">
        <f t="shared" si="8"/>
        <v/>
      </c>
      <c r="DI38" s="181"/>
      <c r="DJ38" s="176"/>
      <c r="DK38" s="176"/>
      <c r="DL38" s="176"/>
      <c r="DM38" s="176"/>
      <c r="DN38" s="176"/>
      <c r="DO38" s="176"/>
      <c r="DP38" s="176"/>
      <c r="DQ38" s="194" t="str">
        <f t="shared" si="117"/>
        <v/>
      </c>
      <c r="DR38" s="181"/>
      <c r="DS38" s="176"/>
      <c r="DT38" s="176"/>
      <c r="DU38" s="176"/>
      <c r="DV38" s="176"/>
      <c r="DW38" s="176"/>
      <c r="DX38" s="176"/>
      <c r="DY38" s="176"/>
      <c r="DZ38" s="194" t="str">
        <f t="shared" si="9"/>
        <v/>
      </c>
      <c r="EA38" s="181"/>
      <c r="EB38" s="176"/>
      <c r="EC38" s="176"/>
      <c r="ED38" s="176"/>
      <c r="EE38" s="176"/>
      <c r="EF38" s="176"/>
      <c r="EG38" s="176"/>
      <c r="EH38" s="176"/>
      <c r="EI38" s="194" t="str">
        <f t="shared" si="10"/>
        <v/>
      </c>
      <c r="EJ38" s="181"/>
      <c r="EK38" s="176"/>
      <c r="EL38" s="176"/>
      <c r="EM38" s="176"/>
      <c r="EN38" s="176"/>
      <c r="EO38" s="176"/>
      <c r="EP38" s="176"/>
      <c r="EQ38" s="176"/>
      <c r="ER38" s="194" t="str">
        <f t="shared" si="11"/>
        <v/>
      </c>
      <c r="ES38" s="181"/>
      <c r="ET38" s="176"/>
      <c r="EU38" s="176"/>
      <c r="EV38" s="176"/>
      <c r="EW38" s="176"/>
      <c r="EX38" s="176"/>
      <c r="EY38" s="176"/>
      <c r="EZ38" s="176"/>
      <c r="FA38" s="194" t="str">
        <f t="shared" si="12"/>
        <v/>
      </c>
      <c r="FB38" s="181"/>
      <c r="FC38" s="176"/>
      <c r="FD38" s="176"/>
      <c r="FE38" s="176"/>
      <c r="FF38" s="176"/>
      <c r="FG38" s="176"/>
      <c r="FH38" s="176"/>
      <c r="FI38" s="176"/>
      <c r="FJ38" s="194" t="str">
        <f t="shared" si="13"/>
        <v/>
      </c>
      <c r="FK38" s="181"/>
      <c r="FL38" s="176"/>
      <c r="FM38" s="176"/>
      <c r="FN38" s="176"/>
      <c r="FO38" s="176"/>
      <c r="FP38" s="176"/>
      <c r="FQ38" s="176"/>
      <c r="FR38" s="176"/>
      <c r="FS38" s="194" t="str">
        <f t="shared" si="14"/>
        <v/>
      </c>
      <c r="FT38" s="181"/>
      <c r="FU38" s="176"/>
      <c r="FV38" s="176"/>
      <c r="FW38" s="176"/>
      <c r="FX38" s="176"/>
      <c r="FY38" s="176"/>
      <c r="FZ38" s="176"/>
      <c r="GA38" s="176"/>
      <c r="GB38" s="194" t="str">
        <f t="shared" si="118"/>
        <v/>
      </c>
      <c r="GC38" s="194" t="str">
        <f t="shared" si="119"/>
        <v/>
      </c>
      <c r="GD38" s="194" t="str">
        <f>IF(GC38="","",IF(GC38&gt;=KONVERSI!$A$5,KONVERSI!$D$5,IF(GC38&gt;=KONVERSI!$A$6,KONVERSI!$D$6,IF(GC38&gt;=KONVERSI!$A$7,KONVERSI!$D$7,KONVERSI!$D$8))))</f>
        <v/>
      </c>
      <c r="GE38" s="194" t="str">
        <f t="shared" si="120"/>
        <v/>
      </c>
      <c r="GF38" s="222"/>
      <c r="GG38" s="223">
        <f t="shared" si="15"/>
        <v>0</v>
      </c>
      <c r="GH38" s="194">
        <f t="shared" si="16"/>
        <v>0</v>
      </c>
      <c r="GI38" s="194">
        <f t="shared" si="17"/>
        <v>0</v>
      </c>
      <c r="GJ38" s="194">
        <f t="shared" si="18"/>
        <v>0</v>
      </c>
      <c r="GK38" s="194">
        <f t="shared" si="19"/>
        <v>0</v>
      </c>
      <c r="GL38" s="194">
        <f t="shared" si="20"/>
        <v>0</v>
      </c>
      <c r="GM38" s="194">
        <f t="shared" si="21"/>
        <v>0</v>
      </c>
      <c r="GN38" s="194">
        <f t="shared" si="22"/>
        <v>0</v>
      </c>
      <c r="GO38" s="194">
        <f t="shared" si="23"/>
        <v>0</v>
      </c>
      <c r="GP38" s="194">
        <f t="shared" si="24"/>
        <v>0</v>
      </c>
      <c r="GQ38" s="194">
        <f t="shared" si="25"/>
        <v>0</v>
      </c>
      <c r="GR38" s="194">
        <f t="shared" si="26"/>
        <v>0</v>
      </c>
      <c r="GS38" s="194">
        <f t="shared" si="27"/>
        <v>0</v>
      </c>
      <c r="GT38" s="194">
        <f t="shared" si="28"/>
        <v>0</v>
      </c>
      <c r="GU38" s="194">
        <f t="shared" si="29"/>
        <v>0</v>
      </c>
      <c r="GV38" s="194">
        <f t="shared" si="30"/>
        <v>0</v>
      </c>
      <c r="GW38" s="194">
        <f t="shared" si="31"/>
        <v>0</v>
      </c>
      <c r="GX38" s="194">
        <f t="shared" si="32"/>
        <v>0</v>
      </c>
      <c r="GY38" s="194">
        <f t="shared" si="33"/>
        <v>0</v>
      </c>
      <c r="GZ38" s="194">
        <f t="shared" si="34"/>
        <v>0</v>
      </c>
      <c r="HA38" s="194">
        <f t="shared" si="35"/>
        <v>0</v>
      </c>
      <c r="HB38" s="194">
        <f t="shared" si="36"/>
        <v>0</v>
      </c>
      <c r="HC38" s="194">
        <f t="shared" si="37"/>
        <v>0</v>
      </c>
      <c r="HD38" s="194">
        <f t="shared" si="38"/>
        <v>0</v>
      </c>
      <c r="HE38" s="194">
        <f t="shared" si="39"/>
        <v>0</v>
      </c>
      <c r="HF38" s="194">
        <f t="shared" si="40"/>
        <v>0</v>
      </c>
      <c r="HG38" s="194">
        <f t="shared" si="41"/>
        <v>0</v>
      </c>
      <c r="HH38" s="194">
        <f t="shared" si="42"/>
        <v>0</v>
      </c>
      <c r="HI38" s="194">
        <f t="shared" si="43"/>
        <v>0</v>
      </c>
      <c r="HJ38" s="194">
        <f t="shared" si="44"/>
        <v>0</v>
      </c>
      <c r="HK38" s="194">
        <f t="shared" si="45"/>
        <v>0</v>
      </c>
      <c r="HL38" s="194">
        <f t="shared" si="46"/>
        <v>0</v>
      </c>
      <c r="HM38" s="194">
        <f t="shared" si="47"/>
        <v>0</v>
      </c>
      <c r="HN38" s="194">
        <f t="shared" si="48"/>
        <v>0</v>
      </c>
      <c r="HO38" s="194">
        <f t="shared" si="49"/>
        <v>0</v>
      </c>
      <c r="HP38" s="194">
        <f t="shared" si="50"/>
        <v>0</v>
      </c>
      <c r="HQ38" s="194">
        <f t="shared" si="51"/>
        <v>0</v>
      </c>
      <c r="HR38" s="194">
        <f t="shared" si="52"/>
        <v>0</v>
      </c>
      <c r="HS38" s="194">
        <f t="shared" si="53"/>
        <v>0</v>
      </c>
      <c r="HT38" s="194">
        <f t="shared" si="54"/>
        <v>0</v>
      </c>
      <c r="HU38" s="194">
        <f t="shared" si="55"/>
        <v>0</v>
      </c>
      <c r="HV38" s="194">
        <f t="shared" si="56"/>
        <v>0</v>
      </c>
      <c r="HW38" s="194">
        <f t="shared" si="57"/>
        <v>0</v>
      </c>
      <c r="HX38" s="194">
        <f t="shared" si="58"/>
        <v>0</v>
      </c>
      <c r="HY38" s="194">
        <f t="shared" si="59"/>
        <v>0</v>
      </c>
      <c r="HZ38" s="194">
        <f t="shared" si="60"/>
        <v>0</v>
      </c>
      <c r="IA38" s="194">
        <f t="shared" si="61"/>
        <v>0</v>
      </c>
      <c r="IB38" s="194">
        <f t="shared" si="62"/>
        <v>0</v>
      </c>
      <c r="IC38" s="194">
        <f t="shared" si="63"/>
        <v>0</v>
      </c>
      <c r="ID38" s="194">
        <f t="shared" si="64"/>
        <v>0</v>
      </c>
      <c r="IE38" s="194">
        <f t="shared" si="65"/>
        <v>0</v>
      </c>
      <c r="IF38" s="194">
        <f t="shared" si="66"/>
        <v>0</v>
      </c>
      <c r="IG38" s="194">
        <f t="shared" si="67"/>
        <v>0</v>
      </c>
      <c r="IH38" s="194">
        <f t="shared" si="68"/>
        <v>0</v>
      </c>
      <c r="II38" s="194">
        <f t="shared" si="69"/>
        <v>0</v>
      </c>
      <c r="IJ38" s="194">
        <f t="shared" si="70"/>
        <v>0</v>
      </c>
      <c r="IK38" s="194">
        <f t="shared" si="71"/>
        <v>0</v>
      </c>
      <c r="IL38" s="194">
        <f t="shared" si="72"/>
        <v>0</v>
      </c>
      <c r="IM38" s="194">
        <f t="shared" si="73"/>
        <v>0</v>
      </c>
      <c r="IN38" s="194">
        <f t="shared" si="74"/>
        <v>0</v>
      </c>
      <c r="IO38" s="194">
        <f t="shared" si="75"/>
        <v>0</v>
      </c>
      <c r="IP38" s="194">
        <f t="shared" si="76"/>
        <v>0</v>
      </c>
      <c r="IQ38" s="194">
        <f t="shared" si="77"/>
        <v>0</v>
      </c>
      <c r="IR38" s="194">
        <f t="shared" si="78"/>
        <v>0</v>
      </c>
      <c r="IS38" s="194">
        <f t="shared" si="79"/>
        <v>0</v>
      </c>
      <c r="IT38" s="194">
        <f t="shared" si="80"/>
        <v>0</v>
      </c>
      <c r="IU38" s="194">
        <f t="shared" si="81"/>
        <v>0</v>
      </c>
      <c r="IV38" s="194">
        <f t="shared" si="82"/>
        <v>0</v>
      </c>
      <c r="IW38" s="194">
        <f t="shared" si="83"/>
        <v>0</v>
      </c>
      <c r="IX38" s="194">
        <f t="shared" si="84"/>
        <v>0</v>
      </c>
      <c r="IY38" s="194">
        <f t="shared" si="85"/>
        <v>0</v>
      </c>
      <c r="IZ38" s="194">
        <f t="shared" si="86"/>
        <v>0</v>
      </c>
      <c r="JA38" s="194">
        <f t="shared" si="87"/>
        <v>0</v>
      </c>
      <c r="JB38" s="194">
        <f t="shared" si="88"/>
        <v>0</v>
      </c>
      <c r="JC38" s="194">
        <f t="shared" si="89"/>
        <v>0</v>
      </c>
      <c r="JD38" s="194">
        <f t="shared" si="90"/>
        <v>0</v>
      </c>
      <c r="JE38" s="194">
        <f t="shared" si="91"/>
        <v>0</v>
      </c>
      <c r="JF38" s="194">
        <f t="shared" si="92"/>
        <v>0</v>
      </c>
      <c r="JG38" s="194">
        <f t="shared" si="93"/>
        <v>0</v>
      </c>
      <c r="JH38" s="194">
        <f t="shared" si="94"/>
        <v>0</v>
      </c>
      <c r="JI38" s="228">
        <v>30</v>
      </c>
      <c r="JJ38" s="229" t="str">
        <f t="shared" si="121"/>
        <v/>
      </c>
      <c r="JK38" s="229" t="str">
        <f t="shared" si="122"/>
        <v/>
      </c>
      <c r="JL38" s="229" t="str">
        <f t="shared" si="123"/>
        <v/>
      </c>
      <c r="JM38" s="229" t="str">
        <f t="shared" si="124"/>
        <v/>
      </c>
      <c r="JN38" s="229" t="str">
        <f t="shared" si="125"/>
        <v/>
      </c>
      <c r="JO38" s="229" t="str">
        <f t="shared" si="126"/>
        <v/>
      </c>
      <c r="JP38" s="229" t="str">
        <f t="shared" si="127"/>
        <v/>
      </c>
      <c r="JQ38" s="229" t="str">
        <f t="shared" si="128"/>
        <v/>
      </c>
      <c r="JR38" s="229" t="str">
        <f t="shared" si="129"/>
        <v/>
      </c>
      <c r="JS38" s="229" t="str">
        <f t="shared" si="130"/>
        <v/>
      </c>
      <c r="JT38" s="229" t="str">
        <f t="shared" si="131"/>
        <v/>
      </c>
      <c r="JU38" s="229" t="str">
        <f t="shared" si="132"/>
        <v/>
      </c>
      <c r="JV38" s="229" t="str">
        <f t="shared" si="133"/>
        <v/>
      </c>
      <c r="JW38" s="229" t="str">
        <f t="shared" si="134"/>
        <v/>
      </c>
      <c r="JX38" s="229" t="str">
        <f t="shared" si="135"/>
        <v/>
      </c>
      <c r="JY38" s="229" t="str">
        <f t="shared" si="136"/>
        <v/>
      </c>
      <c r="JZ38" s="229" t="str">
        <f t="shared" si="137"/>
        <v/>
      </c>
      <c r="KA38" s="229" t="str">
        <f t="shared" si="138"/>
        <v/>
      </c>
      <c r="KB38" s="229" t="str">
        <f t="shared" si="139"/>
        <v/>
      </c>
      <c r="KC38" s="229" t="str">
        <f t="shared" si="140"/>
        <v/>
      </c>
      <c r="KD38" s="231" t="str">
        <f t="shared" si="141"/>
        <v/>
      </c>
      <c r="KE38" s="232" t="str">
        <f>IF(KD38="","",IF(KD38&gt;=KONVERSI!$A$5,KONVERSI!$E$12,IF(KD38&gt;=KONVERSI!$A$6,KONVERSI!$E$13,IF(KD38&gt;=KONVERSI!$A$7,KONVERSI!$E$14,KONVERSI!$E$15))))</f>
        <v/>
      </c>
      <c r="KF38" s="233" t="str">
        <f t="shared" si="142"/>
        <v/>
      </c>
      <c r="KG38" s="234" t="str">
        <f t="shared" si="143"/>
        <v/>
      </c>
      <c r="KH38" s="232" t="str">
        <f>IF(KG38="","",IF(KG38&gt;=KONVERSI!$A$5,KONVERSI!$E$12,IF(KG38&gt;=KONVERSI!$A$6,KONVERSI!$E$13,IF(KG38&gt;=KONVERSI!$A$7,KONVERSI!$E$14,KONVERSI!$E$15))))</f>
        <v/>
      </c>
      <c r="KI38" s="134" t="str">
        <f>IF(GC38="","",IF(GC38&lt;$GD$3," "&amp;KONVERSI!$C$19&amp;INDEX($JJ$8:$KC$8,MATCH(KG39,JJ39:KC39,0))&amp;".",IF(GC38=0,"",IF(KG38&lt;&gt;0,KF38&amp;KH38&amp;".",KF38&amp;"."))))</f>
        <v/>
      </c>
      <c r="KJ38" s="235" t="str">
        <f t="shared" si="144"/>
        <v/>
      </c>
      <c r="KK38" s="235" t="str">
        <f t="shared" si="145"/>
        <v/>
      </c>
      <c r="KL38" s="235" t="str">
        <f t="shared" si="146"/>
        <v/>
      </c>
      <c r="KM38" s="235" t="str">
        <f t="shared" si="147"/>
        <v/>
      </c>
      <c r="KN38" s="235" t="str">
        <f t="shared" si="148"/>
        <v/>
      </c>
      <c r="KO38" s="235" t="str">
        <f t="shared" si="149"/>
        <v/>
      </c>
      <c r="KP38" s="235" t="str">
        <f t="shared" si="150"/>
        <v/>
      </c>
      <c r="KQ38" s="235" t="str">
        <f t="shared" si="151"/>
        <v/>
      </c>
      <c r="KR38" s="235" t="str">
        <f t="shared" si="152"/>
        <v/>
      </c>
      <c r="KS38" s="235" t="str">
        <f t="shared" si="153"/>
        <v/>
      </c>
      <c r="KT38" s="235" t="str">
        <f t="shared" si="154"/>
        <v/>
      </c>
      <c r="KU38" s="235" t="str">
        <f t="shared" si="155"/>
        <v/>
      </c>
      <c r="KV38" s="235" t="str">
        <f t="shared" si="156"/>
        <v/>
      </c>
      <c r="KW38" s="235" t="str">
        <f t="shared" si="157"/>
        <v/>
      </c>
      <c r="KX38" s="235" t="str">
        <f t="shared" si="158"/>
        <v/>
      </c>
      <c r="KY38" s="235" t="str">
        <f t="shared" si="159"/>
        <v/>
      </c>
      <c r="KZ38" s="235" t="str">
        <f t="shared" si="160"/>
        <v/>
      </c>
      <c r="LA38" s="235" t="str">
        <f t="shared" si="161"/>
        <v/>
      </c>
      <c r="LB38" s="235" t="str">
        <f t="shared" si="162"/>
        <v/>
      </c>
      <c r="LC38" s="235" t="str">
        <f t="shared" si="163"/>
        <v/>
      </c>
      <c r="LD38" s="134" t="str">
        <f t="shared" si="164"/>
        <v/>
      </c>
      <c r="LE38" s="134" t="str">
        <f t="shared" si="164"/>
        <v/>
      </c>
      <c r="LF38" s="134" t="str">
        <f t="shared" si="164"/>
        <v/>
      </c>
      <c r="LG38" s="134" t="str">
        <f t="shared" si="164"/>
        <v/>
      </c>
      <c r="LH38" s="134" t="str">
        <f t="shared" si="164"/>
        <v/>
      </c>
      <c r="LI38" s="134" t="str">
        <f t="shared" si="164"/>
        <v/>
      </c>
      <c r="LJ38" s="134" t="str">
        <f t="shared" si="164"/>
        <v/>
      </c>
      <c r="LK38" s="134" t="str">
        <f t="shared" si="164"/>
        <v/>
      </c>
      <c r="LL38" s="134" t="str">
        <f t="shared" si="164"/>
        <v/>
      </c>
      <c r="LM38" s="134" t="str">
        <f t="shared" si="190"/>
        <v/>
      </c>
      <c r="LN38" s="134" t="str">
        <f t="shared" si="190"/>
        <v/>
      </c>
      <c r="LO38" s="134" t="str">
        <f t="shared" si="190"/>
        <v/>
      </c>
      <c r="LP38" s="134" t="str">
        <f t="shared" si="190"/>
        <v/>
      </c>
      <c r="LQ38" s="134" t="str">
        <f t="shared" si="190"/>
        <v/>
      </c>
      <c r="LR38" s="134" t="str">
        <f t="shared" si="190"/>
        <v/>
      </c>
      <c r="LS38" s="134" t="str">
        <f t="shared" si="190"/>
        <v/>
      </c>
      <c r="LT38" s="134" t="str">
        <f t="shared" si="190"/>
        <v/>
      </c>
      <c r="LU38" s="134" t="str">
        <f t="shared" si="190"/>
        <v/>
      </c>
      <c r="LV38" s="134" t="str">
        <f t="shared" si="190"/>
        <v/>
      </c>
      <c r="LW38" s="134" t="str">
        <f t="shared" si="190"/>
        <v/>
      </c>
      <c r="LX38" s="134" t="str">
        <f t="shared" si="165"/>
        <v/>
      </c>
      <c r="LY38" s="134" t="str">
        <f t="shared" si="166"/>
        <v>  </v>
      </c>
      <c r="LZ38" s="236">
        <f t="shared" si="97"/>
        <v>0</v>
      </c>
      <c r="MA38" s="235" t="str">
        <f t="shared" si="167"/>
        <v/>
      </c>
      <c r="MB38" s="235" t="str">
        <f t="shared" si="168"/>
        <v/>
      </c>
      <c r="MC38" s="235" t="str">
        <f t="shared" si="169"/>
        <v/>
      </c>
      <c r="MD38" s="235" t="str">
        <f t="shared" si="170"/>
        <v/>
      </c>
      <c r="ME38" s="235" t="str">
        <f t="shared" si="171"/>
        <v/>
      </c>
      <c r="MF38" s="235" t="str">
        <f t="shared" si="172"/>
        <v/>
      </c>
      <c r="MG38" s="235" t="str">
        <f t="shared" si="173"/>
        <v/>
      </c>
      <c r="MH38" s="235" t="str">
        <f t="shared" si="174"/>
        <v/>
      </c>
      <c r="MI38" s="235" t="str">
        <f t="shared" si="175"/>
        <v/>
      </c>
      <c r="MJ38" s="235" t="str">
        <f t="shared" si="176"/>
        <v/>
      </c>
      <c r="MK38" s="235" t="str">
        <f t="shared" si="177"/>
        <v/>
      </c>
      <c r="ML38" s="235" t="str">
        <f t="shared" si="178"/>
        <v/>
      </c>
      <c r="MM38" s="235" t="str">
        <f t="shared" si="179"/>
        <v/>
      </c>
      <c r="MN38" s="235" t="str">
        <f t="shared" si="180"/>
        <v/>
      </c>
      <c r="MO38" s="235" t="str">
        <f t="shared" si="181"/>
        <v/>
      </c>
      <c r="MP38" s="235" t="str">
        <f t="shared" si="182"/>
        <v/>
      </c>
      <c r="MQ38" s="235" t="str">
        <f t="shared" si="183"/>
        <v/>
      </c>
      <c r="MR38" s="235" t="str">
        <f t="shared" si="184"/>
        <v/>
      </c>
      <c r="MS38" s="235" t="str">
        <f t="shared" si="185"/>
        <v/>
      </c>
      <c r="MT38" s="235" t="str">
        <f t="shared" si="186"/>
        <v/>
      </c>
      <c r="MU38" s="134" t="str">
        <f t="shared" si="187"/>
        <v/>
      </c>
      <c r="MV38" s="134" t="str">
        <f t="shared" si="187"/>
        <v/>
      </c>
      <c r="MW38" s="134" t="str">
        <f t="shared" si="187"/>
        <v/>
      </c>
      <c r="MX38" s="134" t="str">
        <f t="shared" si="187"/>
        <v/>
      </c>
      <c r="MY38" s="134" t="str">
        <f t="shared" si="187"/>
        <v/>
      </c>
      <c r="MZ38" s="134" t="str">
        <f t="shared" si="187"/>
        <v/>
      </c>
      <c r="NA38" s="134" t="str">
        <f t="shared" si="187"/>
        <v/>
      </c>
      <c r="NB38" s="134" t="str">
        <f t="shared" si="187"/>
        <v/>
      </c>
      <c r="NC38" s="134" t="str">
        <f t="shared" si="187"/>
        <v/>
      </c>
      <c r="ND38" s="134" t="str">
        <f t="shared" si="191"/>
        <v/>
      </c>
      <c r="NE38" s="134" t="str">
        <f t="shared" si="191"/>
        <v/>
      </c>
      <c r="NF38" s="134" t="str">
        <f t="shared" si="191"/>
        <v/>
      </c>
      <c r="NG38" s="134" t="str">
        <f t="shared" si="191"/>
        <v/>
      </c>
      <c r="NH38" s="134" t="str">
        <f t="shared" si="191"/>
        <v/>
      </c>
      <c r="NI38" s="134" t="str">
        <f t="shared" si="191"/>
        <v/>
      </c>
      <c r="NJ38" s="134" t="str">
        <f t="shared" si="191"/>
        <v/>
      </c>
      <c r="NK38" s="134" t="str">
        <f t="shared" si="191"/>
        <v/>
      </c>
      <c r="NL38" s="134" t="str">
        <f t="shared" si="191"/>
        <v/>
      </c>
      <c r="NM38" s="134" t="str">
        <f t="shared" si="191"/>
        <v/>
      </c>
      <c r="NN38" s="134" t="str">
        <f t="shared" si="191"/>
        <v/>
      </c>
      <c r="NO38" s="134" t="str">
        <f>IF(KE38=KH38,"",IF(KG38="","",IF(KG38&gt;=KONVERSI!$A$14,'KI4'!KH38&amp;" dalam"&amp;MU38&amp;MV38&amp;MW38&amp;MX38&amp;MY38&amp;MZ38&amp;NA38&amp;NB38&amp;NC38&amp;ND38&amp;NE38&amp;NF38&amp;NG38&amp;NH38&amp;NI38&amp;NJ38&amp;NK38&amp;NL38&amp;NM38&amp;NN38,KONVERSI!$C$19&amp;" dalam"&amp;MU38&amp;MV38&amp;MW38&amp;MX38&amp;MY38&amp;MZ38&amp;NA38&amp;NB38&amp;NC38&amp;ND38&amp;NE38&amp;NF38&amp;NG38&amp;NH38&amp;NI38&amp;NJ38&amp;NK38&amp;NL38&amp;NM38&amp;NN38)))</f>
        <v/>
      </c>
      <c r="NP38" s="134" t="str">
        <f t="shared" si="188"/>
        <v/>
      </c>
      <c r="NQ38" s="236">
        <f t="shared" si="111"/>
        <v>0</v>
      </c>
      <c r="NR38" s="134" t="str">
        <f t="shared" si="189"/>
        <v/>
      </c>
    </row>
    <row r="39" ht="27.6" customHeight="1" spans="1:382">
      <c r="A39" s="136"/>
      <c r="B39" s="177">
        <v>31</v>
      </c>
      <c r="C39" s="178">
        <f>siswa!C35</f>
        <v>0</v>
      </c>
      <c r="D39" s="174">
        <f>siswa!D35</f>
        <v>0</v>
      </c>
      <c r="E39" s="176"/>
      <c r="F39" s="176"/>
      <c r="G39" s="176"/>
      <c r="H39" s="176"/>
      <c r="I39" s="176"/>
      <c r="J39" s="176"/>
      <c r="K39" s="176"/>
      <c r="L39" s="176"/>
      <c r="M39" s="194" t="str">
        <f t="shared" si="2"/>
        <v/>
      </c>
      <c r="N39" s="176"/>
      <c r="O39" s="176"/>
      <c r="P39" s="176"/>
      <c r="Q39" s="176"/>
      <c r="R39" s="176"/>
      <c r="S39" s="176"/>
      <c r="T39" s="176"/>
      <c r="U39" s="176"/>
      <c r="V39" s="194" t="str">
        <f t="shared" si="3"/>
        <v/>
      </c>
      <c r="W39" s="176"/>
      <c r="X39" s="176"/>
      <c r="Y39" s="176"/>
      <c r="Z39" s="176"/>
      <c r="AA39" s="176"/>
      <c r="AB39" s="176"/>
      <c r="AC39" s="176"/>
      <c r="AD39" s="176"/>
      <c r="AE39" s="194" t="str">
        <f t="shared" si="4"/>
        <v/>
      </c>
      <c r="AF39" s="176"/>
      <c r="AG39" s="176"/>
      <c r="AH39" s="176"/>
      <c r="AI39" s="176"/>
      <c r="AJ39" s="176"/>
      <c r="AK39" s="176"/>
      <c r="AL39" s="176"/>
      <c r="AM39" s="176"/>
      <c r="AN39" s="194" t="str">
        <f t="shared" si="5"/>
        <v/>
      </c>
      <c r="AO39" s="181"/>
      <c r="AP39" s="176"/>
      <c r="AQ39" s="176"/>
      <c r="AR39" s="176"/>
      <c r="AS39" s="176"/>
      <c r="AT39" s="176"/>
      <c r="AU39" s="176"/>
      <c r="AV39" s="176"/>
      <c r="AW39" s="194" t="str">
        <f t="shared" si="112"/>
        <v/>
      </c>
      <c r="AX39" s="181"/>
      <c r="AY39" s="176"/>
      <c r="AZ39" s="176"/>
      <c r="BA39" s="176"/>
      <c r="BB39" s="176"/>
      <c r="BC39" s="176"/>
      <c r="BD39" s="176"/>
      <c r="BE39" s="176"/>
      <c r="BF39" s="194" t="str">
        <f t="shared" si="6"/>
        <v/>
      </c>
      <c r="BG39" s="181"/>
      <c r="BH39" s="176"/>
      <c r="BI39" s="176"/>
      <c r="BJ39" s="176"/>
      <c r="BK39" s="176"/>
      <c r="BL39" s="176"/>
      <c r="BM39" s="176"/>
      <c r="BN39" s="176"/>
      <c r="BO39" s="194" t="str">
        <f t="shared" si="113"/>
        <v/>
      </c>
      <c r="BP39" s="181"/>
      <c r="BQ39" s="176"/>
      <c r="BR39" s="176"/>
      <c r="BS39" s="176"/>
      <c r="BT39" s="176"/>
      <c r="BU39" s="176"/>
      <c r="BV39" s="176"/>
      <c r="BW39" s="176"/>
      <c r="BX39" s="194" t="str">
        <f t="shared" si="114"/>
        <v/>
      </c>
      <c r="BY39" s="181"/>
      <c r="BZ39" s="176"/>
      <c r="CA39" s="176"/>
      <c r="CB39" s="176"/>
      <c r="CC39" s="176"/>
      <c r="CD39" s="176"/>
      <c r="CE39" s="176"/>
      <c r="CF39" s="176"/>
      <c r="CG39" s="194" t="str">
        <f t="shared" si="115"/>
        <v/>
      </c>
      <c r="CH39" s="181"/>
      <c r="CI39" s="176"/>
      <c r="CJ39" s="176"/>
      <c r="CK39" s="176"/>
      <c r="CL39" s="176"/>
      <c r="CM39" s="176"/>
      <c r="CN39" s="176"/>
      <c r="CO39" s="176"/>
      <c r="CP39" s="194" t="str">
        <f t="shared" si="7"/>
        <v/>
      </c>
      <c r="CQ39" s="181"/>
      <c r="CR39" s="176"/>
      <c r="CS39" s="176"/>
      <c r="CT39" s="176"/>
      <c r="CU39" s="176"/>
      <c r="CV39" s="176"/>
      <c r="CW39" s="176"/>
      <c r="CX39" s="176"/>
      <c r="CY39" s="194" t="str">
        <f t="shared" si="116"/>
        <v/>
      </c>
      <c r="CZ39" s="181"/>
      <c r="DA39" s="176"/>
      <c r="DB39" s="176"/>
      <c r="DC39" s="176"/>
      <c r="DD39" s="176"/>
      <c r="DE39" s="176"/>
      <c r="DF39" s="176"/>
      <c r="DG39" s="176"/>
      <c r="DH39" s="194" t="str">
        <f t="shared" si="8"/>
        <v/>
      </c>
      <c r="DI39" s="181"/>
      <c r="DJ39" s="176"/>
      <c r="DK39" s="176"/>
      <c r="DL39" s="176"/>
      <c r="DM39" s="176"/>
      <c r="DN39" s="176"/>
      <c r="DO39" s="176"/>
      <c r="DP39" s="176"/>
      <c r="DQ39" s="194" t="str">
        <f t="shared" si="117"/>
        <v/>
      </c>
      <c r="DR39" s="181"/>
      <c r="DS39" s="176"/>
      <c r="DT39" s="176"/>
      <c r="DU39" s="176"/>
      <c r="DV39" s="176"/>
      <c r="DW39" s="176"/>
      <c r="DX39" s="176"/>
      <c r="DY39" s="176"/>
      <c r="DZ39" s="194" t="str">
        <f t="shared" si="9"/>
        <v/>
      </c>
      <c r="EA39" s="181"/>
      <c r="EB39" s="176"/>
      <c r="EC39" s="176"/>
      <c r="ED39" s="176"/>
      <c r="EE39" s="176"/>
      <c r="EF39" s="176"/>
      <c r="EG39" s="176"/>
      <c r="EH39" s="176"/>
      <c r="EI39" s="194" t="str">
        <f t="shared" si="10"/>
        <v/>
      </c>
      <c r="EJ39" s="181"/>
      <c r="EK39" s="176"/>
      <c r="EL39" s="176"/>
      <c r="EM39" s="176"/>
      <c r="EN39" s="176"/>
      <c r="EO39" s="176"/>
      <c r="EP39" s="176"/>
      <c r="EQ39" s="176"/>
      <c r="ER39" s="194" t="str">
        <f t="shared" si="11"/>
        <v/>
      </c>
      <c r="ES39" s="181"/>
      <c r="ET39" s="176"/>
      <c r="EU39" s="176"/>
      <c r="EV39" s="176"/>
      <c r="EW39" s="176"/>
      <c r="EX39" s="176"/>
      <c r="EY39" s="176"/>
      <c r="EZ39" s="176"/>
      <c r="FA39" s="194" t="str">
        <f t="shared" si="12"/>
        <v/>
      </c>
      <c r="FB39" s="181"/>
      <c r="FC39" s="176"/>
      <c r="FD39" s="176"/>
      <c r="FE39" s="176"/>
      <c r="FF39" s="176"/>
      <c r="FG39" s="176"/>
      <c r="FH39" s="176"/>
      <c r="FI39" s="176"/>
      <c r="FJ39" s="194" t="str">
        <f t="shared" si="13"/>
        <v/>
      </c>
      <c r="FK39" s="181"/>
      <c r="FL39" s="176"/>
      <c r="FM39" s="176"/>
      <c r="FN39" s="176"/>
      <c r="FO39" s="176"/>
      <c r="FP39" s="176"/>
      <c r="FQ39" s="176"/>
      <c r="FR39" s="176"/>
      <c r="FS39" s="194" t="str">
        <f t="shared" si="14"/>
        <v/>
      </c>
      <c r="FT39" s="181"/>
      <c r="FU39" s="176"/>
      <c r="FV39" s="176"/>
      <c r="FW39" s="176"/>
      <c r="FX39" s="176"/>
      <c r="FY39" s="176"/>
      <c r="FZ39" s="176"/>
      <c r="GA39" s="176"/>
      <c r="GB39" s="194" t="str">
        <f t="shared" si="118"/>
        <v/>
      </c>
      <c r="GC39" s="194" t="str">
        <f t="shared" si="119"/>
        <v/>
      </c>
      <c r="GD39" s="194" t="str">
        <f>IF(GC39="","",IF(GC39&gt;=KONVERSI!$A$5,KONVERSI!$D$5,IF(GC39&gt;=KONVERSI!$A$6,KONVERSI!$D$6,IF(GC39&gt;=KONVERSI!$A$7,KONVERSI!$D$7,KONVERSI!$D$8))))</f>
        <v/>
      </c>
      <c r="GE39" s="194" t="str">
        <f t="shared" si="120"/>
        <v/>
      </c>
      <c r="GF39" s="222"/>
      <c r="GG39" s="223">
        <f t="shared" si="15"/>
        <v>0</v>
      </c>
      <c r="GH39" s="194">
        <f t="shared" si="16"/>
        <v>0</v>
      </c>
      <c r="GI39" s="194">
        <f t="shared" si="17"/>
        <v>0</v>
      </c>
      <c r="GJ39" s="194">
        <f t="shared" si="18"/>
        <v>0</v>
      </c>
      <c r="GK39" s="194">
        <f t="shared" si="19"/>
        <v>0</v>
      </c>
      <c r="GL39" s="194">
        <f t="shared" si="20"/>
        <v>0</v>
      </c>
      <c r="GM39" s="194">
        <f t="shared" si="21"/>
        <v>0</v>
      </c>
      <c r="GN39" s="194">
        <f t="shared" si="22"/>
        <v>0</v>
      </c>
      <c r="GO39" s="194">
        <f t="shared" si="23"/>
        <v>0</v>
      </c>
      <c r="GP39" s="194">
        <f t="shared" si="24"/>
        <v>0</v>
      </c>
      <c r="GQ39" s="194">
        <f t="shared" si="25"/>
        <v>0</v>
      </c>
      <c r="GR39" s="194">
        <f t="shared" si="26"/>
        <v>0</v>
      </c>
      <c r="GS39" s="194">
        <f t="shared" si="27"/>
        <v>0</v>
      </c>
      <c r="GT39" s="194">
        <f t="shared" si="28"/>
        <v>0</v>
      </c>
      <c r="GU39" s="194">
        <f t="shared" si="29"/>
        <v>0</v>
      </c>
      <c r="GV39" s="194">
        <f t="shared" si="30"/>
        <v>0</v>
      </c>
      <c r="GW39" s="194">
        <f t="shared" si="31"/>
        <v>0</v>
      </c>
      <c r="GX39" s="194">
        <f t="shared" si="32"/>
        <v>0</v>
      </c>
      <c r="GY39" s="194">
        <f t="shared" si="33"/>
        <v>0</v>
      </c>
      <c r="GZ39" s="194">
        <f t="shared" si="34"/>
        <v>0</v>
      </c>
      <c r="HA39" s="194">
        <f t="shared" si="35"/>
        <v>0</v>
      </c>
      <c r="HB39" s="194">
        <f t="shared" si="36"/>
        <v>0</v>
      </c>
      <c r="HC39" s="194">
        <f t="shared" si="37"/>
        <v>0</v>
      </c>
      <c r="HD39" s="194">
        <f t="shared" si="38"/>
        <v>0</v>
      </c>
      <c r="HE39" s="194">
        <f t="shared" si="39"/>
        <v>0</v>
      </c>
      <c r="HF39" s="194">
        <f t="shared" si="40"/>
        <v>0</v>
      </c>
      <c r="HG39" s="194">
        <f t="shared" si="41"/>
        <v>0</v>
      </c>
      <c r="HH39" s="194">
        <f t="shared" si="42"/>
        <v>0</v>
      </c>
      <c r="HI39" s="194">
        <f t="shared" si="43"/>
        <v>0</v>
      </c>
      <c r="HJ39" s="194">
        <f t="shared" si="44"/>
        <v>0</v>
      </c>
      <c r="HK39" s="194">
        <f t="shared" si="45"/>
        <v>0</v>
      </c>
      <c r="HL39" s="194">
        <f t="shared" si="46"/>
        <v>0</v>
      </c>
      <c r="HM39" s="194">
        <f t="shared" si="47"/>
        <v>0</v>
      </c>
      <c r="HN39" s="194">
        <f t="shared" si="48"/>
        <v>0</v>
      </c>
      <c r="HO39" s="194">
        <f t="shared" si="49"/>
        <v>0</v>
      </c>
      <c r="HP39" s="194">
        <f t="shared" si="50"/>
        <v>0</v>
      </c>
      <c r="HQ39" s="194">
        <f t="shared" si="51"/>
        <v>0</v>
      </c>
      <c r="HR39" s="194">
        <f t="shared" si="52"/>
        <v>0</v>
      </c>
      <c r="HS39" s="194">
        <f t="shared" si="53"/>
        <v>0</v>
      </c>
      <c r="HT39" s="194">
        <f t="shared" si="54"/>
        <v>0</v>
      </c>
      <c r="HU39" s="194">
        <f t="shared" si="55"/>
        <v>0</v>
      </c>
      <c r="HV39" s="194">
        <f t="shared" si="56"/>
        <v>0</v>
      </c>
      <c r="HW39" s="194">
        <f t="shared" si="57"/>
        <v>0</v>
      </c>
      <c r="HX39" s="194">
        <f t="shared" si="58"/>
        <v>0</v>
      </c>
      <c r="HY39" s="194">
        <f t="shared" si="59"/>
        <v>0</v>
      </c>
      <c r="HZ39" s="194">
        <f t="shared" si="60"/>
        <v>0</v>
      </c>
      <c r="IA39" s="194">
        <f t="shared" si="61"/>
        <v>0</v>
      </c>
      <c r="IB39" s="194">
        <f t="shared" si="62"/>
        <v>0</v>
      </c>
      <c r="IC39" s="194">
        <f t="shared" si="63"/>
        <v>0</v>
      </c>
      <c r="ID39" s="194">
        <f t="shared" si="64"/>
        <v>0</v>
      </c>
      <c r="IE39" s="194">
        <f t="shared" si="65"/>
        <v>0</v>
      </c>
      <c r="IF39" s="194">
        <f t="shared" si="66"/>
        <v>0</v>
      </c>
      <c r="IG39" s="194">
        <f t="shared" si="67"/>
        <v>0</v>
      </c>
      <c r="IH39" s="194">
        <f t="shared" si="68"/>
        <v>0</v>
      </c>
      <c r="II39" s="194">
        <f t="shared" si="69"/>
        <v>0</v>
      </c>
      <c r="IJ39" s="194">
        <f t="shared" si="70"/>
        <v>0</v>
      </c>
      <c r="IK39" s="194">
        <f t="shared" si="71"/>
        <v>0</v>
      </c>
      <c r="IL39" s="194">
        <f t="shared" si="72"/>
        <v>0</v>
      </c>
      <c r="IM39" s="194">
        <f t="shared" si="73"/>
        <v>0</v>
      </c>
      <c r="IN39" s="194">
        <f t="shared" si="74"/>
        <v>0</v>
      </c>
      <c r="IO39" s="194">
        <f t="shared" si="75"/>
        <v>0</v>
      </c>
      <c r="IP39" s="194">
        <f t="shared" si="76"/>
        <v>0</v>
      </c>
      <c r="IQ39" s="194">
        <f t="shared" si="77"/>
        <v>0</v>
      </c>
      <c r="IR39" s="194">
        <f t="shared" si="78"/>
        <v>0</v>
      </c>
      <c r="IS39" s="194">
        <f t="shared" si="79"/>
        <v>0</v>
      </c>
      <c r="IT39" s="194">
        <f t="shared" si="80"/>
        <v>0</v>
      </c>
      <c r="IU39" s="194">
        <f t="shared" si="81"/>
        <v>0</v>
      </c>
      <c r="IV39" s="194">
        <f t="shared" si="82"/>
        <v>0</v>
      </c>
      <c r="IW39" s="194">
        <f t="shared" si="83"/>
        <v>0</v>
      </c>
      <c r="IX39" s="194">
        <f t="shared" si="84"/>
        <v>0</v>
      </c>
      <c r="IY39" s="194">
        <f t="shared" si="85"/>
        <v>0</v>
      </c>
      <c r="IZ39" s="194">
        <f t="shared" si="86"/>
        <v>0</v>
      </c>
      <c r="JA39" s="194">
        <f t="shared" si="87"/>
        <v>0</v>
      </c>
      <c r="JB39" s="194">
        <f t="shared" si="88"/>
        <v>0</v>
      </c>
      <c r="JC39" s="194">
        <f t="shared" si="89"/>
        <v>0</v>
      </c>
      <c r="JD39" s="194">
        <f t="shared" si="90"/>
        <v>0</v>
      </c>
      <c r="JE39" s="194">
        <f t="shared" si="91"/>
        <v>0</v>
      </c>
      <c r="JF39" s="194">
        <f t="shared" si="92"/>
        <v>0</v>
      </c>
      <c r="JG39" s="194">
        <f t="shared" si="93"/>
        <v>0</v>
      </c>
      <c r="JH39" s="194">
        <f t="shared" si="94"/>
        <v>0</v>
      </c>
      <c r="JI39" s="228">
        <v>31</v>
      </c>
      <c r="JJ39" s="229" t="str">
        <f t="shared" si="121"/>
        <v/>
      </c>
      <c r="JK39" s="229" t="str">
        <f t="shared" si="122"/>
        <v/>
      </c>
      <c r="JL39" s="229" t="str">
        <f t="shared" si="123"/>
        <v/>
      </c>
      <c r="JM39" s="229" t="str">
        <f t="shared" si="124"/>
        <v/>
      </c>
      <c r="JN39" s="229" t="str">
        <f t="shared" si="125"/>
        <v/>
      </c>
      <c r="JO39" s="229" t="str">
        <f t="shared" si="126"/>
        <v/>
      </c>
      <c r="JP39" s="229" t="str">
        <f t="shared" si="127"/>
        <v/>
      </c>
      <c r="JQ39" s="229" t="str">
        <f t="shared" si="128"/>
        <v/>
      </c>
      <c r="JR39" s="229" t="str">
        <f t="shared" si="129"/>
        <v/>
      </c>
      <c r="JS39" s="229" t="str">
        <f t="shared" si="130"/>
        <v/>
      </c>
      <c r="JT39" s="229" t="str">
        <f t="shared" si="131"/>
        <v/>
      </c>
      <c r="JU39" s="229" t="str">
        <f t="shared" si="132"/>
        <v/>
      </c>
      <c r="JV39" s="229" t="str">
        <f t="shared" si="133"/>
        <v/>
      </c>
      <c r="JW39" s="229" t="str">
        <f t="shared" si="134"/>
        <v/>
      </c>
      <c r="JX39" s="229" t="str">
        <f t="shared" si="135"/>
        <v/>
      </c>
      <c r="JY39" s="229" t="str">
        <f t="shared" si="136"/>
        <v/>
      </c>
      <c r="JZ39" s="229" t="str">
        <f t="shared" si="137"/>
        <v/>
      </c>
      <c r="KA39" s="229" t="str">
        <f t="shared" si="138"/>
        <v/>
      </c>
      <c r="KB39" s="229" t="str">
        <f t="shared" si="139"/>
        <v/>
      </c>
      <c r="KC39" s="229" t="str">
        <f t="shared" si="140"/>
        <v/>
      </c>
      <c r="KD39" s="231" t="str">
        <f t="shared" si="141"/>
        <v/>
      </c>
      <c r="KE39" s="232" t="str">
        <f>IF(KD39="","",IF(KD39&gt;=KONVERSI!$A$5,KONVERSI!$E$12,IF(KD39&gt;=KONVERSI!$A$6,KONVERSI!$E$13,IF(KD39&gt;=KONVERSI!$A$7,KONVERSI!$E$14,KONVERSI!$E$15))))</f>
        <v/>
      </c>
      <c r="KF39" s="233" t="str">
        <f t="shared" si="142"/>
        <v/>
      </c>
      <c r="KG39" s="234" t="str">
        <f t="shared" si="143"/>
        <v/>
      </c>
      <c r="KH39" s="232" t="str">
        <f>IF(KG39="","",IF(KG39&gt;=KONVERSI!$A$5,KONVERSI!$E$12,IF(KG39&gt;=KONVERSI!$A$6,KONVERSI!$E$13,IF(KG39&gt;=KONVERSI!$A$7,KONVERSI!$E$14,KONVERSI!$E$15))))</f>
        <v/>
      </c>
      <c r="KI39" s="134" t="str">
        <f>IF(GC39="","",IF(GC39&lt;$GD$3," "&amp;KONVERSI!$C$19&amp;INDEX($JJ$8:$KC$8,MATCH(KG40,JJ40:KC40,0))&amp;".",IF(GC39=0,"",IF(KG39&lt;&gt;0,KF39&amp;KH39&amp;".",KF39&amp;"."))))</f>
        <v/>
      </c>
      <c r="KJ39" s="235" t="str">
        <f t="shared" si="144"/>
        <v/>
      </c>
      <c r="KK39" s="235" t="str">
        <f t="shared" si="145"/>
        <v/>
      </c>
      <c r="KL39" s="235" t="str">
        <f t="shared" si="146"/>
        <v/>
      </c>
      <c r="KM39" s="235" t="str">
        <f t="shared" si="147"/>
        <v/>
      </c>
      <c r="KN39" s="235" t="str">
        <f t="shared" si="148"/>
        <v/>
      </c>
      <c r="KO39" s="235" t="str">
        <f t="shared" si="149"/>
        <v/>
      </c>
      <c r="KP39" s="235" t="str">
        <f t="shared" si="150"/>
        <v/>
      </c>
      <c r="KQ39" s="235" t="str">
        <f t="shared" si="151"/>
        <v/>
      </c>
      <c r="KR39" s="235" t="str">
        <f t="shared" si="152"/>
        <v/>
      </c>
      <c r="KS39" s="235" t="str">
        <f t="shared" si="153"/>
        <v/>
      </c>
      <c r="KT39" s="235" t="str">
        <f t="shared" si="154"/>
        <v/>
      </c>
      <c r="KU39" s="235" t="str">
        <f t="shared" si="155"/>
        <v/>
      </c>
      <c r="KV39" s="235" t="str">
        <f t="shared" si="156"/>
        <v/>
      </c>
      <c r="KW39" s="235" t="str">
        <f t="shared" si="157"/>
        <v/>
      </c>
      <c r="KX39" s="235" t="str">
        <f t="shared" si="158"/>
        <v/>
      </c>
      <c r="KY39" s="235" t="str">
        <f t="shared" si="159"/>
        <v/>
      </c>
      <c r="KZ39" s="235" t="str">
        <f t="shared" si="160"/>
        <v/>
      </c>
      <c r="LA39" s="235" t="str">
        <f t="shared" si="161"/>
        <v/>
      </c>
      <c r="LB39" s="235" t="str">
        <f t="shared" si="162"/>
        <v/>
      </c>
      <c r="LC39" s="235" t="str">
        <f t="shared" si="163"/>
        <v/>
      </c>
      <c r="LD39" s="134" t="str">
        <f t="shared" si="164"/>
        <v/>
      </c>
      <c r="LE39" s="134" t="str">
        <f t="shared" si="164"/>
        <v/>
      </c>
      <c r="LF39" s="134" t="str">
        <f t="shared" si="164"/>
        <v/>
      </c>
      <c r="LG39" s="134" t="str">
        <f t="shared" si="164"/>
        <v/>
      </c>
      <c r="LH39" s="134" t="str">
        <f t="shared" si="164"/>
        <v/>
      </c>
      <c r="LI39" s="134" t="str">
        <f t="shared" si="164"/>
        <v/>
      </c>
      <c r="LJ39" s="134" t="str">
        <f t="shared" si="164"/>
        <v/>
      </c>
      <c r="LK39" s="134" t="str">
        <f t="shared" si="164"/>
        <v/>
      </c>
      <c r="LL39" s="134" t="str">
        <f t="shared" si="164"/>
        <v/>
      </c>
      <c r="LM39" s="134" t="str">
        <f t="shared" si="190"/>
        <v/>
      </c>
      <c r="LN39" s="134" t="str">
        <f t="shared" si="190"/>
        <v/>
      </c>
      <c r="LO39" s="134" t="str">
        <f t="shared" si="190"/>
        <v/>
      </c>
      <c r="LP39" s="134" t="str">
        <f t="shared" si="190"/>
        <v/>
      </c>
      <c r="LQ39" s="134" t="str">
        <f t="shared" si="190"/>
        <v/>
      </c>
      <c r="LR39" s="134" t="str">
        <f t="shared" si="190"/>
        <v/>
      </c>
      <c r="LS39" s="134" t="str">
        <f t="shared" si="190"/>
        <v/>
      </c>
      <c r="LT39" s="134" t="str">
        <f t="shared" si="190"/>
        <v/>
      </c>
      <c r="LU39" s="134" t="str">
        <f t="shared" si="190"/>
        <v/>
      </c>
      <c r="LV39" s="134" t="str">
        <f t="shared" si="190"/>
        <v/>
      </c>
      <c r="LW39" s="134" t="str">
        <f t="shared" si="190"/>
        <v/>
      </c>
      <c r="LX39" s="134" t="str">
        <f t="shared" si="165"/>
        <v/>
      </c>
      <c r="LY39" s="134" t="str">
        <f t="shared" si="166"/>
        <v>  </v>
      </c>
      <c r="LZ39" s="236">
        <f t="shared" si="97"/>
        <v>0</v>
      </c>
      <c r="MA39" s="235" t="str">
        <f t="shared" si="167"/>
        <v/>
      </c>
      <c r="MB39" s="235" t="str">
        <f t="shared" si="168"/>
        <v/>
      </c>
      <c r="MC39" s="235" t="str">
        <f t="shared" si="169"/>
        <v/>
      </c>
      <c r="MD39" s="235" t="str">
        <f t="shared" si="170"/>
        <v/>
      </c>
      <c r="ME39" s="235" t="str">
        <f t="shared" si="171"/>
        <v/>
      </c>
      <c r="MF39" s="235" t="str">
        <f t="shared" si="172"/>
        <v/>
      </c>
      <c r="MG39" s="235" t="str">
        <f t="shared" si="173"/>
        <v/>
      </c>
      <c r="MH39" s="235" t="str">
        <f t="shared" si="174"/>
        <v/>
      </c>
      <c r="MI39" s="235" t="str">
        <f t="shared" si="175"/>
        <v/>
      </c>
      <c r="MJ39" s="235" t="str">
        <f t="shared" si="176"/>
        <v/>
      </c>
      <c r="MK39" s="235" t="str">
        <f t="shared" si="177"/>
        <v/>
      </c>
      <c r="ML39" s="235" t="str">
        <f t="shared" si="178"/>
        <v/>
      </c>
      <c r="MM39" s="235" t="str">
        <f t="shared" si="179"/>
        <v/>
      </c>
      <c r="MN39" s="235" t="str">
        <f t="shared" si="180"/>
        <v/>
      </c>
      <c r="MO39" s="235" t="str">
        <f t="shared" si="181"/>
        <v/>
      </c>
      <c r="MP39" s="235" t="str">
        <f t="shared" si="182"/>
        <v/>
      </c>
      <c r="MQ39" s="235" t="str">
        <f t="shared" si="183"/>
        <v/>
      </c>
      <c r="MR39" s="235" t="str">
        <f t="shared" si="184"/>
        <v/>
      </c>
      <c r="MS39" s="235" t="str">
        <f t="shared" si="185"/>
        <v/>
      </c>
      <c r="MT39" s="235" t="str">
        <f t="shared" si="186"/>
        <v/>
      </c>
      <c r="MU39" s="134" t="str">
        <f t="shared" si="187"/>
        <v/>
      </c>
      <c r="MV39" s="134" t="str">
        <f t="shared" si="187"/>
        <v/>
      </c>
      <c r="MW39" s="134" t="str">
        <f t="shared" si="187"/>
        <v/>
      </c>
      <c r="MX39" s="134" t="str">
        <f t="shared" si="187"/>
        <v/>
      </c>
      <c r="MY39" s="134" t="str">
        <f t="shared" si="187"/>
        <v/>
      </c>
      <c r="MZ39" s="134" t="str">
        <f t="shared" si="187"/>
        <v/>
      </c>
      <c r="NA39" s="134" t="str">
        <f t="shared" si="187"/>
        <v/>
      </c>
      <c r="NB39" s="134" t="str">
        <f t="shared" si="187"/>
        <v/>
      </c>
      <c r="NC39" s="134" t="str">
        <f t="shared" si="187"/>
        <v/>
      </c>
      <c r="ND39" s="134" t="str">
        <f t="shared" si="191"/>
        <v/>
      </c>
      <c r="NE39" s="134" t="str">
        <f t="shared" si="191"/>
        <v/>
      </c>
      <c r="NF39" s="134" t="str">
        <f t="shared" si="191"/>
        <v/>
      </c>
      <c r="NG39" s="134" t="str">
        <f t="shared" si="191"/>
        <v/>
      </c>
      <c r="NH39" s="134" t="str">
        <f t="shared" si="191"/>
        <v/>
      </c>
      <c r="NI39" s="134" t="str">
        <f t="shared" si="191"/>
        <v/>
      </c>
      <c r="NJ39" s="134" t="str">
        <f t="shared" si="191"/>
        <v/>
      </c>
      <c r="NK39" s="134" t="str">
        <f t="shared" si="191"/>
        <v/>
      </c>
      <c r="NL39" s="134" t="str">
        <f t="shared" si="191"/>
        <v/>
      </c>
      <c r="NM39" s="134" t="str">
        <f t="shared" si="191"/>
        <v/>
      </c>
      <c r="NN39" s="134" t="str">
        <f t="shared" si="191"/>
        <v/>
      </c>
      <c r="NO39" s="134" t="str">
        <f>IF(KE39=KH39,"",IF(KG39="","",IF(KG39&gt;=KONVERSI!$A$14,'KI4'!KH39&amp;" dalam"&amp;MU39&amp;MV39&amp;MW39&amp;MX39&amp;MY39&amp;MZ39&amp;NA39&amp;NB39&amp;NC39&amp;ND39&amp;NE39&amp;NF39&amp;NG39&amp;NH39&amp;NI39&amp;NJ39&amp;NK39&amp;NL39&amp;NM39&amp;NN39,KONVERSI!$C$19&amp;" dalam"&amp;MU39&amp;MV39&amp;MW39&amp;MX39&amp;MY39&amp;MZ39&amp;NA39&amp;NB39&amp;NC39&amp;ND39&amp;NE39&amp;NF39&amp;NG39&amp;NH39&amp;NI39&amp;NJ39&amp;NK39&amp;NL39&amp;NM39&amp;NN39)))</f>
        <v/>
      </c>
      <c r="NP39" s="134" t="str">
        <f t="shared" si="188"/>
        <v/>
      </c>
      <c r="NQ39" s="236">
        <f t="shared" si="111"/>
        <v>0</v>
      </c>
      <c r="NR39" s="134" t="str">
        <f t="shared" si="189"/>
        <v/>
      </c>
    </row>
    <row r="40" ht="27.6" customHeight="1" spans="1:382">
      <c r="A40" s="136"/>
      <c r="B40" s="177">
        <v>32</v>
      </c>
      <c r="C40" s="180">
        <f>siswa!C36</f>
        <v>0</v>
      </c>
      <c r="D40" s="174">
        <f>siswa!D36</f>
        <v>0</v>
      </c>
      <c r="E40" s="181"/>
      <c r="F40" s="176"/>
      <c r="G40" s="176"/>
      <c r="H40" s="176"/>
      <c r="I40" s="176"/>
      <c r="J40" s="176"/>
      <c r="K40" s="176"/>
      <c r="L40" s="176"/>
      <c r="M40" s="194" t="str">
        <f t="shared" si="2"/>
        <v/>
      </c>
      <c r="N40" s="181"/>
      <c r="O40" s="176"/>
      <c r="P40" s="176"/>
      <c r="Q40" s="176"/>
      <c r="R40" s="176"/>
      <c r="S40" s="176"/>
      <c r="T40" s="176"/>
      <c r="U40" s="176"/>
      <c r="V40" s="194" t="str">
        <f t="shared" si="3"/>
        <v/>
      </c>
      <c r="W40" s="181"/>
      <c r="X40" s="176"/>
      <c r="Y40" s="176"/>
      <c r="Z40" s="176"/>
      <c r="AA40" s="176"/>
      <c r="AB40" s="176"/>
      <c r="AC40" s="176"/>
      <c r="AD40" s="176"/>
      <c r="AE40" s="194" t="str">
        <f t="shared" si="4"/>
        <v/>
      </c>
      <c r="AF40" s="181"/>
      <c r="AG40" s="176"/>
      <c r="AH40" s="176"/>
      <c r="AI40" s="176"/>
      <c r="AJ40" s="176"/>
      <c r="AK40" s="176"/>
      <c r="AL40" s="176"/>
      <c r="AM40" s="176"/>
      <c r="AN40" s="194" t="str">
        <f t="shared" si="5"/>
        <v/>
      </c>
      <c r="AO40" s="181"/>
      <c r="AP40" s="176"/>
      <c r="AQ40" s="176"/>
      <c r="AR40" s="176"/>
      <c r="AS40" s="176"/>
      <c r="AT40" s="176"/>
      <c r="AU40" s="176"/>
      <c r="AV40" s="176"/>
      <c r="AW40" s="194" t="str">
        <f t="shared" si="112"/>
        <v/>
      </c>
      <c r="AX40" s="181"/>
      <c r="AY40" s="176"/>
      <c r="AZ40" s="176"/>
      <c r="BA40" s="176"/>
      <c r="BB40" s="176"/>
      <c r="BC40" s="176"/>
      <c r="BD40" s="176"/>
      <c r="BE40" s="176"/>
      <c r="BF40" s="194" t="str">
        <f t="shared" si="6"/>
        <v/>
      </c>
      <c r="BG40" s="181"/>
      <c r="BH40" s="176"/>
      <c r="BI40" s="176"/>
      <c r="BJ40" s="176"/>
      <c r="BK40" s="176"/>
      <c r="BL40" s="176"/>
      <c r="BM40" s="176"/>
      <c r="BN40" s="176"/>
      <c r="BO40" s="194" t="str">
        <f t="shared" si="113"/>
        <v/>
      </c>
      <c r="BP40" s="181"/>
      <c r="BQ40" s="176"/>
      <c r="BR40" s="176"/>
      <c r="BS40" s="176"/>
      <c r="BT40" s="176"/>
      <c r="BU40" s="176"/>
      <c r="BV40" s="176"/>
      <c r="BW40" s="176"/>
      <c r="BX40" s="194" t="str">
        <f t="shared" si="114"/>
        <v/>
      </c>
      <c r="BY40" s="181"/>
      <c r="BZ40" s="176"/>
      <c r="CA40" s="176"/>
      <c r="CB40" s="176"/>
      <c r="CC40" s="176"/>
      <c r="CD40" s="176"/>
      <c r="CE40" s="176"/>
      <c r="CF40" s="176"/>
      <c r="CG40" s="194" t="str">
        <f t="shared" si="115"/>
        <v/>
      </c>
      <c r="CH40" s="181"/>
      <c r="CI40" s="176"/>
      <c r="CJ40" s="176"/>
      <c r="CK40" s="176"/>
      <c r="CL40" s="176"/>
      <c r="CM40" s="176"/>
      <c r="CN40" s="176"/>
      <c r="CO40" s="176"/>
      <c r="CP40" s="194" t="str">
        <f t="shared" si="7"/>
        <v/>
      </c>
      <c r="CQ40" s="181"/>
      <c r="CR40" s="176"/>
      <c r="CS40" s="176"/>
      <c r="CT40" s="176"/>
      <c r="CU40" s="176"/>
      <c r="CV40" s="176"/>
      <c r="CW40" s="176"/>
      <c r="CX40" s="176"/>
      <c r="CY40" s="194" t="str">
        <f t="shared" si="116"/>
        <v/>
      </c>
      <c r="CZ40" s="181"/>
      <c r="DA40" s="176"/>
      <c r="DB40" s="176"/>
      <c r="DC40" s="176"/>
      <c r="DD40" s="176"/>
      <c r="DE40" s="176"/>
      <c r="DF40" s="176"/>
      <c r="DG40" s="176"/>
      <c r="DH40" s="194" t="str">
        <f t="shared" si="8"/>
        <v/>
      </c>
      <c r="DI40" s="181"/>
      <c r="DJ40" s="176"/>
      <c r="DK40" s="176"/>
      <c r="DL40" s="176"/>
      <c r="DM40" s="176"/>
      <c r="DN40" s="176"/>
      <c r="DO40" s="176"/>
      <c r="DP40" s="176"/>
      <c r="DQ40" s="194" t="str">
        <f t="shared" si="117"/>
        <v/>
      </c>
      <c r="DR40" s="181"/>
      <c r="DS40" s="176"/>
      <c r="DT40" s="176"/>
      <c r="DU40" s="176"/>
      <c r="DV40" s="176"/>
      <c r="DW40" s="176"/>
      <c r="DX40" s="176"/>
      <c r="DY40" s="176"/>
      <c r="DZ40" s="194" t="str">
        <f t="shared" si="9"/>
        <v/>
      </c>
      <c r="EA40" s="181"/>
      <c r="EB40" s="176"/>
      <c r="EC40" s="176"/>
      <c r="ED40" s="176"/>
      <c r="EE40" s="176"/>
      <c r="EF40" s="176"/>
      <c r="EG40" s="176"/>
      <c r="EH40" s="176"/>
      <c r="EI40" s="194" t="str">
        <f t="shared" si="10"/>
        <v/>
      </c>
      <c r="EJ40" s="181"/>
      <c r="EK40" s="176"/>
      <c r="EL40" s="176"/>
      <c r="EM40" s="176"/>
      <c r="EN40" s="176"/>
      <c r="EO40" s="176"/>
      <c r="EP40" s="176"/>
      <c r="EQ40" s="176"/>
      <c r="ER40" s="194" t="str">
        <f t="shared" si="11"/>
        <v/>
      </c>
      <c r="ES40" s="181"/>
      <c r="ET40" s="176"/>
      <c r="EU40" s="176"/>
      <c r="EV40" s="176"/>
      <c r="EW40" s="176"/>
      <c r="EX40" s="176"/>
      <c r="EY40" s="176"/>
      <c r="EZ40" s="176"/>
      <c r="FA40" s="194" t="str">
        <f t="shared" si="12"/>
        <v/>
      </c>
      <c r="FB40" s="181"/>
      <c r="FC40" s="176"/>
      <c r="FD40" s="176"/>
      <c r="FE40" s="176"/>
      <c r="FF40" s="176"/>
      <c r="FG40" s="176"/>
      <c r="FH40" s="176"/>
      <c r="FI40" s="176"/>
      <c r="FJ40" s="194" t="str">
        <f t="shared" si="13"/>
        <v/>
      </c>
      <c r="FK40" s="181"/>
      <c r="FL40" s="176"/>
      <c r="FM40" s="176"/>
      <c r="FN40" s="176"/>
      <c r="FO40" s="176"/>
      <c r="FP40" s="176"/>
      <c r="FQ40" s="176"/>
      <c r="FR40" s="176"/>
      <c r="FS40" s="194" t="str">
        <f t="shared" si="14"/>
        <v/>
      </c>
      <c r="FT40" s="181"/>
      <c r="FU40" s="176"/>
      <c r="FV40" s="176"/>
      <c r="FW40" s="176"/>
      <c r="FX40" s="176"/>
      <c r="FY40" s="176"/>
      <c r="FZ40" s="176"/>
      <c r="GA40" s="176"/>
      <c r="GB40" s="194" t="str">
        <f t="shared" si="118"/>
        <v/>
      </c>
      <c r="GC40" s="194" t="str">
        <f t="shared" si="119"/>
        <v/>
      </c>
      <c r="GD40" s="194" t="str">
        <f>IF(GC40="","",IF(GC40&gt;=KONVERSI!$A$5,KONVERSI!$D$5,IF(GC40&gt;=KONVERSI!$A$6,KONVERSI!$D$6,IF(GC40&gt;=KONVERSI!$A$7,KONVERSI!$D$7,KONVERSI!$D$8))))</f>
        <v/>
      </c>
      <c r="GE40" s="194" t="str">
        <f t="shared" si="120"/>
        <v/>
      </c>
      <c r="GF40" s="222"/>
      <c r="GG40" s="223">
        <f t="shared" si="15"/>
        <v>0</v>
      </c>
      <c r="GH40" s="194">
        <f t="shared" si="16"/>
        <v>0</v>
      </c>
      <c r="GI40" s="194">
        <f t="shared" si="17"/>
        <v>0</v>
      </c>
      <c r="GJ40" s="194">
        <f t="shared" si="18"/>
        <v>0</v>
      </c>
      <c r="GK40" s="194">
        <f t="shared" si="19"/>
        <v>0</v>
      </c>
      <c r="GL40" s="194">
        <f t="shared" si="20"/>
        <v>0</v>
      </c>
      <c r="GM40" s="194">
        <f t="shared" si="21"/>
        <v>0</v>
      </c>
      <c r="GN40" s="194">
        <f t="shared" si="22"/>
        <v>0</v>
      </c>
      <c r="GO40" s="194">
        <f t="shared" si="23"/>
        <v>0</v>
      </c>
      <c r="GP40" s="194">
        <f t="shared" si="24"/>
        <v>0</v>
      </c>
      <c r="GQ40" s="194">
        <f t="shared" si="25"/>
        <v>0</v>
      </c>
      <c r="GR40" s="194">
        <f t="shared" si="26"/>
        <v>0</v>
      </c>
      <c r="GS40" s="194">
        <f t="shared" si="27"/>
        <v>0</v>
      </c>
      <c r="GT40" s="194">
        <f t="shared" si="28"/>
        <v>0</v>
      </c>
      <c r="GU40" s="194">
        <f t="shared" si="29"/>
        <v>0</v>
      </c>
      <c r="GV40" s="194">
        <f t="shared" si="30"/>
        <v>0</v>
      </c>
      <c r="GW40" s="194">
        <f t="shared" si="31"/>
        <v>0</v>
      </c>
      <c r="GX40" s="194">
        <f t="shared" si="32"/>
        <v>0</v>
      </c>
      <c r="GY40" s="194">
        <f t="shared" si="33"/>
        <v>0</v>
      </c>
      <c r="GZ40" s="194">
        <f t="shared" si="34"/>
        <v>0</v>
      </c>
      <c r="HA40" s="194">
        <f t="shared" si="35"/>
        <v>0</v>
      </c>
      <c r="HB40" s="194">
        <f t="shared" si="36"/>
        <v>0</v>
      </c>
      <c r="HC40" s="194">
        <f t="shared" si="37"/>
        <v>0</v>
      </c>
      <c r="HD40" s="194">
        <f t="shared" si="38"/>
        <v>0</v>
      </c>
      <c r="HE40" s="194">
        <f t="shared" si="39"/>
        <v>0</v>
      </c>
      <c r="HF40" s="194">
        <f t="shared" si="40"/>
        <v>0</v>
      </c>
      <c r="HG40" s="194">
        <f t="shared" si="41"/>
        <v>0</v>
      </c>
      <c r="HH40" s="194">
        <f t="shared" si="42"/>
        <v>0</v>
      </c>
      <c r="HI40" s="194">
        <f t="shared" si="43"/>
        <v>0</v>
      </c>
      <c r="HJ40" s="194">
        <f t="shared" si="44"/>
        <v>0</v>
      </c>
      <c r="HK40" s="194">
        <f t="shared" si="45"/>
        <v>0</v>
      </c>
      <c r="HL40" s="194">
        <f t="shared" si="46"/>
        <v>0</v>
      </c>
      <c r="HM40" s="194">
        <f t="shared" si="47"/>
        <v>0</v>
      </c>
      <c r="HN40" s="194">
        <f t="shared" si="48"/>
        <v>0</v>
      </c>
      <c r="HO40" s="194">
        <f t="shared" si="49"/>
        <v>0</v>
      </c>
      <c r="HP40" s="194">
        <f t="shared" si="50"/>
        <v>0</v>
      </c>
      <c r="HQ40" s="194">
        <f t="shared" si="51"/>
        <v>0</v>
      </c>
      <c r="HR40" s="194">
        <f t="shared" si="52"/>
        <v>0</v>
      </c>
      <c r="HS40" s="194">
        <f t="shared" si="53"/>
        <v>0</v>
      </c>
      <c r="HT40" s="194">
        <f t="shared" si="54"/>
        <v>0</v>
      </c>
      <c r="HU40" s="194">
        <f t="shared" si="55"/>
        <v>0</v>
      </c>
      <c r="HV40" s="194">
        <f t="shared" si="56"/>
        <v>0</v>
      </c>
      <c r="HW40" s="194">
        <f t="shared" si="57"/>
        <v>0</v>
      </c>
      <c r="HX40" s="194">
        <f t="shared" si="58"/>
        <v>0</v>
      </c>
      <c r="HY40" s="194">
        <f t="shared" si="59"/>
        <v>0</v>
      </c>
      <c r="HZ40" s="194">
        <f t="shared" si="60"/>
        <v>0</v>
      </c>
      <c r="IA40" s="194">
        <f t="shared" si="61"/>
        <v>0</v>
      </c>
      <c r="IB40" s="194">
        <f t="shared" si="62"/>
        <v>0</v>
      </c>
      <c r="IC40" s="194">
        <f t="shared" si="63"/>
        <v>0</v>
      </c>
      <c r="ID40" s="194">
        <f t="shared" si="64"/>
        <v>0</v>
      </c>
      <c r="IE40" s="194">
        <f t="shared" si="65"/>
        <v>0</v>
      </c>
      <c r="IF40" s="194">
        <f t="shared" si="66"/>
        <v>0</v>
      </c>
      <c r="IG40" s="194">
        <f t="shared" si="67"/>
        <v>0</v>
      </c>
      <c r="IH40" s="194">
        <f t="shared" si="68"/>
        <v>0</v>
      </c>
      <c r="II40" s="194">
        <f t="shared" si="69"/>
        <v>0</v>
      </c>
      <c r="IJ40" s="194">
        <f t="shared" si="70"/>
        <v>0</v>
      </c>
      <c r="IK40" s="194">
        <f t="shared" si="71"/>
        <v>0</v>
      </c>
      <c r="IL40" s="194">
        <f t="shared" si="72"/>
        <v>0</v>
      </c>
      <c r="IM40" s="194">
        <f t="shared" si="73"/>
        <v>0</v>
      </c>
      <c r="IN40" s="194">
        <f t="shared" si="74"/>
        <v>0</v>
      </c>
      <c r="IO40" s="194">
        <f t="shared" si="75"/>
        <v>0</v>
      </c>
      <c r="IP40" s="194">
        <f t="shared" si="76"/>
        <v>0</v>
      </c>
      <c r="IQ40" s="194">
        <f t="shared" si="77"/>
        <v>0</v>
      </c>
      <c r="IR40" s="194">
        <f t="shared" si="78"/>
        <v>0</v>
      </c>
      <c r="IS40" s="194">
        <f t="shared" si="79"/>
        <v>0</v>
      </c>
      <c r="IT40" s="194">
        <f t="shared" si="80"/>
        <v>0</v>
      </c>
      <c r="IU40" s="194">
        <f t="shared" si="81"/>
        <v>0</v>
      </c>
      <c r="IV40" s="194">
        <f t="shared" si="82"/>
        <v>0</v>
      </c>
      <c r="IW40" s="194">
        <f t="shared" si="83"/>
        <v>0</v>
      </c>
      <c r="IX40" s="194">
        <f t="shared" si="84"/>
        <v>0</v>
      </c>
      <c r="IY40" s="194">
        <f t="shared" si="85"/>
        <v>0</v>
      </c>
      <c r="IZ40" s="194">
        <f t="shared" si="86"/>
        <v>0</v>
      </c>
      <c r="JA40" s="194">
        <f t="shared" si="87"/>
        <v>0</v>
      </c>
      <c r="JB40" s="194">
        <f t="shared" si="88"/>
        <v>0</v>
      </c>
      <c r="JC40" s="194">
        <f t="shared" si="89"/>
        <v>0</v>
      </c>
      <c r="JD40" s="194">
        <f t="shared" si="90"/>
        <v>0</v>
      </c>
      <c r="JE40" s="194">
        <f t="shared" si="91"/>
        <v>0</v>
      </c>
      <c r="JF40" s="194">
        <f t="shared" si="92"/>
        <v>0</v>
      </c>
      <c r="JG40" s="194">
        <f t="shared" si="93"/>
        <v>0</v>
      </c>
      <c r="JH40" s="194">
        <f t="shared" si="94"/>
        <v>0</v>
      </c>
      <c r="JI40" s="228">
        <v>32</v>
      </c>
      <c r="JJ40" s="229" t="str">
        <f t="shared" si="121"/>
        <v/>
      </c>
      <c r="JK40" s="229" t="str">
        <f t="shared" si="122"/>
        <v/>
      </c>
      <c r="JL40" s="229" t="str">
        <f t="shared" si="123"/>
        <v/>
      </c>
      <c r="JM40" s="229" t="str">
        <f t="shared" si="124"/>
        <v/>
      </c>
      <c r="JN40" s="229" t="str">
        <f t="shared" si="125"/>
        <v/>
      </c>
      <c r="JO40" s="229" t="str">
        <f t="shared" si="126"/>
        <v/>
      </c>
      <c r="JP40" s="229" t="str">
        <f t="shared" si="127"/>
        <v/>
      </c>
      <c r="JQ40" s="229" t="str">
        <f t="shared" si="128"/>
        <v/>
      </c>
      <c r="JR40" s="229" t="str">
        <f t="shared" si="129"/>
        <v/>
      </c>
      <c r="JS40" s="229" t="str">
        <f t="shared" si="130"/>
        <v/>
      </c>
      <c r="JT40" s="229" t="str">
        <f t="shared" si="131"/>
        <v/>
      </c>
      <c r="JU40" s="229" t="str">
        <f t="shared" si="132"/>
        <v/>
      </c>
      <c r="JV40" s="229" t="str">
        <f t="shared" si="133"/>
        <v/>
      </c>
      <c r="JW40" s="229" t="str">
        <f t="shared" si="134"/>
        <v/>
      </c>
      <c r="JX40" s="229" t="str">
        <f t="shared" si="135"/>
        <v/>
      </c>
      <c r="JY40" s="229" t="str">
        <f t="shared" si="136"/>
        <v/>
      </c>
      <c r="JZ40" s="229" t="str">
        <f t="shared" si="137"/>
        <v/>
      </c>
      <c r="KA40" s="229" t="str">
        <f t="shared" si="138"/>
        <v/>
      </c>
      <c r="KB40" s="229" t="str">
        <f t="shared" si="139"/>
        <v/>
      </c>
      <c r="KC40" s="229" t="str">
        <f t="shared" si="140"/>
        <v/>
      </c>
      <c r="KD40" s="231" t="str">
        <f t="shared" si="141"/>
        <v/>
      </c>
      <c r="KE40" s="232" t="str">
        <f>IF(KD40="","",IF(KD40&gt;=KONVERSI!$A$5,KONVERSI!$E$12,IF(KD40&gt;=KONVERSI!$A$6,KONVERSI!$E$13,IF(KD40&gt;=KONVERSI!$A$7,KONVERSI!$E$14,KONVERSI!$E$15))))</f>
        <v/>
      </c>
      <c r="KF40" s="233" t="str">
        <f t="shared" si="142"/>
        <v/>
      </c>
      <c r="KG40" s="234" t="str">
        <f t="shared" si="143"/>
        <v/>
      </c>
      <c r="KH40" s="232" t="str">
        <f>IF(KG40="","",IF(KG40&gt;=KONVERSI!$A$5,KONVERSI!$E$12,IF(KG40&gt;=KONVERSI!$A$6,KONVERSI!$E$13,IF(KG40&gt;=KONVERSI!$A$7,KONVERSI!$E$14,KONVERSI!$E$15))))</f>
        <v/>
      </c>
      <c r="KI40" s="134" t="str">
        <f>IF(GC40="","",IF(GC40&lt;$GD$3," "&amp;KONVERSI!$C$19&amp;INDEX($JJ$8:$KC$8,MATCH(KG41,JJ41:KC41,0))&amp;".",IF(GC40=0,"",IF(KG40&lt;&gt;0,KF40&amp;KH40&amp;".",KF40&amp;"."))))</f>
        <v/>
      </c>
      <c r="KJ40" s="235" t="str">
        <f t="shared" si="144"/>
        <v/>
      </c>
      <c r="KK40" s="235" t="str">
        <f t="shared" si="145"/>
        <v/>
      </c>
      <c r="KL40" s="235" t="str">
        <f t="shared" si="146"/>
        <v/>
      </c>
      <c r="KM40" s="235" t="str">
        <f t="shared" si="147"/>
        <v/>
      </c>
      <c r="KN40" s="235" t="str">
        <f t="shared" si="148"/>
        <v/>
      </c>
      <c r="KO40" s="235" t="str">
        <f t="shared" si="149"/>
        <v/>
      </c>
      <c r="KP40" s="235" t="str">
        <f t="shared" si="150"/>
        <v/>
      </c>
      <c r="KQ40" s="235" t="str">
        <f t="shared" si="151"/>
        <v/>
      </c>
      <c r="KR40" s="235" t="str">
        <f t="shared" si="152"/>
        <v/>
      </c>
      <c r="KS40" s="235" t="str">
        <f t="shared" si="153"/>
        <v/>
      </c>
      <c r="KT40" s="235" t="str">
        <f t="shared" si="154"/>
        <v/>
      </c>
      <c r="KU40" s="235" t="str">
        <f t="shared" si="155"/>
        <v/>
      </c>
      <c r="KV40" s="235" t="str">
        <f t="shared" si="156"/>
        <v/>
      </c>
      <c r="KW40" s="235" t="str">
        <f t="shared" si="157"/>
        <v/>
      </c>
      <c r="KX40" s="235" t="str">
        <f t="shared" si="158"/>
        <v/>
      </c>
      <c r="KY40" s="235" t="str">
        <f t="shared" si="159"/>
        <v/>
      </c>
      <c r="KZ40" s="235" t="str">
        <f t="shared" si="160"/>
        <v/>
      </c>
      <c r="LA40" s="235" t="str">
        <f t="shared" si="161"/>
        <v/>
      </c>
      <c r="LB40" s="235" t="str">
        <f t="shared" si="162"/>
        <v/>
      </c>
      <c r="LC40" s="235" t="str">
        <f t="shared" si="163"/>
        <v/>
      </c>
      <c r="LD40" s="134" t="str">
        <f t="shared" si="164"/>
        <v/>
      </c>
      <c r="LE40" s="134" t="str">
        <f t="shared" si="164"/>
        <v/>
      </c>
      <c r="LF40" s="134" t="str">
        <f t="shared" si="164"/>
        <v/>
      </c>
      <c r="LG40" s="134" t="str">
        <f t="shared" si="164"/>
        <v/>
      </c>
      <c r="LH40" s="134" t="str">
        <f t="shared" si="164"/>
        <v/>
      </c>
      <c r="LI40" s="134" t="str">
        <f t="shared" si="164"/>
        <v/>
      </c>
      <c r="LJ40" s="134" t="str">
        <f t="shared" si="164"/>
        <v/>
      </c>
      <c r="LK40" s="134" t="str">
        <f t="shared" si="164"/>
        <v/>
      </c>
      <c r="LL40" s="134" t="str">
        <f t="shared" si="164"/>
        <v/>
      </c>
      <c r="LM40" s="134" t="str">
        <f t="shared" si="190"/>
        <v/>
      </c>
      <c r="LN40" s="134" t="str">
        <f t="shared" si="190"/>
        <v/>
      </c>
      <c r="LO40" s="134" t="str">
        <f t="shared" si="190"/>
        <v/>
      </c>
      <c r="LP40" s="134" t="str">
        <f t="shared" si="190"/>
        <v/>
      </c>
      <c r="LQ40" s="134" t="str">
        <f t="shared" si="190"/>
        <v/>
      </c>
      <c r="LR40" s="134" t="str">
        <f t="shared" si="190"/>
        <v/>
      </c>
      <c r="LS40" s="134" t="str">
        <f t="shared" si="190"/>
        <v/>
      </c>
      <c r="LT40" s="134" t="str">
        <f t="shared" si="190"/>
        <v/>
      </c>
      <c r="LU40" s="134" t="str">
        <f t="shared" si="190"/>
        <v/>
      </c>
      <c r="LV40" s="134" t="str">
        <f t="shared" si="190"/>
        <v/>
      </c>
      <c r="LW40" s="134" t="str">
        <f t="shared" si="190"/>
        <v/>
      </c>
      <c r="LX40" s="134" t="str">
        <f t="shared" si="165"/>
        <v/>
      </c>
      <c r="LY40" s="134" t="str">
        <f t="shared" si="166"/>
        <v>  </v>
      </c>
      <c r="LZ40" s="236">
        <f t="shared" si="97"/>
        <v>0</v>
      </c>
      <c r="MA40" s="235" t="str">
        <f t="shared" si="167"/>
        <v/>
      </c>
      <c r="MB40" s="235" t="str">
        <f t="shared" si="168"/>
        <v/>
      </c>
      <c r="MC40" s="235" t="str">
        <f t="shared" si="169"/>
        <v/>
      </c>
      <c r="MD40" s="235" t="str">
        <f t="shared" si="170"/>
        <v/>
      </c>
      <c r="ME40" s="235" t="str">
        <f t="shared" si="171"/>
        <v/>
      </c>
      <c r="MF40" s="235" t="str">
        <f t="shared" si="172"/>
        <v/>
      </c>
      <c r="MG40" s="235" t="str">
        <f t="shared" si="173"/>
        <v/>
      </c>
      <c r="MH40" s="235" t="str">
        <f t="shared" si="174"/>
        <v/>
      </c>
      <c r="MI40" s="235" t="str">
        <f t="shared" si="175"/>
        <v/>
      </c>
      <c r="MJ40" s="235" t="str">
        <f t="shared" si="176"/>
        <v/>
      </c>
      <c r="MK40" s="235" t="str">
        <f t="shared" si="177"/>
        <v/>
      </c>
      <c r="ML40" s="235" t="str">
        <f t="shared" si="178"/>
        <v/>
      </c>
      <c r="MM40" s="235" t="str">
        <f t="shared" si="179"/>
        <v/>
      </c>
      <c r="MN40" s="235" t="str">
        <f t="shared" si="180"/>
        <v/>
      </c>
      <c r="MO40" s="235" t="str">
        <f t="shared" si="181"/>
        <v/>
      </c>
      <c r="MP40" s="235" t="str">
        <f t="shared" si="182"/>
        <v/>
      </c>
      <c r="MQ40" s="235" t="str">
        <f t="shared" si="183"/>
        <v/>
      </c>
      <c r="MR40" s="235" t="str">
        <f t="shared" si="184"/>
        <v/>
      </c>
      <c r="MS40" s="235" t="str">
        <f t="shared" si="185"/>
        <v/>
      </c>
      <c r="MT40" s="235" t="str">
        <f t="shared" si="186"/>
        <v/>
      </c>
      <c r="MU40" s="134" t="str">
        <f t="shared" si="187"/>
        <v/>
      </c>
      <c r="MV40" s="134" t="str">
        <f t="shared" si="187"/>
        <v/>
      </c>
      <c r="MW40" s="134" t="str">
        <f t="shared" si="187"/>
        <v/>
      </c>
      <c r="MX40" s="134" t="str">
        <f t="shared" si="187"/>
        <v/>
      </c>
      <c r="MY40" s="134" t="str">
        <f t="shared" si="187"/>
        <v/>
      </c>
      <c r="MZ40" s="134" t="str">
        <f t="shared" si="187"/>
        <v/>
      </c>
      <c r="NA40" s="134" t="str">
        <f t="shared" si="187"/>
        <v/>
      </c>
      <c r="NB40" s="134" t="str">
        <f t="shared" si="187"/>
        <v/>
      </c>
      <c r="NC40" s="134" t="str">
        <f t="shared" si="187"/>
        <v/>
      </c>
      <c r="ND40" s="134" t="str">
        <f t="shared" si="191"/>
        <v/>
      </c>
      <c r="NE40" s="134" t="str">
        <f t="shared" si="191"/>
        <v/>
      </c>
      <c r="NF40" s="134" t="str">
        <f t="shared" si="191"/>
        <v/>
      </c>
      <c r="NG40" s="134" t="str">
        <f t="shared" si="191"/>
        <v/>
      </c>
      <c r="NH40" s="134" t="str">
        <f t="shared" si="191"/>
        <v/>
      </c>
      <c r="NI40" s="134" t="str">
        <f t="shared" si="191"/>
        <v/>
      </c>
      <c r="NJ40" s="134" t="str">
        <f t="shared" si="191"/>
        <v/>
      </c>
      <c r="NK40" s="134" t="str">
        <f t="shared" si="191"/>
        <v/>
      </c>
      <c r="NL40" s="134" t="str">
        <f t="shared" si="191"/>
        <v/>
      </c>
      <c r="NM40" s="134" t="str">
        <f t="shared" si="191"/>
        <v/>
      </c>
      <c r="NN40" s="134" t="str">
        <f t="shared" si="191"/>
        <v/>
      </c>
      <c r="NO40" s="134" t="str">
        <f>IF(KE40=KH40,"",IF(KG40="","",IF(KG40&gt;=KONVERSI!$A$14,'KI4'!KH40&amp;" dalam"&amp;MU40&amp;MV40&amp;MW40&amp;MX40&amp;MY40&amp;MZ40&amp;NA40&amp;NB40&amp;NC40&amp;ND40&amp;NE40&amp;NF40&amp;NG40&amp;NH40&amp;NI40&amp;NJ40&amp;NK40&amp;NL40&amp;NM40&amp;NN40,KONVERSI!$C$19&amp;" dalam"&amp;MU40&amp;MV40&amp;MW40&amp;MX40&amp;MY40&amp;MZ40&amp;NA40&amp;NB40&amp;NC40&amp;ND40&amp;NE40&amp;NF40&amp;NG40&amp;NH40&amp;NI40&amp;NJ40&amp;NK40&amp;NL40&amp;NM40&amp;NN40)))</f>
        <v/>
      </c>
      <c r="NP40" s="134" t="str">
        <f t="shared" si="188"/>
        <v/>
      </c>
      <c r="NQ40" s="236">
        <f t="shared" si="111"/>
        <v>0</v>
      </c>
      <c r="NR40" s="134" t="str">
        <f t="shared" si="189"/>
        <v/>
      </c>
    </row>
    <row r="41" ht="27.6" customHeight="1" spans="1:382">
      <c r="A41" s="136"/>
      <c r="B41" s="177">
        <v>33</v>
      </c>
      <c r="C41" s="180">
        <f>siswa!C37</f>
        <v>0</v>
      </c>
      <c r="D41" s="174">
        <f>siswa!D37</f>
        <v>0</v>
      </c>
      <c r="E41" s="181"/>
      <c r="F41" s="176"/>
      <c r="G41" s="176"/>
      <c r="H41" s="176"/>
      <c r="I41" s="176"/>
      <c r="J41" s="176"/>
      <c r="K41" s="176"/>
      <c r="L41" s="176"/>
      <c r="M41" s="194" t="str">
        <f t="shared" ref="M41:M58" si="192">IFERROR(IF($E$6="","",SUM(GG41:GJ41)/(4-COUNTIF(GG41:GJ41,0))),"")</f>
        <v/>
      </c>
      <c r="N41" s="181"/>
      <c r="O41" s="176"/>
      <c r="P41" s="176"/>
      <c r="Q41" s="176"/>
      <c r="R41" s="176"/>
      <c r="S41" s="176"/>
      <c r="T41" s="176"/>
      <c r="U41" s="176"/>
      <c r="V41" s="194" t="str">
        <f t="shared" ref="V41:V58" si="193">IFERROR(IF($N$6="","",SUM(GK41:GN41)/(4-COUNTIF(GK41:GN41,0))),"")</f>
        <v/>
      </c>
      <c r="W41" s="181"/>
      <c r="X41" s="176"/>
      <c r="Y41" s="176"/>
      <c r="Z41" s="176"/>
      <c r="AA41" s="176"/>
      <c r="AB41" s="176"/>
      <c r="AC41" s="176"/>
      <c r="AD41" s="176"/>
      <c r="AE41" s="194" t="str">
        <f t="shared" ref="AE41:AE58" si="194">IFERROR(IF($W$6="","",SUM(GO41:GR41)/(4-COUNTIF(GO41:GR41,0))),"")</f>
        <v/>
      </c>
      <c r="AF41" s="181"/>
      <c r="AG41" s="176"/>
      <c r="AH41" s="176"/>
      <c r="AI41" s="176"/>
      <c r="AJ41" s="176"/>
      <c r="AK41" s="176"/>
      <c r="AL41" s="176"/>
      <c r="AM41" s="176"/>
      <c r="AN41" s="194" t="str">
        <f t="shared" ref="AN41:AN58" si="195">IFERROR(IF($AF$6="","",SUM(GS41:GV41)/(4-COUNTIF(GS41:GV41,0))),"")</f>
        <v/>
      </c>
      <c r="AO41" s="181"/>
      <c r="AP41" s="176"/>
      <c r="AQ41" s="176"/>
      <c r="AR41" s="176"/>
      <c r="AS41" s="176"/>
      <c r="AT41" s="176"/>
      <c r="AU41" s="176"/>
      <c r="AV41" s="176"/>
      <c r="AW41" s="194" t="str">
        <f t="shared" si="112"/>
        <v/>
      </c>
      <c r="AX41" s="181"/>
      <c r="AY41" s="176"/>
      <c r="AZ41" s="176"/>
      <c r="BA41" s="176"/>
      <c r="BB41" s="176"/>
      <c r="BC41" s="176"/>
      <c r="BD41" s="176"/>
      <c r="BE41" s="176"/>
      <c r="BF41" s="194" t="str">
        <f t="shared" ref="BF41:BF58" si="196">IFERROR(IF($AX$6="","",SUM(HA41:HD41)/(4-COUNTIF(HA41:HD41,0))),"")</f>
        <v/>
      </c>
      <c r="BG41" s="181"/>
      <c r="BH41" s="176"/>
      <c r="BI41" s="176"/>
      <c r="BJ41" s="176"/>
      <c r="BK41" s="176"/>
      <c r="BL41" s="176"/>
      <c r="BM41" s="176"/>
      <c r="BN41" s="176"/>
      <c r="BO41" s="194" t="str">
        <f t="shared" si="113"/>
        <v/>
      </c>
      <c r="BP41" s="181"/>
      <c r="BQ41" s="176"/>
      <c r="BR41" s="176"/>
      <c r="BS41" s="176"/>
      <c r="BT41" s="176"/>
      <c r="BU41" s="176"/>
      <c r="BV41" s="176"/>
      <c r="BW41" s="176"/>
      <c r="BX41" s="194" t="str">
        <f t="shared" si="114"/>
        <v/>
      </c>
      <c r="BY41" s="181"/>
      <c r="BZ41" s="176"/>
      <c r="CA41" s="176"/>
      <c r="CB41" s="176"/>
      <c r="CC41" s="176"/>
      <c r="CD41" s="176"/>
      <c r="CE41" s="176"/>
      <c r="CF41" s="176"/>
      <c r="CG41" s="194" t="str">
        <f t="shared" si="115"/>
        <v/>
      </c>
      <c r="CH41" s="181"/>
      <c r="CI41" s="176"/>
      <c r="CJ41" s="176"/>
      <c r="CK41" s="176"/>
      <c r="CL41" s="176"/>
      <c r="CM41" s="176"/>
      <c r="CN41" s="176"/>
      <c r="CO41" s="176"/>
      <c r="CP41" s="194" t="str">
        <f t="shared" ref="CP41:CP58" si="197">IFERROR(IF($CH$6="","",SUM(HQ41:HT41)/(4-COUNTIF(HQ41:HT41,0))),"")</f>
        <v/>
      </c>
      <c r="CQ41" s="181"/>
      <c r="CR41" s="176"/>
      <c r="CS41" s="176"/>
      <c r="CT41" s="176"/>
      <c r="CU41" s="176"/>
      <c r="CV41" s="176"/>
      <c r="CW41" s="176"/>
      <c r="CX41" s="176"/>
      <c r="CY41" s="194" t="str">
        <f t="shared" si="116"/>
        <v/>
      </c>
      <c r="CZ41" s="181"/>
      <c r="DA41" s="176"/>
      <c r="DB41" s="176"/>
      <c r="DC41" s="176"/>
      <c r="DD41" s="176"/>
      <c r="DE41" s="176"/>
      <c r="DF41" s="176"/>
      <c r="DG41" s="176"/>
      <c r="DH41" s="194" t="str">
        <f t="shared" ref="DH41:DH58" si="198">IFERROR(IF($CZ$6="","",SUM(HY41:IB41)/(4-COUNTIF(HY41:IB41,0))),"")</f>
        <v/>
      </c>
      <c r="DI41" s="181"/>
      <c r="DJ41" s="176"/>
      <c r="DK41" s="176"/>
      <c r="DL41" s="176"/>
      <c r="DM41" s="176"/>
      <c r="DN41" s="176"/>
      <c r="DO41" s="176"/>
      <c r="DP41" s="176"/>
      <c r="DQ41" s="194" t="str">
        <f t="shared" si="117"/>
        <v/>
      </c>
      <c r="DR41" s="181"/>
      <c r="DS41" s="176"/>
      <c r="DT41" s="176"/>
      <c r="DU41" s="176"/>
      <c r="DV41" s="176"/>
      <c r="DW41" s="176"/>
      <c r="DX41" s="176"/>
      <c r="DY41" s="176"/>
      <c r="DZ41" s="194" t="str">
        <f t="shared" ref="DZ41:DZ58" si="199">IFERROR(IF($DR$6="","",SUM(IG41:IJ41)/(4-COUNTIF(IG41:IJ41,0))),"")</f>
        <v/>
      </c>
      <c r="EA41" s="181"/>
      <c r="EB41" s="176"/>
      <c r="EC41" s="176"/>
      <c r="ED41" s="176"/>
      <c r="EE41" s="176"/>
      <c r="EF41" s="176"/>
      <c r="EG41" s="176"/>
      <c r="EH41" s="176"/>
      <c r="EI41" s="194" t="str">
        <f t="shared" ref="EI41:EI58" si="200">IFERROR(IF($EA$6="","",SUM(IK41:IN41)/(4-COUNTIF(IK41:IN41,0))),"")</f>
        <v/>
      </c>
      <c r="EJ41" s="181"/>
      <c r="EK41" s="176"/>
      <c r="EL41" s="176"/>
      <c r="EM41" s="176"/>
      <c r="EN41" s="176"/>
      <c r="EO41" s="176"/>
      <c r="EP41" s="176"/>
      <c r="EQ41" s="176"/>
      <c r="ER41" s="194" t="str">
        <f t="shared" ref="ER41:ER58" si="201">IFERROR(IF($EJ$6="","",SUM(IO41:IR41)/(4-COUNTIF(IO41:IR41,0))),"")</f>
        <v/>
      </c>
      <c r="ES41" s="181"/>
      <c r="ET41" s="176"/>
      <c r="EU41" s="176"/>
      <c r="EV41" s="176"/>
      <c r="EW41" s="176"/>
      <c r="EX41" s="176"/>
      <c r="EY41" s="176"/>
      <c r="EZ41" s="176"/>
      <c r="FA41" s="194" t="str">
        <f t="shared" ref="FA41:FA58" si="202">IFERROR(IF($ES$6="","",SUM(IS41:IV41)/(4-COUNTIF(IS41:IV41,0))),"")</f>
        <v/>
      </c>
      <c r="FB41" s="181"/>
      <c r="FC41" s="176"/>
      <c r="FD41" s="176"/>
      <c r="FE41" s="176"/>
      <c r="FF41" s="176"/>
      <c r="FG41" s="176"/>
      <c r="FH41" s="176"/>
      <c r="FI41" s="176"/>
      <c r="FJ41" s="194" t="str">
        <f t="shared" ref="FJ41:FJ58" si="203">IFERROR(IF($FB$6="","",SUM(IW41:IZ41)/(4-COUNTIF(IW41:IZ41,0))),"")</f>
        <v/>
      </c>
      <c r="FK41" s="181"/>
      <c r="FL41" s="176"/>
      <c r="FM41" s="176"/>
      <c r="FN41" s="176"/>
      <c r="FO41" s="176"/>
      <c r="FP41" s="176"/>
      <c r="FQ41" s="176"/>
      <c r="FR41" s="176"/>
      <c r="FS41" s="194" t="str">
        <f t="shared" ref="FS41:FS58" si="204">IFERROR(IF($FK$6="","",SUM(JA41:JD41)/(4-COUNTIF(JA41:JD41,0))),"")</f>
        <v/>
      </c>
      <c r="FT41" s="181"/>
      <c r="FU41" s="176"/>
      <c r="FV41" s="176"/>
      <c r="FW41" s="176"/>
      <c r="FX41" s="176"/>
      <c r="FY41" s="176"/>
      <c r="FZ41" s="176"/>
      <c r="GA41" s="176"/>
      <c r="GB41" s="194" t="str">
        <f t="shared" si="118"/>
        <v/>
      </c>
      <c r="GC41" s="194" t="str">
        <f t="shared" si="119"/>
        <v/>
      </c>
      <c r="GD41" s="194" t="str">
        <f>IF(GC41="","",IF(GC41&gt;=KONVERSI!$A$5,KONVERSI!$D$5,IF(GC41&gt;=KONVERSI!$A$6,KONVERSI!$D$6,IF(GC41&gt;=KONVERSI!$A$7,KONVERSI!$D$7,KONVERSI!$D$8))))</f>
        <v/>
      </c>
      <c r="GE41" s="194" t="str">
        <f t="shared" si="120"/>
        <v/>
      </c>
      <c r="GF41" s="222"/>
      <c r="GG41" s="223">
        <f t="shared" ref="GG41:GG58" si="205">MAX(E41:F41)</f>
        <v>0</v>
      </c>
      <c r="GH41" s="194">
        <f t="shared" ref="GH41:GH58" si="206">MAX(G41:H41)</f>
        <v>0</v>
      </c>
      <c r="GI41" s="194">
        <f t="shared" ref="GI41:GI58" si="207">MAX(I41:J41)</f>
        <v>0</v>
      </c>
      <c r="GJ41" s="194">
        <f t="shared" ref="GJ41:GJ58" si="208">MAX(K41:L41)</f>
        <v>0</v>
      </c>
      <c r="GK41" s="194">
        <f t="shared" ref="GK41:GK58" si="209">MAX(N41:O41)</f>
        <v>0</v>
      </c>
      <c r="GL41" s="194">
        <f t="shared" ref="GL41:GL58" si="210">MAX(P41:Q41)</f>
        <v>0</v>
      </c>
      <c r="GM41" s="194">
        <f t="shared" ref="GM41:GM58" si="211">MAX(R41:S41)</f>
        <v>0</v>
      </c>
      <c r="GN41" s="194">
        <f t="shared" ref="GN41:GN58" si="212">MAX(T41:U41)</f>
        <v>0</v>
      </c>
      <c r="GO41" s="194">
        <f t="shared" ref="GO41:GO58" si="213">MAX(W41:X41)</f>
        <v>0</v>
      </c>
      <c r="GP41" s="194">
        <f t="shared" ref="GP41:GP58" si="214">MAX(Y41:Z41)</f>
        <v>0</v>
      </c>
      <c r="GQ41" s="194">
        <f t="shared" ref="GQ41:GQ58" si="215">MAX(AA41:AB41)</f>
        <v>0</v>
      </c>
      <c r="GR41" s="194">
        <f t="shared" ref="GR41:GR58" si="216">MAX(AC41:AD41)</f>
        <v>0</v>
      </c>
      <c r="GS41" s="194">
        <f t="shared" ref="GS41:GS58" si="217">MAX(AF41:AG41)</f>
        <v>0</v>
      </c>
      <c r="GT41" s="194">
        <f t="shared" ref="GT41:GT58" si="218">MAX(AH41:AI41)</f>
        <v>0</v>
      </c>
      <c r="GU41" s="194">
        <f t="shared" ref="GU41:GU58" si="219">MAX(AJ41:AK41)</f>
        <v>0</v>
      </c>
      <c r="GV41" s="194">
        <f t="shared" ref="GV41:GV58" si="220">MAX(AL41:AM41)</f>
        <v>0</v>
      </c>
      <c r="GW41" s="194">
        <f t="shared" ref="GW41:GW58" si="221">MAX(AO41:AP41)</f>
        <v>0</v>
      </c>
      <c r="GX41" s="194">
        <f t="shared" ref="GX41:GX58" si="222">MAX(AQ41:AR41)</f>
        <v>0</v>
      </c>
      <c r="GY41" s="194">
        <f t="shared" ref="GY41:GY58" si="223">MAX(AS41:AT41)</f>
        <v>0</v>
      </c>
      <c r="GZ41" s="194">
        <f t="shared" ref="GZ41:GZ58" si="224">MAX(AU41:AV41)</f>
        <v>0</v>
      </c>
      <c r="HA41" s="194">
        <f t="shared" ref="HA41:HA58" si="225">MAX(AX41:AY41)</f>
        <v>0</v>
      </c>
      <c r="HB41" s="194">
        <f t="shared" ref="HB41:HB58" si="226">MAX(AZ41:BA41)</f>
        <v>0</v>
      </c>
      <c r="HC41" s="194">
        <f t="shared" ref="HC41:HC58" si="227">MAX(BB41:BC41)</f>
        <v>0</v>
      </c>
      <c r="HD41" s="194">
        <f t="shared" ref="HD41:HD58" si="228">MAX(BD41:BE41)</f>
        <v>0</v>
      </c>
      <c r="HE41" s="194">
        <f t="shared" ref="HE41:HE58" si="229">MAX(BG41:BH41)</f>
        <v>0</v>
      </c>
      <c r="HF41" s="194">
        <f t="shared" ref="HF41:HF58" si="230">MAX(BI41:BJ41)</f>
        <v>0</v>
      </c>
      <c r="HG41" s="194">
        <f t="shared" ref="HG41:HG58" si="231">MAX(BK41:BL41)</f>
        <v>0</v>
      </c>
      <c r="HH41" s="194">
        <f t="shared" ref="HH41:HH58" si="232">MAX(BM41:BN41)</f>
        <v>0</v>
      </c>
      <c r="HI41" s="194">
        <f t="shared" ref="HI41:HI58" si="233">MAX(BP41:BQ41)</f>
        <v>0</v>
      </c>
      <c r="HJ41" s="194">
        <f t="shared" ref="HJ41:HJ58" si="234">MAX(BR41:BS41)</f>
        <v>0</v>
      </c>
      <c r="HK41" s="194">
        <f t="shared" ref="HK41:HK58" si="235">MAX(BT41:BU41)</f>
        <v>0</v>
      </c>
      <c r="HL41" s="194">
        <f t="shared" ref="HL41:HL58" si="236">MAX(BV41:BW41)</f>
        <v>0</v>
      </c>
      <c r="HM41" s="194">
        <f t="shared" ref="HM41:HM58" si="237">MAX(BY41:BZ41)</f>
        <v>0</v>
      </c>
      <c r="HN41" s="194">
        <f t="shared" ref="HN41:HN58" si="238">MAX(CA41:CB41)</f>
        <v>0</v>
      </c>
      <c r="HO41" s="194">
        <f t="shared" ref="HO41:HO58" si="239">MAX(CC41:CD41)</f>
        <v>0</v>
      </c>
      <c r="HP41" s="194">
        <f t="shared" ref="HP41:HP58" si="240">MAX(CE41:CF41)</f>
        <v>0</v>
      </c>
      <c r="HQ41" s="194">
        <f t="shared" ref="HQ41:HQ58" si="241">MAX(CH41:CI41)</f>
        <v>0</v>
      </c>
      <c r="HR41" s="194">
        <f t="shared" ref="HR41:HR58" si="242">MAX(CJ41:CK41)</f>
        <v>0</v>
      </c>
      <c r="HS41" s="194">
        <f t="shared" ref="HS41:HS58" si="243">MAX(CL41:CM41)</f>
        <v>0</v>
      </c>
      <c r="HT41" s="194">
        <f t="shared" ref="HT41:HT58" si="244">MAX(CN41:CO41)</f>
        <v>0</v>
      </c>
      <c r="HU41" s="194">
        <f t="shared" ref="HU41:HU58" si="245">MAX(CQ41:CR41)</f>
        <v>0</v>
      </c>
      <c r="HV41" s="194">
        <f t="shared" ref="HV41:HV58" si="246">MAX(CS41:CT41)</f>
        <v>0</v>
      </c>
      <c r="HW41" s="194">
        <f t="shared" ref="HW41:HW58" si="247">MAX(CU41:CV41)</f>
        <v>0</v>
      </c>
      <c r="HX41" s="194">
        <f t="shared" ref="HX41:HX58" si="248">MAX(CW41:CX41)</f>
        <v>0</v>
      </c>
      <c r="HY41" s="194">
        <f t="shared" ref="HY41:HY58" si="249">MAX(CZ41:DA41)</f>
        <v>0</v>
      </c>
      <c r="HZ41" s="194">
        <f t="shared" ref="HZ41:HZ58" si="250">MAX(DB41:DC41)</f>
        <v>0</v>
      </c>
      <c r="IA41" s="194">
        <f t="shared" ref="IA41:IA58" si="251">MAX(DD41:DE41)</f>
        <v>0</v>
      </c>
      <c r="IB41" s="194">
        <f t="shared" ref="IB41:IB58" si="252">MAX(DF41:DG41)</f>
        <v>0</v>
      </c>
      <c r="IC41" s="194">
        <f t="shared" ref="IC41:IC58" si="253">MAX(DI41:DJ41)</f>
        <v>0</v>
      </c>
      <c r="ID41" s="194">
        <f t="shared" ref="ID41:ID58" si="254">MAX(DK41:DL41)</f>
        <v>0</v>
      </c>
      <c r="IE41" s="194">
        <f t="shared" ref="IE41:IE58" si="255">MAX(DM41:DN41)</f>
        <v>0</v>
      </c>
      <c r="IF41" s="194">
        <f t="shared" ref="IF41:IF58" si="256">MAX(DO41:DP41)</f>
        <v>0</v>
      </c>
      <c r="IG41" s="194">
        <f t="shared" ref="IG41:IG58" si="257">MAX(DR41:DS41)</f>
        <v>0</v>
      </c>
      <c r="IH41" s="194">
        <f t="shared" ref="IH41:IH58" si="258">MAX(DT41:DU41)</f>
        <v>0</v>
      </c>
      <c r="II41" s="194">
        <f t="shared" ref="II41:II58" si="259">MAX(DV41:DW41)</f>
        <v>0</v>
      </c>
      <c r="IJ41" s="194">
        <f t="shared" ref="IJ41:IJ58" si="260">MAX(DX41:DY41)</f>
        <v>0</v>
      </c>
      <c r="IK41" s="194">
        <f t="shared" ref="IK41:IK58" si="261">MAX(EA41:EB41)</f>
        <v>0</v>
      </c>
      <c r="IL41" s="194">
        <f t="shared" ref="IL41:IL58" si="262">MAX(EC41:ED41)</f>
        <v>0</v>
      </c>
      <c r="IM41" s="194">
        <f t="shared" ref="IM41:IM58" si="263">MAX(EE41:EF41)</f>
        <v>0</v>
      </c>
      <c r="IN41" s="194">
        <f t="shared" ref="IN41:IN58" si="264">MAX(EG41:EH41)</f>
        <v>0</v>
      </c>
      <c r="IO41" s="194">
        <f t="shared" ref="IO41:IO58" si="265">MAX(EJ41:EK41)</f>
        <v>0</v>
      </c>
      <c r="IP41" s="194">
        <f t="shared" ref="IP41:IP58" si="266">MAX(EL41:EM41)</f>
        <v>0</v>
      </c>
      <c r="IQ41" s="194">
        <f t="shared" ref="IQ41:IQ58" si="267">MAX(EN41:EO41)</f>
        <v>0</v>
      </c>
      <c r="IR41" s="194">
        <f t="shared" ref="IR41:IR58" si="268">MAX(EP41:EQ41)</f>
        <v>0</v>
      </c>
      <c r="IS41" s="194">
        <f t="shared" ref="IS41:IS58" si="269">MAX(ES41:ET41)</f>
        <v>0</v>
      </c>
      <c r="IT41" s="194">
        <f t="shared" ref="IT41:IT58" si="270">MAX(EU41:EV41)</f>
        <v>0</v>
      </c>
      <c r="IU41" s="194">
        <f t="shared" ref="IU41:IU58" si="271">MAX(EW41:EX41)</f>
        <v>0</v>
      </c>
      <c r="IV41" s="194">
        <f t="shared" ref="IV41:IV58" si="272">MAX(EY41:EZ41)</f>
        <v>0</v>
      </c>
      <c r="IW41" s="194">
        <f t="shared" ref="IW41:IW58" si="273">MAX(FB41:FC41)</f>
        <v>0</v>
      </c>
      <c r="IX41" s="194">
        <f t="shared" ref="IX41:IX58" si="274">MAX(FD41:FE41)</f>
        <v>0</v>
      </c>
      <c r="IY41" s="194">
        <f t="shared" ref="IY41:IY58" si="275">MAX(FF41:FG41)</f>
        <v>0</v>
      </c>
      <c r="IZ41" s="194">
        <f t="shared" ref="IZ41:IZ58" si="276">MAX(FH41:FI41)</f>
        <v>0</v>
      </c>
      <c r="JA41" s="194">
        <f t="shared" ref="JA41:JA58" si="277">MAX(FK41:FL41)</f>
        <v>0</v>
      </c>
      <c r="JB41" s="194">
        <f t="shared" ref="JB41:JB58" si="278">MAX(FM41:FN41)</f>
        <v>0</v>
      </c>
      <c r="JC41" s="194">
        <f t="shared" ref="JC41:JC58" si="279">MAX(FO41:FP41)</f>
        <v>0</v>
      </c>
      <c r="JD41" s="194">
        <f t="shared" ref="JD41:JD58" si="280">MAX(FQ41:FR41)</f>
        <v>0</v>
      </c>
      <c r="JE41" s="194">
        <f t="shared" ref="JE41:JE58" si="281">MAX(FT41:FU41)</f>
        <v>0</v>
      </c>
      <c r="JF41" s="194">
        <f t="shared" ref="JF41:JF58" si="282">MAX(FV41:FW41)</f>
        <v>0</v>
      </c>
      <c r="JG41" s="194">
        <f t="shared" ref="JG41:JG58" si="283">MAX(FX41:FY41)</f>
        <v>0</v>
      </c>
      <c r="JH41" s="194">
        <f t="shared" ref="JH41:JH58" si="284">MAX(FZ41:GA41)</f>
        <v>0</v>
      </c>
      <c r="JI41" s="228">
        <v>33</v>
      </c>
      <c r="JJ41" s="229" t="str">
        <f t="shared" si="121"/>
        <v/>
      </c>
      <c r="JK41" s="229" t="str">
        <f t="shared" si="122"/>
        <v/>
      </c>
      <c r="JL41" s="229" t="str">
        <f t="shared" si="123"/>
        <v/>
      </c>
      <c r="JM41" s="229" t="str">
        <f t="shared" si="124"/>
        <v/>
      </c>
      <c r="JN41" s="229" t="str">
        <f t="shared" si="125"/>
        <v/>
      </c>
      <c r="JO41" s="229" t="str">
        <f t="shared" si="126"/>
        <v/>
      </c>
      <c r="JP41" s="229" t="str">
        <f t="shared" si="127"/>
        <v/>
      </c>
      <c r="JQ41" s="229" t="str">
        <f t="shared" si="128"/>
        <v/>
      </c>
      <c r="JR41" s="229" t="str">
        <f t="shared" si="129"/>
        <v/>
      </c>
      <c r="JS41" s="229" t="str">
        <f t="shared" si="130"/>
        <v/>
      </c>
      <c r="JT41" s="229" t="str">
        <f t="shared" si="131"/>
        <v/>
      </c>
      <c r="JU41" s="229" t="str">
        <f t="shared" si="132"/>
        <v/>
      </c>
      <c r="JV41" s="229" t="str">
        <f t="shared" si="133"/>
        <v/>
      </c>
      <c r="JW41" s="229" t="str">
        <f t="shared" si="134"/>
        <v/>
      </c>
      <c r="JX41" s="229" t="str">
        <f t="shared" si="135"/>
        <v/>
      </c>
      <c r="JY41" s="229" t="str">
        <f t="shared" si="136"/>
        <v/>
      </c>
      <c r="JZ41" s="229" t="str">
        <f t="shared" si="137"/>
        <v/>
      </c>
      <c r="KA41" s="229" t="str">
        <f t="shared" si="138"/>
        <v/>
      </c>
      <c r="KB41" s="229" t="str">
        <f t="shared" si="139"/>
        <v/>
      </c>
      <c r="KC41" s="229" t="str">
        <f t="shared" si="140"/>
        <v/>
      </c>
      <c r="KD41" s="231" t="str">
        <f t="shared" si="141"/>
        <v/>
      </c>
      <c r="KE41" s="232" t="str">
        <f>IF(KD41="","",IF(KD41&gt;=KONVERSI!$A$5,KONVERSI!$E$12,IF(KD41&gt;=KONVERSI!$A$6,KONVERSI!$E$13,IF(KD41&gt;=KONVERSI!$A$7,KONVERSI!$E$14,KONVERSI!$E$15))))</f>
        <v/>
      </c>
      <c r="KF41" s="233" t="str">
        <f t="shared" si="142"/>
        <v/>
      </c>
      <c r="KG41" s="234" t="str">
        <f t="shared" si="143"/>
        <v/>
      </c>
      <c r="KH41" s="232" t="str">
        <f>IF(KG41="","",IF(KG41&gt;=KONVERSI!$A$5,KONVERSI!$E$12,IF(KG41&gt;=KONVERSI!$A$6,KONVERSI!$E$13,IF(KG41&gt;=KONVERSI!$A$7,KONVERSI!$E$14,KONVERSI!$E$15))))</f>
        <v/>
      </c>
      <c r="KI41" s="134" t="str">
        <f>IF(GC41="","",IF(GC41&lt;$GD$3," "&amp;KONVERSI!$C$19&amp;INDEX($JJ$8:$KC$8,MATCH(KG42,JJ42:KC42,0))&amp;".",IF(GC41=0,"",IF(KG41&lt;&gt;0,KF41&amp;KH41&amp;".",KF41&amp;"."))))</f>
        <v/>
      </c>
      <c r="KJ41" s="235" t="str">
        <f t="shared" si="144"/>
        <v/>
      </c>
      <c r="KK41" s="235" t="str">
        <f t="shared" si="145"/>
        <v/>
      </c>
      <c r="KL41" s="235" t="str">
        <f t="shared" si="146"/>
        <v/>
      </c>
      <c r="KM41" s="235" t="str">
        <f t="shared" si="147"/>
        <v/>
      </c>
      <c r="KN41" s="235" t="str">
        <f t="shared" si="148"/>
        <v/>
      </c>
      <c r="KO41" s="235" t="str">
        <f t="shared" si="149"/>
        <v/>
      </c>
      <c r="KP41" s="235" t="str">
        <f t="shared" si="150"/>
        <v/>
      </c>
      <c r="KQ41" s="235" t="str">
        <f t="shared" si="151"/>
        <v/>
      </c>
      <c r="KR41" s="235" t="str">
        <f t="shared" si="152"/>
        <v/>
      </c>
      <c r="KS41" s="235" t="str">
        <f t="shared" si="153"/>
        <v/>
      </c>
      <c r="KT41" s="235" t="str">
        <f t="shared" si="154"/>
        <v/>
      </c>
      <c r="KU41" s="235" t="str">
        <f t="shared" si="155"/>
        <v/>
      </c>
      <c r="KV41" s="235" t="str">
        <f t="shared" si="156"/>
        <v/>
      </c>
      <c r="KW41" s="235" t="str">
        <f t="shared" si="157"/>
        <v/>
      </c>
      <c r="KX41" s="235" t="str">
        <f t="shared" si="158"/>
        <v/>
      </c>
      <c r="KY41" s="235" t="str">
        <f t="shared" si="159"/>
        <v/>
      </c>
      <c r="KZ41" s="235" t="str">
        <f t="shared" si="160"/>
        <v/>
      </c>
      <c r="LA41" s="235" t="str">
        <f t="shared" si="161"/>
        <v/>
      </c>
      <c r="LB41" s="235" t="str">
        <f t="shared" si="162"/>
        <v/>
      </c>
      <c r="LC41" s="235" t="str">
        <f t="shared" si="163"/>
        <v/>
      </c>
      <c r="LD41" s="134" t="str">
        <f t="shared" si="164"/>
        <v/>
      </c>
      <c r="LE41" s="134" t="str">
        <f t="shared" si="164"/>
        <v/>
      </c>
      <c r="LF41" s="134" t="str">
        <f t="shared" si="164"/>
        <v/>
      </c>
      <c r="LG41" s="134" t="str">
        <f t="shared" si="164"/>
        <v/>
      </c>
      <c r="LH41" s="134" t="str">
        <f t="shared" si="164"/>
        <v/>
      </c>
      <c r="LI41" s="134" t="str">
        <f t="shared" si="164"/>
        <v/>
      </c>
      <c r="LJ41" s="134" t="str">
        <f t="shared" si="164"/>
        <v/>
      </c>
      <c r="LK41" s="134" t="str">
        <f t="shared" si="164"/>
        <v/>
      </c>
      <c r="LL41" s="134" t="str">
        <f t="shared" si="164"/>
        <v/>
      </c>
      <c r="LM41" s="134" t="str">
        <f t="shared" si="190"/>
        <v/>
      </c>
      <c r="LN41" s="134" t="str">
        <f t="shared" si="190"/>
        <v/>
      </c>
      <c r="LO41" s="134" t="str">
        <f t="shared" si="190"/>
        <v/>
      </c>
      <c r="LP41" s="134" t="str">
        <f t="shared" si="190"/>
        <v/>
      </c>
      <c r="LQ41" s="134" t="str">
        <f t="shared" si="190"/>
        <v/>
      </c>
      <c r="LR41" s="134" t="str">
        <f t="shared" si="190"/>
        <v/>
      </c>
      <c r="LS41" s="134" t="str">
        <f t="shared" si="190"/>
        <v/>
      </c>
      <c r="LT41" s="134" t="str">
        <f t="shared" si="190"/>
        <v/>
      </c>
      <c r="LU41" s="134" t="str">
        <f t="shared" si="190"/>
        <v/>
      </c>
      <c r="LV41" s="134" t="str">
        <f t="shared" si="190"/>
        <v/>
      </c>
      <c r="LW41" s="134" t="str">
        <f t="shared" si="190"/>
        <v/>
      </c>
      <c r="LX41" s="134" t="str">
        <f t="shared" si="165"/>
        <v/>
      </c>
      <c r="LY41" s="134" t="str">
        <f t="shared" si="166"/>
        <v>  </v>
      </c>
      <c r="LZ41" s="236">
        <f t="shared" ref="LZ41:LZ58" si="285">COUNTIF(KJ41:LC41,"OK")</f>
        <v>0</v>
      </c>
      <c r="MA41" s="235" t="str">
        <f t="shared" si="167"/>
        <v/>
      </c>
      <c r="MB41" s="235" t="str">
        <f t="shared" si="168"/>
        <v/>
      </c>
      <c r="MC41" s="235" t="str">
        <f t="shared" si="169"/>
        <v/>
      </c>
      <c r="MD41" s="235" t="str">
        <f t="shared" si="170"/>
        <v/>
      </c>
      <c r="ME41" s="235" t="str">
        <f t="shared" si="171"/>
        <v/>
      </c>
      <c r="MF41" s="235" t="str">
        <f t="shared" si="172"/>
        <v/>
      </c>
      <c r="MG41" s="235" t="str">
        <f t="shared" si="173"/>
        <v/>
      </c>
      <c r="MH41" s="235" t="str">
        <f t="shared" si="174"/>
        <v/>
      </c>
      <c r="MI41" s="235" t="str">
        <f t="shared" si="175"/>
        <v/>
      </c>
      <c r="MJ41" s="235" t="str">
        <f t="shared" si="176"/>
        <v/>
      </c>
      <c r="MK41" s="235" t="str">
        <f t="shared" si="177"/>
        <v/>
      </c>
      <c r="ML41" s="235" t="str">
        <f t="shared" si="178"/>
        <v/>
      </c>
      <c r="MM41" s="235" t="str">
        <f t="shared" si="179"/>
        <v/>
      </c>
      <c r="MN41" s="235" t="str">
        <f t="shared" si="180"/>
        <v/>
      </c>
      <c r="MO41" s="235" t="str">
        <f t="shared" si="181"/>
        <v/>
      </c>
      <c r="MP41" s="235" t="str">
        <f t="shared" si="182"/>
        <v/>
      </c>
      <c r="MQ41" s="235" t="str">
        <f t="shared" si="183"/>
        <v/>
      </c>
      <c r="MR41" s="235" t="str">
        <f t="shared" si="184"/>
        <v/>
      </c>
      <c r="MS41" s="235" t="str">
        <f t="shared" si="185"/>
        <v/>
      </c>
      <c r="MT41" s="235" t="str">
        <f t="shared" si="186"/>
        <v/>
      </c>
      <c r="MU41" s="134" t="str">
        <f t="shared" si="187"/>
        <v/>
      </c>
      <c r="MV41" s="134" t="str">
        <f t="shared" si="187"/>
        <v/>
      </c>
      <c r="MW41" s="134" t="str">
        <f t="shared" si="187"/>
        <v/>
      </c>
      <c r="MX41" s="134" t="str">
        <f t="shared" si="187"/>
        <v/>
      </c>
      <c r="MY41" s="134" t="str">
        <f t="shared" si="187"/>
        <v/>
      </c>
      <c r="MZ41" s="134" t="str">
        <f t="shared" si="187"/>
        <v/>
      </c>
      <c r="NA41" s="134" t="str">
        <f t="shared" si="187"/>
        <v/>
      </c>
      <c r="NB41" s="134" t="str">
        <f t="shared" si="187"/>
        <v/>
      </c>
      <c r="NC41" s="134" t="str">
        <f t="shared" si="187"/>
        <v/>
      </c>
      <c r="ND41" s="134" t="str">
        <f t="shared" si="191"/>
        <v/>
      </c>
      <c r="NE41" s="134" t="str">
        <f t="shared" si="191"/>
        <v/>
      </c>
      <c r="NF41" s="134" t="str">
        <f t="shared" si="191"/>
        <v/>
      </c>
      <c r="NG41" s="134" t="str">
        <f t="shared" si="191"/>
        <v/>
      </c>
      <c r="NH41" s="134" t="str">
        <f t="shared" si="191"/>
        <v/>
      </c>
      <c r="NI41" s="134" t="str">
        <f t="shared" si="191"/>
        <v/>
      </c>
      <c r="NJ41" s="134" t="str">
        <f t="shared" si="191"/>
        <v/>
      </c>
      <c r="NK41" s="134" t="str">
        <f t="shared" si="191"/>
        <v/>
      </c>
      <c r="NL41" s="134" t="str">
        <f t="shared" si="191"/>
        <v/>
      </c>
      <c r="NM41" s="134" t="str">
        <f t="shared" si="191"/>
        <v/>
      </c>
      <c r="NN41" s="134" t="str">
        <f t="shared" si="191"/>
        <v/>
      </c>
      <c r="NO41" s="134" t="str">
        <f>IF(KE41=KH41,"",IF(KG41="","",IF(KG41&gt;=KONVERSI!$A$14,'KI4'!KH41&amp;" dalam"&amp;MU41&amp;MV41&amp;MW41&amp;MX41&amp;MY41&amp;MZ41&amp;NA41&amp;NB41&amp;NC41&amp;ND41&amp;NE41&amp;NF41&amp;NG41&amp;NH41&amp;NI41&amp;NJ41&amp;NK41&amp;NL41&amp;NM41&amp;NN41,KONVERSI!$C$19&amp;" dalam"&amp;MU41&amp;MV41&amp;MW41&amp;MX41&amp;MY41&amp;MZ41&amp;NA41&amp;NB41&amp;NC41&amp;ND41&amp;NE41&amp;NF41&amp;NG41&amp;NH41&amp;NI41&amp;NJ41&amp;NK41&amp;NL41&amp;NM41&amp;NN41)))</f>
        <v/>
      </c>
      <c r="NP41" s="134" t="str">
        <f t="shared" si="188"/>
        <v/>
      </c>
      <c r="NQ41" s="236">
        <f t="shared" ref="NQ41:NQ58" si="286">COUNTIF(MA41:MT41,"OK")</f>
        <v>0</v>
      </c>
      <c r="NR41" s="134" t="str">
        <f t="shared" si="189"/>
        <v/>
      </c>
    </row>
    <row r="42" ht="27.6" customHeight="1" spans="1:382">
      <c r="A42" s="136"/>
      <c r="B42" s="177">
        <v>34</v>
      </c>
      <c r="C42" s="180">
        <f>siswa!C38</f>
        <v>0</v>
      </c>
      <c r="D42" s="174">
        <f>siswa!D38</f>
        <v>0</v>
      </c>
      <c r="E42" s="181"/>
      <c r="F42" s="176"/>
      <c r="G42" s="176"/>
      <c r="H42" s="176"/>
      <c r="I42" s="176"/>
      <c r="J42" s="176"/>
      <c r="K42" s="176"/>
      <c r="L42" s="176"/>
      <c r="M42" s="194" t="str">
        <f t="shared" si="192"/>
        <v/>
      </c>
      <c r="N42" s="181"/>
      <c r="O42" s="176"/>
      <c r="P42" s="176"/>
      <c r="Q42" s="176"/>
      <c r="R42" s="176"/>
      <c r="S42" s="176"/>
      <c r="T42" s="176"/>
      <c r="U42" s="176"/>
      <c r="V42" s="194" t="str">
        <f t="shared" si="193"/>
        <v/>
      </c>
      <c r="W42" s="181"/>
      <c r="X42" s="176"/>
      <c r="Y42" s="176"/>
      <c r="Z42" s="176"/>
      <c r="AA42" s="176"/>
      <c r="AB42" s="176"/>
      <c r="AC42" s="176"/>
      <c r="AD42" s="176"/>
      <c r="AE42" s="194" t="str">
        <f t="shared" si="194"/>
        <v/>
      </c>
      <c r="AF42" s="181"/>
      <c r="AG42" s="176"/>
      <c r="AH42" s="176"/>
      <c r="AI42" s="176"/>
      <c r="AJ42" s="176"/>
      <c r="AK42" s="176"/>
      <c r="AL42" s="176"/>
      <c r="AM42" s="176"/>
      <c r="AN42" s="194" t="str">
        <f t="shared" si="195"/>
        <v/>
      </c>
      <c r="AO42" s="181"/>
      <c r="AP42" s="176"/>
      <c r="AQ42" s="176"/>
      <c r="AR42" s="176"/>
      <c r="AS42" s="176"/>
      <c r="AT42" s="176"/>
      <c r="AU42" s="176"/>
      <c r="AV42" s="176"/>
      <c r="AW42" s="194" t="str">
        <f t="shared" si="112"/>
        <v/>
      </c>
      <c r="AX42" s="181"/>
      <c r="AY42" s="176"/>
      <c r="AZ42" s="176"/>
      <c r="BA42" s="176"/>
      <c r="BB42" s="176"/>
      <c r="BC42" s="176"/>
      <c r="BD42" s="176"/>
      <c r="BE42" s="176"/>
      <c r="BF42" s="194" t="str">
        <f t="shared" si="196"/>
        <v/>
      </c>
      <c r="BG42" s="181"/>
      <c r="BH42" s="176"/>
      <c r="BI42" s="176"/>
      <c r="BJ42" s="176"/>
      <c r="BK42" s="176"/>
      <c r="BL42" s="176"/>
      <c r="BM42" s="176"/>
      <c r="BN42" s="176"/>
      <c r="BO42" s="194" t="str">
        <f t="shared" si="113"/>
        <v/>
      </c>
      <c r="BP42" s="181"/>
      <c r="BQ42" s="176"/>
      <c r="BR42" s="176"/>
      <c r="BS42" s="176"/>
      <c r="BT42" s="176"/>
      <c r="BU42" s="176"/>
      <c r="BV42" s="176"/>
      <c r="BW42" s="176"/>
      <c r="BX42" s="194" t="str">
        <f t="shared" si="114"/>
        <v/>
      </c>
      <c r="BY42" s="181"/>
      <c r="BZ42" s="176"/>
      <c r="CA42" s="176"/>
      <c r="CB42" s="176"/>
      <c r="CC42" s="176"/>
      <c r="CD42" s="176"/>
      <c r="CE42" s="176"/>
      <c r="CF42" s="176"/>
      <c r="CG42" s="194" t="str">
        <f t="shared" si="115"/>
        <v/>
      </c>
      <c r="CH42" s="181"/>
      <c r="CI42" s="176"/>
      <c r="CJ42" s="176"/>
      <c r="CK42" s="176"/>
      <c r="CL42" s="176"/>
      <c r="CM42" s="176"/>
      <c r="CN42" s="176"/>
      <c r="CO42" s="176"/>
      <c r="CP42" s="194" t="str">
        <f t="shared" si="197"/>
        <v/>
      </c>
      <c r="CQ42" s="181"/>
      <c r="CR42" s="176"/>
      <c r="CS42" s="176"/>
      <c r="CT42" s="176"/>
      <c r="CU42" s="176"/>
      <c r="CV42" s="176"/>
      <c r="CW42" s="176"/>
      <c r="CX42" s="176"/>
      <c r="CY42" s="194" t="str">
        <f t="shared" si="116"/>
        <v/>
      </c>
      <c r="CZ42" s="181"/>
      <c r="DA42" s="176"/>
      <c r="DB42" s="176"/>
      <c r="DC42" s="176"/>
      <c r="DD42" s="176"/>
      <c r="DE42" s="176"/>
      <c r="DF42" s="176"/>
      <c r="DG42" s="176"/>
      <c r="DH42" s="194" t="str">
        <f t="shared" si="198"/>
        <v/>
      </c>
      <c r="DI42" s="181"/>
      <c r="DJ42" s="176"/>
      <c r="DK42" s="176"/>
      <c r="DL42" s="176"/>
      <c r="DM42" s="176"/>
      <c r="DN42" s="176"/>
      <c r="DO42" s="176"/>
      <c r="DP42" s="176"/>
      <c r="DQ42" s="194" t="str">
        <f t="shared" si="117"/>
        <v/>
      </c>
      <c r="DR42" s="181"/>
      <c r="DS42" s="176"/>
      <c r="DT42" s="176"/>
      <c r="DU42" s="176"/>
      <c r="DV42" s="176"/>
      <c r="DW42" s="176"/>
      <c r="DX42" s="176"/>
      <c r="DY42" s="176"/>
      <c r="DZ42" s="194" t="str">
        <f t="shared" si="199"/>
        <v/>
      </c>
      <c r="EA42" s="181"/>
      <c r="EB42" s="176"/>
      <c r="EC42" s="176"/>
      <c r="ED42" s="176"/>
      <c r="EE42" s="176"/>
      <c r="EF42" s="176"/>
      <c r="EG42" s="176"/>
      <c r="EH42" s="176"/>
      <c r="EI42" s="194" t="str">
        <f t="shared" si="200"/>
        <v/>
      </c>
      <c r="EJ42" s="181"/>
      <c r="EK42" s="176"/>
      <c r="EL42" s="176"/>
      <c r="EM42" s="176"/>
      <c r="EN42" s="176"/>
      <c r="EO42" s="176"/>
      <c r="EP42" s="176"/>
      <c r="EQ42" s="176"/>
      <c r="ER42" s="194" t="str">
        <f t="shared" si="201"/>
        <v/>
      </c>
      <c r="ES42" s="181"/>
      <c r="ET42" s="176"/>
      <c r="EU42" s="176"/>
      <c r="EV42" s="176"/>
      <c r="EW42" s="176"/>
      <c r="EX42" s="176"/>
      <c r="EY42" s="176"/>
      <c r="EZ42" s="176"/>
      <c r="FA42" s="194" t="str">
        <f t="shared" si="202"/>
        <v/>
      </c>
      <c r="FB42" s="181"/>
      <c r="FC42" s="176"/>
      <c r="FD42" s="176"/>
      <c r="FE42" s="176"/>
      <c r="FF42" s="176"/>
      <c r="FG42" s="176"/>
      <c r="FH42" s="176"/>
      <c r="FI42" s="176"/>
      <c r="FJ42" s="194" t="str">
        <f t="shared" si="203"/>
        <v/>
      </c>
      <c r="FK42" s="181"/>
      <c r="FL42" s="176"/>
      <c r="FM42" s="176"/>
      <c r="FN42" s="176"/>
      <c r="FO42" s="176"/>
      <c r="FP42" s="176"/>
      <c r="FQ42" s="176"/>
      <c r="FR42" s="176"/>
      <c r="FS42" s="194" t="str">
        <f t="shared" si="204"/>
        <v/>
      </c>
      <c r="FT42" s="181"/>
      <c r="FU42" s="176"/>
      <c r="FV42" s="176"/>
      <c r="FW42" s="176"/>
      <c r="FX42" s="176"/>
      <c r="FY42" s="176"/>
      <c r="FZ42" s="176"/>
      <c r="GA42" s="176"/>
      <c r="GB42" s="194" t="str">
        <f t="shared" si="118"/>
        <v/>
      </c>
      <c r="GC42" s="194" t="str">
        <f t="shared" si="119"/>
        <v/>
      </c>
      <c r="GD42" s="194" t="str">
        <f>IF(GC42="","",IF(GC42&gt;=KONVERSI!$A$5,KONVERSI!$D$5,IF(GC42&gt;=KONVERSI!$A$6,KONVERSI!$D$6,IF(GC42&gt;=KONVERSI!$A$7,KONVERSI!$D$7,KONVERSI!$D$8))))</f>
        <v/>
      </c>
      <c r="GE42" s="194" t="str">
        <f t="shared" si="120"/>
        <v/>
      </c>
      <c r="GF42" s="222"/>
      <c r="GG42" s="223">
        <f t="shared" si="205"/>
        <v>0</v>
      </c>
      <c r="GH42" s="194">
        <f t="shared" si="206"/>
        <v>0</v>
      </c>
      <c r="GI42" s="194">
        <f t="shared" si="207"/>
        <v>0</v>
      </c>
      <c r="GJ42" s="194">
        <f t="shared" si="208"/>
        <v>0</v>
      </c>
      <c r="GK42" s="194">
        <f t="shared" si="209"/>
        <v>0</v>
      </c>
      <c r="GL42" s="194">
        <f t="shared" si="210"/>
        <v>0</v>
      </c>
      <c r="GM42" s="194">
        <f t="shared" si="211"/>
        <v>0</v>
      </c>
      <c r="GN42" s="194">
        <f t="shared" si="212"/>
        <v>0</v>
      </c>
      <c r="GO42" s="194">
        <f t="shared" si="213"/>
        <v>0</v>
      </c>
      <c r="GP42" s="194">
        <f t="shared" si="214"/>
        <v>0</v>
      </c>
      <c r="GQ42" s="194">
        <f t="shared" si="215"/>
        <v>0</v>
      </c>
      <c r="GR42" s="194">
        <f t="shared" si="216"/>
        <v>0</v>
      </c>
      <c r="GS42" s="194">
        <f t="shared" si="217"/>
        <v>0</v>
      </c>
      <c r="GT42" s="194">
        <f t="shared" si="218"/>
        <v>0</v>
      </c>
      <c r="GU42" s="194">
        <f t="shared" si="219"/>
        <v>0</v>
      </c>
      <c r="GV42" s="194">
        <f t="shared" si="220"/>
        <v>0</v>
      </c>
      <c r="GW42" s="194">
        <f t="shared" si="221"/>
        <v>0</v>
      </c>
      <c r="GX42" s="194">
        <f t="shared" si="222"/>
        <v>0</v>
      </c>
      <c r="GY42" s="194">
        <f t="shared" si="223"/>
        <v>0</v>
      </c>
      <c r="GZ42" s="194">
        <f t="shared" si="224"/>
        <v>0</v>
      </c>
      <c r="HA42" s="194">
        <f t="shared" si="225"/>
        <v>0</v>
      </c>
      <c r="HB42" s="194">
        <f t="shared" si="226"/>
        <v>0</v>
      </c>
      <c r="HC42" s="194">
        <f t="shared" si="227"/>
        <v>0</v>
      </c>
      <c r="HD42" s="194">
        <f t="shared" si="228"/>
        <v>0</v>
      </c>
      <c r="HE42" s="194">
        <f t="shared" si="229"/>
        <v>0</v>
      </c>
      <c r="HF42" s="194">
        <f t="shared" si="230"/>
        <v>0</v>
      </c>
      <c r="HG42" s="194">
        <f t="shared" si="231"/>
        <v>0</v>
      </c>
      <c r="HH42" s="194">
        <f t="shared" si="232"/>
        <v>0</v>
      </c>
      <c r="HI42" s="194">
        <f t="shared" si="233"/>
        <v>0</v>
      </c>
      <c r="HJ42" s="194">
        <f t="shared" si="234"/>
        <v>0</v>
      </c>
      <c r="HK42" s="194">
        <f t="shared" si="235"/>
        <v>0</v>
      </c>
      <c r="HL42" s="194">
        <f t="shared" si="236"/>
        <v>0</v>
      </c>
      <c r="HM42" s="194">
        <f t="shared" si="237"/>
        <v>0</v>
      </c>
      <c r="HN42" s="194">
        <f t="shared" si="238"/>
        <v>0</v>
      </c>
      <c r="HO42" s="194">
        <f t="shared" si="239"/>
        <v>0</v>
      </c>
      <c r="HP42" s="194">
        <f t="shared" si="240"/>
        <v>0</v>
      </c>
      <c r="HQ42" s="194">
        <f t="shared" si="241"/>
        <v>0</v>
      </c>
      <c r="HR42" s="194">
        <f t="shared" si="242"/>
        <v>0</v>
      </c>
      <c r="HS42" s="194">
        <f t="shared" si="243"/>
        <v>0</v>
      </c>
      <c r="HT42" s="194">
        <f t="shared" si="244"/>
        <v>0</v>
      </c>
      <c r="HU42" s="194">
        <f t="shared" si="245"/>
        <v>0</v>
      </c>
      <c r="HV42" s="194">
        <f t="shared" si="246"/>
        <v>0</v>
      </c>
      <c r="HW42" s="194">
        <f t="shared" si="247"/>
        <v>0</v>
      </c>
      <c r="HX42" s="194">
        <f t="shared" si="248"/>
        <v>0</v>
      </c>
      <c r="HY42" s="194">
        <f t="shared" si="249"/>
        <v>0</v>
      </c>
      <c r="HZ42" s="194">
        <f t="shared" si="250"/>
        <v>0</v>
      </c>
      <c r="IA42" s="194">
        <f t="shared" si="251"/>
        <v>0</v>
      </c>
      <c r="IB42" s="194">
        <f t="shared" si="252"/>
        <v>0</v>
      </c>
      <c r="IC42" s="194">
        <f t="shared" si="253"/>
        <v>0</v>
      </c>
      <c r="ID42" s="194">
        <f t="shared" si="254"/>
        <v>0</v>
      </c>
      <c r="IE42" s="194">
        <f t="shared" si="255"/>
        <v>0</v>
      </c>
      <c r="IF42" s="194">
        <f t="shared" si="256"/>
        <v>0</v>
      </c>
      <c r="IG42" s="194">
        <f t="shared" si="257"/>
        <v>0</v>
      </c>
      <c r="IH42" s="194">
        <f t="shared" si="258"/>
        <v>0</v>
      </c>
      <c r="II42" s="194">
        <f t="shared" si="259"/>
        <v>0</v>
      </c>
      <c r="IJ42" s="194">
        <f t="shared" si="260"/>
        <v>0</v>
      </c>
      <c r="IK42" s="194">
        <f t="shared" si="261"/>
        <v>0</v>
      </c>
      <c r="IL42" s="194">
        <f t="shared" si="262"/>
        <v>0</v>
      </c>
      <c r="IM42" s="194">
        <f t="shared" si="263"/>
        <v>0</v>
      </c>
      <c r="IN42" s="194">
        <f t="shared" si="264"/>
        <v>0</v>
      </c>
      <c r="IO42" s="194">
        <f t="shared" si="265"/>
        <v>0</v>
      </c>
      <c r="IP42" s="194">
        <f t="shared" si="266"/>
        <v>0</v>
      </c>
      <c r="IQ42" s="194">
        <f t="shared" si="267"/>
        <v>0</v>
      </c>
      <c r="IR42" s="194">
        <f t="shared" si="268"/>
        <v>0</v>
      </c>
      <c r="IS42" s="194">
        <f t="shared" si="269"/>
        <v>0</v>
      </c>
      <c r="IT42" s="194">
        <f t="shared" si="270"/>
        <v>0</v>
      </c>
      <c r="IU42" s="194">
        <f t="shared" si="271"/>
        <v>0</v>
      </c>
      <c r="IV42" s="194">
        <f t="shared" si="272"/>
        <v>0</v>
      </c>
      <c r="IW42" s="194">
        <f t="shared" si="273"/>
        <v>0</v>
      </c>
      <c r="IX42" s="194">
        <f t="shared" si="274"/>
        <v>0</v>
      </c>
      <c r="IY42" s="194">
        <f t="shared" si="275"/>
        <v>0</v>
      </c>
      <c r="IZ42" s="194">
        <f t="shared" si="276"/>
        <v>0</v>
      </c>
      <c r="JA42" s="194">
        <f t="shared" si="277"/>
        <v>0</v>
      </c>
      <c r="JB42" s="194">
        <f t="shared" si="278"/>
        <v>0</v>
      </c>
      <c r="JC42" s="194">
        <f t="shared" si="279"/>
        <v>0</v>
      </c>
      <c r="JD42" s="194">
        <f t="shared" si="280"/>
        <v>0</v>
      </c>
      <c r="JE42" s="194">
        <f t="shared" si="281"/>
        <v>0</v>
      </c>
      <c r="JF42" s="194">
        <f t="shared" si="282"/>
        <v>0</v>
      </c>
      <c r="JG42" s="194">
        <f t="shared" si="283"/>
        <v>0</v>
      </c>
      <c r="JH42" s="194">
        <f t="shared" si="284"/>
        <v>0</v>
      </c>
      <c r="JI42" s="228">
        <v>34</v>
      </c>
      <c r="JJ42" s="229" t="str">
        <f t="shared" si="121"/>
        <v/>
      </c>
      <c r="JK42" s="229" t="str">
        <f t="shared" si="122"/>
        <v/>
      </c>
      <c r="JL42" s="229" t="str">
        <f t="shared" si="123"/>
        <v/>
      </c>
      <c r="JM42" s="229" t="str">
        <f t="shared" si="124"/>
        <v/>
      </c>
      <c r="JN42" s="229" t="str">
        <f t="shared" si="125"/>
        <v/>
      </c>
      <c r="JO42" s="229" t="str">
        <f t="shared" si="126"/>
        <v/>
      </c>
      <c r="JP42" s="229" t="str">
        <f t="shared" si="127"/>
        <v/>
      </c>
      <c r="JQ42" s="229" t="str">
        <f t="shared" si="128"/>
        <v/>
      </c>
      <c r="JR42" s="229" t="str">
        <f t="shared" si="129"/>
        <v/>
      </c>
      <c r="JS42" s="229" t="str">
        <f t="shared" si="130"/>
        <v/>
      </c>
      <c r="JT42" s="229" t="str">
        <f t="shared" si="131"/>
        <v/>
      </c>
      <c r="JU42" s="229" t="str">
        <f t="shared" si="132"/>
        <v/>
      </c>
      <c r="JV42" s="229" t="str">
        <f t="shared" si="133"/>
        <v/>
      </c>
      <c r="JW42" s="229" t="str">
        <f t="shared" si="134"/>
        <v/>
      </c>
      <c r="JX42" s="229" t="str">
        <f t="shared" si="135"/>
        <v/>
      </c>
      <c r="JY42" s="229" t="str">
        <f t="shared" si="136"/>
        <v/>
      </c>
      <c r="JZ42" s="229" t="str">
        <f t="shared" si="137"/>
        <v/>
      </c>
      <c r="KA42" s="229" t="str">
        <f t="shared" si="138"/>
        <v/>
      </c>
      <c r="KB42" s="229" t="str">
        <f t="shared" si="139"/>
        <v/>
      </c>
      <c r="KC42" s="229" t="str">
        <f t="shared" si="140"/>
        <v/>
      </c>
      <c r="KD42" s="231" t="str">
        <f t="shared" si="141"/>
        <v/>
      </c>
      <c r="KE42" s="232" t="str">
        <f>IF(KD42="","",IF(KD42&gt;=KONVERSI!$A$5,KONVERSI!$E$12,IF(KD42&gt;=KONVERSI!$A$6,KONVERSI!$E$13,IF(KD42&gt;=KONVERSI!$A$7,KONVERSI!$E$14,KONVERSI!$E$15))))</f>
        <v/>
      </c>
      <c r="KF42" s="233" t="str">
        <f t="shared" si="142"/>
        <v/>
      </c>
      <c r="KG42" s="234" t="str">
        <f t="shared" si="143"/>
        <v/>
      </c>
      <c r="KH42" s="232" t="str">
        <f>IF(KG42="","",IF(KG42&gt;=KONVERSI!$A$5,KONVERSI!$E$12,IF(KG42&gt;=KONVERSI!$A$6,KONVERSI!$E$13,IF(KG42&gt;=KONVERSI!$A$7,KONVERSI!$E$14,KONVERSI!$E$15))))</f>
        <v/>
      </c>
      <c r="KI42" s="134" t="str">
        <f>IF(GC42="","",IF(GC42&lt;$GD$3," "&amp;KONVERSI!$C$19&amp;INDEX($JJ$8:$KC$8,MATCH(KG43,JJ43:KC43,0))&amp;".",IF(GC42=0,"",IF(KG42&lt;&gt;0,KF42&amp;KH42&amp;".",KF42&amp;"."))))</f>
        <v/>
      </c>
      <c r="KJ42" s="235" t="str">
        <f t="shared" si="144"/>
        <v/>
      </c>
      <c r="KK42" s="235" t="str">
        <f t="shared" si="145"/>
        <v/>
      </c>
      <c r="KL42" s="235" t="str">
        <f t="shared" si="146"/>
        <v/>
      </c>
      <c r="KM42" s="235" t="str">
        <f t="shared" si="147"/>
        <v/>
      </c>
      <c r="KN42" s="235" t="str">
        <f t="shared" si="148"/>
        <v/>
      </c>
      <c r="KO42" s="235" t="str">
        <f t="shared" si="149"/>
        <v/>
      </c>
      <c r="KP42" s="235" t="str">
        <f t="shared" si="150"/>
        <v/>
      </c>
      <c r="KQ42" s="235" t="str">
        <f t="shared" si="151"/>
        <v/>
      </c>
      <c r="KR42" s="235" t="str">
        <f t="shared" si="152"/>
        <v/>
      </c>
      <c r="KS42" s="235" t="str">
        <f t="shared" si="153"/>
        <v/>
      </c>
      <c r="KT42" s="235" t="str">
        <f t="shared" si="154"/>
        <v/>
      </c>
      <c r="KU42" s="235" t="str">
        <f t="shared" si="155"/>
        <v/>
      </c>
      <c r="KV42" s="235" t="str">
        <f t="shared" si="156"/>
        <v/>
      </c>
      <c r="KW42" s="235" t="str">
        <f t="shared" si="157"/>
        <v/>
      </c>
      <c r="KX42" s="235" t="str">
        <f t="shared" si="158"/>
        <v/>
      </c>
      <c r="KY42" s="235" t="str">
        <f t="shared" si="159"/>
        <v/>
      </c>
      <c r="KZ42" s="235" t="str">
        <f t="shared" si="160"/>
        <v/>
      </c>
      <c r="LA42" s="235" t="str">
        <f t="shared" si="161"/>
        <v/>
      </c>
      <c r="LB42" s="235" t="str">
        <f t="shared" si="162"/>
        <v/>
      </c>
      <c r="LC42" s="235" t="str">
        <f t="shared" si="163"/>
        <v/>
      </c>
      <c r="LD42" s="134" t="str">
        <f t="shared" si="164"/>
        <v/>
      </c>
      <c r="LE42" s="134" t="str">
        <f t="shared" si="164"/>
        <v/>
      </c>
      <c r="LF42" s="134" t="str">
        <f t="shared" si="164"/>
        <v/>
      </c>
      <c r="LG42" s="134" t="str">
        <f t="shared" si="164"/>
        <v/>
      </c>
      <c r="LH42" s="134" t="str">
        <f t="shared" si="164"/>
        <v/>
      </c>
      <c r="LI42" s="134" t="str">
        <f t="shared" si="164"/>
        <v/>
      </c>
      <c r="LJ42" s="134" t="str">
        <f t="shared" si="164"/>
        <v/>
      </c>
      <c r="LK42" s="134" t="str">
        <f t="shared" si="164"/>
        <v/>
      </c>
      <c r="LL42" s="134" t="str">
        <f t="shared" si="164"/>
        <v/>
      </c>
      <c r="LM42" s="134" t="str">
        <f t="shared" si="190"/>
        <v/>
      </c>
      <c r="LN42" s="134" t="str">
        <f t="shared" si="190"/>
        <v/>
      </c>
      <c r="LO42" s="134" t="str">
        <f t="shared" si="190"/>
        <v/>
      </c>
      <c r="LP42" s="134" t="str">
        <f t="shared" si="190"/>
        <v/>
      </c>
      <c r="LQ42" s="134" t="str">
        <f t="shared" si="190"/>
        <v/>
      </c>
      <c r="LR42" s="134" t="str">
        <f t="shared" si="190"/>
        <v/>
      </c>
      <c r="LS42" s="134" t="str">
        <f t="shared" si="190"/>
        <v/>
      </c>
      <c r="LT42" s="134" t="str">
        <f t="shared" si="190"/>
        <v/>
      </c>
      <c r="LU42" s="134" t="str">
        <f t="shared" si="190"/>
        <v/>
      </c>
      <c r="LV42" s="134" t="str">
        <f t="shared" si="190"/>
        <v/>
      </c>
      <c r="LW42" s="134" t="str">
        <f t="shared" si="190"/>
        <v/>
      </c>
      <c r="LX42" s="134" t="str">
        <f t="shared" si="165"/>
        <v/>
      </c>
      <c r="LY42" s="134" t="str">
        <f t="shared" si="166"/>
        <v>  </v>
      </c>
      <c r="LZ42" s="236">
        <f t="shared" si="285"/>
        <v>0</v>
      </c>
      <c r="MA42" s="235" t="str">
        <f t="shared" si="167"/>
        <v/>
      </c>
      <c r="MB42" s="235" t="str">
        <f t="shared" si="168"/>
        <v/>
      </c>
      <c r="MC42" s="235" t="str">
        <f t="shared" si="169"/>
        <v/>
      </c>
      <c r="MD42" s="235" t="str">
        <f t="shared" si="170"/>
        <v/>
      </c>
      <c r="ME42" s="235" t="str">
        <f t="shared" si="171"/>
        <v/>
      </c>
      <c r="MF42" s="235" t="str">
        <f t="shared" si="172"/>
        <v/>
      </c>
      <c r="MG42" s="235" t="str">
        <f t="shared" si="173"/>
        <v/>
      </c>
      <c r="MH42" s="235" t="str">
        <f t="shared" si="174"/>
        <v/>
      </c>
      <c r="MI42" s="235" t="str">
        <f t="shared" si="175"/>
        <v/>
      </c>
      <c r="MJ42" s="235" t="str">
        <f t="shared" si="176"/>
        <v/>
      </c>
      <c r="MK42" s="235" t="str">
        <f t="shared" si="177"/>
        <v/>
      </c>
      <c r="ML42" s="235" t="str">
        <f t="shared" si="178"/>
        <v/>
      </c>
      <c r="MM42" s="235" t="str">
        <f t="shared" si="179"/>
        <v/>
      </c>
      <c r="MN42" s="235" t="str">
        <f t="shared" si="180"/>
        <v/>
      </c>
      <c r="MO42" s="235" t="str">
        <f t="shared" si="181"/>
        <v/>
      </c>
      <c r="MP42" s="235" t="str">
        <f t="shared" si="182"/>
        <v/>
      </c>
      <c r="MQ42" s="235" t="str">
        <f t="shared" si="183"/>
        <v/>
      </c>
      <c r="MR42" s="235" t="str">
        <f t="shared" si="184"/>
        <v/>
      </c>
      <c r="MS42" s="235" t="str">
        <f t="shared" si="185"/>
        <v/>
      </c>
      <c r="MT42" s="235" t="str">
        <f t="shared" si="186"/>
        <v/>
      </c>
      <c r="MU42" s="134" t="str">
        <f t="shared" si="187"/>
        <v/>
      </c>
      <c r="MV42" s="134" t="str">
        <f t="shared" si="187"/>
        <v/>
      </c>
      <c r="MW42" s="134" t="str">
        <f t="shared" si="187"/>
        <v/>
      </c>
      <c r="MX42" s="134" t="str">
        <f t="shared" si="187"/>
        <v/>
      </c>
      <c r="MY42" s="134" t="str">
        <f t="shared" si="187"/>
        <v/>
      </c>
      <c r="MZ42" s="134" t="str">
        <f t="shared" si="187"/>
        <v/>
      </c>
      <c r="NA42" s="134" t="str">
        <f t="shared" si="187"/>
        <v/>
      </c>
      <c r="NB42" s="134" t="str">
        <f t="shared" si="187"/>
        <v/>
      </c>
      <c r="NC42" s="134" t="str">
        <f t="shared" si="187"/>
        <v/>
      </c>
      <c r="ND42" s="134" t="str">
        <f t="shared" si="191"/>
        <v/>
      </c>
      <c r="NE42" s="134" t="str">
        <f t="shared" si="191"/>
        <v/>
      </c>
      <c r="NF42" s="134" t="str">
        <f t="shared" si="191"/>
        <v/>
      </c>
      <c r="NG42" s="134" t="str">
        <f t="shared" si="191"/>
        <v/>
      </c>
      <c r="NH42" s="134" t="str">
        <f t="shared" si="191"/>
        <v/>
      </c>
      <c r="NI42" s="134" t="str">
        <f t="shared" si="191"/>
        <v/>
      </c>
      <c r="NJ42" s="134" t="str">
        <f t="shared" si="191"/>
        <v/>
      </c>
      <c r="NK42" s="134" t="str">
        <f t="shared" si="191"/>
        <v/>
      </c>
      <c r="NL42" s="134" t="str">
        <f t="shared" si="191"/>
        <v/>
      </c>
      <c r="NM42" s="134" t="str">
        <f t="shared" si="191"/>
        <v/>
      </c>
      <c r="NN42" s="134" t="str">
        <f t="shared" si="191"/>
        <v/>
      </c>
      <c r="NO42" s="134" t="str">
        <f>IF(KE42=KH42,"",IF(KG42="","",IF(KG42&gt;=KONVERSI!$A$14,'KI4'!KH42&amp;" dalam"&amp;MU42&amp;MV42&amp;MW42&amp;MX42&amp;MY42&amp;MZ42&amp;NA42&amp;NB42&amp;NC42&amp;ND42&amp;NE42&amp;NF42&amp;NG42&amp;NH42&amp;NI42&amp;NJ42&amp;NK42&amp;NL42&amp;NM42&amp;NN42,KONVERSI!$C$19&amp;" dalam"&amp;MU42&amp;MV42&amp;MW42&amp;MX42&amp;MY42&amp;MZ42&amp;NA42&amp;NB42&amp;NC42&amp;ND42&amp;NE42&amp;NF42&amp;NG42&amp;NH42&amp;NI42&amp;NJ42&amp;NK42&amp;NL42&amp;NM42&amp;NN42)))</f>
        <v/>
      </c>
      <c r="NP42" s="134" t="str">
        <f t="shared" si="188"/>
        <v/>
      </c>
      <c r="NQ42" s="236">
        <f t="shared" si="286"/>
        <v>0</v>
      </c>
      <c r="NR42" s="134" t="str">
        <f t="shared" si="189"/>
        <v/>
      </c>
    </row>
    <row r="43" ht="27.6" customHeight="1" spans="1:382">
      <c r="A43" s="136"/>
      <c r="B43" s="177">
        <v>35</v>
      </c>
      <c r="C43" s="180">
        <f>siswa!C39</f>
        <v>0</v>
      </c>
      <c r="D43" s="174">
        <f>siswa!D39</f>
        <v>0</v>
      </c>
      <c r="E43" s="181"/>
      <c r="F43" s="176"/>
      <c r="G43" s="176"/>
      <c r="H43" s="176"/>
      <c r="I43" s="176"/>
      <c r="J43" s="176"/>
      <c r="K43" s="176"/>
      <c r="L43" s="176"/>
      <c r="M43" s="194" t="str">
        <f t="shared" si="192"/>
        <v/>
      </c>
      <c r="N43" s="181"/>
      <c r="O43" s="176"/>
      <c r="P43" s="176"/>
      <c r="Q43" s="176"/>
      <c r="R43" s="176"/>
      <c r="S43" s="176"/>
      <c r="T43" s="176"/>
      <c r="U43" s="176"/>
      <c r="V43" s="194" t="str">
        <f t="shared" si="193"/>
        <v/>
      </c>
      <c r="W43" s="181"/>
      <c r="X43" s="176"/>
      <c r="Y43" s="176"/>
      <c r="Z43" s="176"/>
      <c r="AA43" s="176"/>
      <c r="AB43" s="176"/>
      <c r="AC43" s="176"/>
      <c r="AD43" s="176"/>
      <c r="AE43" s="194" t="str">
        <f t="shared" si="194"/>
        <v/>
      </c>
      <c r="AF43" s="181"/>
      <c r="AG43" s="176"/>
      <c r="AH43" s="176"/>
      <c r="AI43" s="176"/>
      <c r="AJ43" s="176"/>
      <c r="AK43" s="176"/>
      <c r="AL43" s="176"/>
      <c r="AM43" s="176"/>
      <c r="AN43" s="194" t="str">
        <f t="shared" si="195"/>
        <v/>
      </c>
      <c r="AO43" s="181"/>
      <c r="AP43" s="176"/>
      <c r="AQ43" s="176"/>
      <c r="AR43" s="176"/>
      <c r="AS43" s="176"/>
      <c r="AT43" s="176"/>
      <c r="AU43" s="176"/>
      <c r="AV43" s="176"/>
      <c r="AW43" s="194" t="str">
        <f t="shared" si="112"/>
        <v/>
      </c>
      <c r="AX43" s="181"/>
      <c r="AY43" s="176"/>
      <c r="AZ43" s="176"/>
      <c r="BA43" s="176"/>
      <c r="BB43" s="176"/>
      <c r="BC43" s="176"/>
      <c r="BD43" s="176"/>
      <c r="BE43" s="176"/>
      <c r="BF43" s="194" t="str">
        <f t="shared" si="196"/>
        <v/>
      </c>
      <c r="BG43" s="181"/>
      <c r="BH43" s="176"/>
      <c r="BI43" s="176"/>
      <c r="BJ43" s="176"/>
      <c r="BK43" s="176"/>
      <c r="BL43" s="176"/>
      <c r="BM43" s="176"/>
      <c r="BN43" s="176"/>
      <c r="BO43" s="194" t="str">
        <f t="shared" si="113"/>
        <v/>
      </c>
      <c r="BP43" s="181"/>
      <c r="BQ43" s="176"/>
      <c r="BR43" s="176"/>
      <c r="BS43" s="176"/>
      <c r="BT43" s="176"/>
      <c r="BU43" s="176"/>
      <c r="BV43" s="176"/>
      <c r="BW43" s="176"/>
      <c r="BX43" s="194" t="str">
        <f t="shared" si="114"/>
        <v/>
      </c>
      <c r="BY43" s="181"/>
      <c r="BZ43" s="176"/>
      <c r="CA43" s="176"/>
      <c r="CB43" s="176"/>
      <c r="CC43" s="176"/>
      <c r="CD43" s="176"/>
      <c r="CE43" s="176"/>
      <c r="CF43" s="176"/>
      <c r="CG43" s="194" t="str">
        <f t="shared" si="115"/>
        <v/>
      </c>
      <c r="CH43" s="181"/>
      <c r="CI43" s="176"/>
      <c r="CJ43" s="176"/>
      <c r="CK43" s="176"/>
      <c r="CL43" s="176"/>
      <c r="CM43" s="176"/>
      <c r="CN43" s="176"/>
      <c r="CO43" s="176"/>
      <c r="CP43" s="194" t="str">
        <f t="shared" si="197"/>
        <v/>
      </c>
      <c r="CQ43" s="181"/>
      <c r="CR43" s="176"/>
      <c r="CS43" s="176"/>
      <c r="CT43" s="176"/>
      <c r="CU43" s="176"/>
      <c r="CV43" s="176"/>
      <c r="CW43" s="176"/>
      <c r="CX43" s="176"/>
      <c r="CY43" s="194" t="str">
        <f t="shared" si="116"/>
        <v/>
      </c>
      <c r="CZ43" s="181"/>
      <c r="DA43" s="176"/>
      <c r="DB43" s="176"/>
      <c r="DC43" s="176"/>
      <c r="DD43" s="176"/>
      <c r="DE43" s="176"/>
      <c r="DF43" s="176"/>
      <c r="DG43" s="176"/>
      <c r="DH43" s="194" t="str">
        <f t="shared" si="198"/>
        <v/>
      </c>
      <c r="DI43" s="181"/>
      <c r="DJ43" s="176"/>
      <c r="DK43" s="176"/>
      <c r="DL43" s="176"/>
      <c r="DM43" s="176"/>
      <c r="DN43" s="176"/>
      <c r="DO43" s="176"/>
      <c r="DP43" s="176"/>
      <c r="DQ43" s="194" t="str">
        <f t="shared" si="117"/>
        <v/>
      </c>
      <c r="DR43" s="181"/>
      <c r="DS43" s="176"/>
      <c r="DT43" s="176"/>
      <c r="DU43" s="176"/>
      <c r="DV43" s="176"/>
      <c r="DW43" s="176"/>
      <c r="DX43" s="176"/>
      <c r="DY43" s="176"/>
      <c r="DZ43" s="194" t="str">
        <f t="shared" si="199"/>
        <v/>
      </c>
      <c r="EA43" s="181"/>
      <c r="EB43" s="176"/>
      <c r="EC43" s="176"/>
      <c r="ED43" s="176"/>
      <c r="EE43" s="176"/>
      <c r="EF43" s="176"/>
      <c r="EG43" s="176"/>
      <c r="EH43" s="176"/>
      <c r="EI43" s="194" t="str">
        <f t="shared" si="200"/>
        <v/>
      </c>
      <c r="EJ43" s="181"/>
      <c r="EK43" s="176"/>
      <c r="EL43" s="176"/>
      <c r="EM43" s="176"/>
      <c r="EN43" s="176"/>
      <c r="EO43" s="176"/>
      <c r="EP43" s="176"/>
      <c r="EQ43" s="176"/>
      <c r="ER43" s="194" t="str">
        <f t="shared" si="201"/>
        <v/>
      </c>
      <c r="ES43" s="181"/>
      <c r="ET43" s="176"/>
      <c r="EU43" s="176"/>
      <c r="EV43" s="176"/>
      <c r="EW43" s="176"/>
      <c r="EX43" s="176"/>
      <c r="EY43" s="176"/>
      <c r="EZ43" s="176"/>
      <c r="FA43" s="194" t="str">
        <f t="shared" si="202"/>
        <v/>
      </c>
      <c r="FB43" s="181"/>
      <c r="FC43" s="176"/>
      <c r="FD43" s="176"/>
      <c r="FE43" s="176"/>
      <c r="FF43" s="176"/>
      <c r="FG43" s="176"/>
      <c r="FH43" s="176"/>
      <c r="FI43" s="176"/>
      <c r="FJ43" s="194" t="str">
        <f t="shared" si="203"/>
        <v/>
      </c>
      <c r="FK43" s="181"/>
      <c r="FL43" s="176"/>
      <c r="FM43" s="176"/>
      <c r="FN43" s="176"/>
      <c r="FO43" s="176"/>
      <c r="FP43" s="176"/>
      <c r="FQ43" s="176"/>
      <c r="FR43" s="176"/>
      <c r="FS43" s="194" t="str">
        <f t="shared" si="204"/>
        <v/>
      </c>
      <c r="FT43" s="181"/>
      <c r="FU43" s="176"/>
      <c r="FV43" s="176"/>
      <c r="FW43" s="176"/>
      <c r="FX43" s="176"/>
      <c r="FY43" s="176"/>
      <c r="FZ43" s="176"/>
      <c r="GA43" s="176"/>
      <c r="GB43" s="194" t="str">
        <f t="shared" si="118"/>
        <v/>
      </c>
      <c r="GC43" s="194" t="str">
        <f t="shared" si="119"/>
        <v/>
      </c>
      <c r="GD43" s="194" t="str">
        <f>IF(GC43="","",IF(GC43&gt;=KONVERSI!$A$5,KONVERSI!$D$5,IF(GC43&gt;=KONVERSI!$A$6,KONVERSI!$D$6,IF(GC43&gt;=KONVERSI!$A$7,KONVERSI!$D$7,KONVERSI!$D$8))))</f>
        <v/>
      </c>
      <c r="GE43" s="194" t="str">
        <f t="shared" si="120"/>
        <v/>
      </c>
      <c r="GF43" s="222"/>
      <c r="GG43" s="223">
        <f t="shared" si="205"/>
        <v>0</v>
      </c>
      <c r="GH43" s="194">
        <f t="shared" si="206"/>
        <v>0</v>
      </c>
      <c r="GI43" s="194">
        <f t="shared" si="207"/>
        <v>0</v>
      </c>
      <c r="GJ43" s="194">
        <f t="shared" si="208"/>
        <v>0</v>
      </c>
      <c r="GK43" s="194">
        <f t="shared" si="209"/>
        <v>0</v>
      </c>
      <c r="GL43" s="194">
        <f t="shared" si="210"/>
        <v>0</v>
      </c>
      <c r="GM43" s="194">
        <f t="shared" si="211"/>
        <v>0</v>
      </c>
      <c r="GN43" s="194">
        <f t="shared" si="212"/>
        <v>0</v>
      </c>
      <c r="GO43" s="194">
        <f t="shared" si="213"/>
        <v>0</v>
      </c>
      <c r="GP43" s="194">
        <f t="shared" si="214"/>
        <v>0</v>
      </c>
      <c r="GQ43" s="194">
        <f t="shared" si="215"/>
        <v>0</v>
      </c>
      <c r="GR43" s="194">
        <f t="shared" si="216"/>
        <v>0</v>
      </c>
      <c r="GS43" s="194">
        <f t="shared" si="217"/>
        <v>0</v>
      </c>
      <c r="GT43" s="194">
        <f t="shared" si="218"/>
        <v>0</v>
      </c>
      <c r="GU43" s="194">
        <f t="shared" si="219"/>
        <v>0</v>
      </c>
      <c r="GV43" s="194">
        <f t="shared" si="220"/>
        <v>0</v>
      </c>
      <c r="GW43" s="194">
        <f t="shared" si="221"/>
        <v>0</v>
      </c>
      <c r="GX43" s="194">
        <f t="shared" si="222"/>
        <v>0</v>
      </c>
      <c r="GY43" s="194">
        <f t="shared" si="223"/>
        <v>0</v>
      </c>
      <c r="GZ43" s="194">
        <f t="shared" si="224"/>
        <v>0</v>
      </c>
      <c r="HA43" s="194">
        <f t="shared" si="225"/>
        <v>0</v>
      </c>
      <c r="HB43" s="194">
        <f t="shared" si="226"/>
        <v>0</v>
      </c>
      <c r="HC43" s="194">
        <f t="shared" si="227"/>
        <v>0</v>
      </c>
      <c r="HD43" s="194">
        <f t="shared" si="228"/>
        <v>0</v>
      </c>
      <c r="HE43" s="194">
        <f t="shared" si="229"/>
        <v>0</v>
      </c>
      <c r="HF43" s="194">
        <f t="shared" si="230"/>
        <v>0</v>
      </c>
      <c r="HG43" s="194">
        <f t="shared" si="231"/>
        <v>0</v>
      </c>
      <c r="HH43" s="194">
        <f t="shared" si="232"/>
        <v>0</v>
      </c>
      <c r="HI43" s="194">
        <f t="shared" si="233"/>
        <v>0</v>
      </c>
      <c r="HJ43" s="194">
        <f t="shared" si="234"/>
        <v>0</v>
      </c>
      <c r="HK43" s="194">
        <f t="shared" si="235"/>
        <v>0</v>
      </c>
      <c r="HL43" s="194">
        <f t="shared" si="236"/>
        <v>0</v>
      </c>
      <c r="HM43" s="194">
        <f t="shared" si="237"/>
        <v>0</v>
      </c>
      <c r="HN43" s="194">
        <f t="shared" si="238"/>
        <v>0</v>
      </c>
      <c r="HO43" s="194">
        <f t="shared" si="239"/>
        <v>0</v>
      </c>
      <c r="HP43" s="194">
        <f t="shared" si="240"/>
        <v>0</v>
      </c>
      <c r="HQ43" s="194">
        <f t="shared" si="241"/>
        <v>0</v>
      </c>
      <c r="HR43" s="194">
        <f t="shared" si="242"/>
        <v>0</v>
      </c>
      <c r="HS43" s="194">
        <f t="shared" si="243"/>
        <v>0</v>
      </c>
      <c r="HT43" s="194">
        <f t="shared" si="244"/>
        <v>0</v>
      </c>
      <c r="HU43" s="194">
        <f t="shared" si="245"/>
        <v>0</v>
      </c>
      <c r="HV43" s="194">
        <f t="shared" si="246"/>
        <v>0</v>
      </c>
      <c r="HW43" s="194">
        <f t="shared" si="247"/>
        <v>0</v>
      </c>
      <c r="HX43" s="194">
        <f t="shared" si="248"/>
        <v>0</v>
      </c>
      <c r="HY43" s="194">
        <f t="shared" si="249"/>
        <v>0</v>
      </c>
      <c r="HZ43" s="194">
        <f t="shared" si="250"/>
        <v>0</v>
      </c>
      <c r="IA43" s="194">
        <f t="shared" si="251"/>
        <v>0</v>
      </c>
      <c r="IB43" s="194">
        <f t="shared" si="252"/>
        <v>0</v>
      </c>
      <c r="IC43" s="194">
        <f t="shared" si="253"/>
        <v>0</v>
      </c>
      <c r="ID43" s="194">
        <f t="shared" si="254"/>
        <v>0</v>
      </c>
      <c r="IE43" s="194">
        <f t="shared" si="255"/>
        <v>0</v>
      </c>
      <c r="IF43" s="194">
        <f t="shared" si="256"/>
        <v>0</v>
      </c>
      <c r="IG43" s="194">
        <f t="shared" si="257"/>
        <v>0</v>
      </c>
      <c r="IH43" s="194">
        <f t="shared" si="258"/>
        <v>0</v>
      </c>
      <c r="II43" s="194">
        <f t="shared" si="259"/>
        <v>0</v>
      </c>
      <c r="IJ43" s="194">
        <f t="shared" si="260"/>
        <v>0</v>
      </c>
      <c r="IK43" s="194">
        <f t="shared" si="261"/>
        <v>0</v>
      </c>
      <c r="IL43" s="194">
        <f t="shared" si="262"/>
        <v>0</v>
      </c>
      <c r="IM43" s="194">
        <f t="shared" si="263"/>
        <v>0</v>
      </c>
      <c r="IN43" s="194">
        <f t="shared" si="264"/>
        <v>0</v>
      </c>
      <c r="IO43" s="194">
        <f t="shared" si="265"/>
        <v>0</v>
      </c>
      <c r="IP43" s="194">
        <f t="shared" si="266"/>
        <v>0</v>
      </c>
      <c r="IQ43" s="194">
        <f t="shared" si="267"/>
        <v>0</v>
      </c>
      <c r="IR43" s="194">
        <f t="shared" si="268"/>
        <v>0</v>
      </c>
      <c r="IS43" s="194">
        <f t="shared" si="269"/>
        <v>0</v>
      </c>
      <c r="IT43" s="194">
        <f t="shared" si="270"/>
        <v>0</v>
      </c>
      <c r="IU43" s="194">
        <f t="shared" si="271"/>
        <v>0</v>
      </c>
      <c r="IV43" s="194">
        <f t="shared" si="272"/>
        <v>0</v>
      </c>
      <c r="IW43" s="194">
        <f t="shared" si="273"/>
        <v>0</v>
      </c>
      <c r="IX43" s="194">
        <f t="shared" si="274"/>
        <v>0</v>
      </c>
      <c r="IY43" s="194">
        <f t="shared" si="275"/>
        <v>0</v>
      </c>
      <c r="IZ43" s="194">
        <f t="shared" si="276"/>
        <v>0</v>
      </c>
      <c r="JA43" s="194">
        <f t="shared" si="277"/>
        <v>0</v>
      </c>
      <c r="JB43" s="194">
        <f t="shared" si="278"/>
        <v>0</v>
      </c>
      <c r="JC43" s="194">
        <f t="shared" si="279"/>
        <v>0</v>
      </c>
      <c r="JD43" s="194">
        <f t="shared" si="280"/>
        <v>0</v>
      </c>
      <c r="JE43" s="194">
        <f t="shared" si="281"/>
        <v>0</v>
      </c>
      <c r="JF43" s="194">
        <f t="shared" si="282"/>
        <v>0</v>
      </c>
      <c r="JG43" s="194">
        <f t="shared" si="283"/>
        <v>0</v>
      </c>
      <c r="JH43" s="194">
        <f t="shared" si="284"/>
        <v>0</v>
      </c>
      <c r="JI43" s="228">
        <v>35</v>
      </c>
      <c r="JJ43" s="229" t="str">
        <f t="shared" si="121"/>
        <v/>
      </c>
      <c r="JK43" s="229" t="str">
        <f t="shared" si="122"/>
        <v/>
      </c>
      <c r="JL43" s="229" t="str">
        <f t="shared" si="123"/>
        <v/>
      </c>
      <c r="JM43" s="229" t="str">
        <f t="shared" si="124"/>
        <v/>
      </c>
      <c r="JN43" s="229" t="str">
        <f t="shared" si="125"/>
        <v/>
      </c>
      <c r="JO43" s="229" t="str">
        <f t="shared" si="126"/>
        <v/>
      </c>
      <c r="JP43" s="229" t="str">
        <f t="shared" si="127"/>
        <v/>
      </c>
      <c r="JQ43" s="229" t="str">
        <f t="shared" si="128"/>
        <v/>
      </c>
      <c r="JR43" s="229" t="str">
        <f t="shared" si="129"/>
        <v/>
      </c>
      <c r="JS43" s="229" t="str">
        <f t="shared" si="130"/>
        <v/>
      </c>
      <c r="JT43" s="229" t="str">
        <f t="shared" si="131"/>
        <v/>
      </c>
      <c r="JU43" s="229" t="str">
        <f t="shared" si="132"/>
        <v/>
      </c>
      <c r="JV43" s="229" t="str">
        <f t="shared" si="133"/>
        <v/>
      </c>
      <c r="JW43" s="229" t="str">
        <f t="shared" si="134"/>
        <v/>
      </c>
      <c r="JX43" s="229" t="str">
        <f t="shared" si="135"/>
        <v/>
      </c>
      <c r="JY43" s="229" t="str">
        <f t="shared" si="136"/>
        <v/>
      </c>
      <c r="JZ43" s="229" t="str">
        <f t="shared" si="137"/>
        <v/>
      </c>
      <c r="KA43" s="229" t="str">
        <f t="shared" si="138"/>
        <v/>
      </c>
      <c r="KB43" s="229" t="str">
        <f t="shared" si="139"/>
        <v/>
      </c>
      <c r="KC43" s="229" t="str">
        <f t="shared" si="140"/>
        <v/>
      </c>
      <c r="KD43" s="231" t="str">
        <f t="shared" si="141"/>
        <v/>
      </c>
      <c r="KE43" s="232" t="str">
        <f>IF(KD43="","",IF(KD43&gt;=KONVERSI!$A$5,KONVERSI!$E$12,IF(KD43&gt;=KONVERSI!$A$6,KONVERSI!$E$13,IF(KD43&gt;=KONVERSI!$A$7,KONVERSI!$E$14,KONVERSI!$E$15))))</f>
        <v/>
      </c>
      <c r="KF43" s="233" t="str">
        <f t="shared" si="142"/>
        <v/>
      </c>
      <c r="KG43" s="234" t="str">
        <f t="shared" si="143"/>
        <v/>
      </c>
      <c r="KH43" s="232" t="str">
        <f>IF(KG43="","",IF(KG43&gt;=KONVERSI!$A$5,KONVERSI!$E$12,IF(KG43&gt;=KONVERSI!$A$6,KONVERSI!$E$13,IF(KG43&gt;=KONVERSI!$A$7,KONVERSI!$E$14,KONVERSI!$E$15))))</f>
        <v/>
      </c>
      <c r="KI43" s="134" t="str">
        <f>IF(GC43="","",IF(GC43&lt;$GD$3," "&amp;KONVERSI!$C$19&amp;INDEX($JJ$8:$KC$8,MATCH(KG44,JJ44:KC44,0))&amp;".",IF(GC43=0,"",IF(KG43&lt;&gt;0,KF43&amp;KH43&amp;".",KF43&amp;"."))))</f>
        <v/>
      </c>
      <c r="KJ43" s="235" t="str">
        <f t="shared" si="144"/>
        <v/>
      </c>
      <c r="KK43" s="235" t="str">
        <f t="shared" si="145"/>
        <v/>
      </c>
      <c r="KL43" s="235" t="str">
        <f t="shared" si="146"/>
        <v/>
      </c>
      <c r="KM43" s="235" t="str">
        <f t="shared" si="147"/>
        <v/>
      </c>
      <c r="KN43" s="235" t="str">
        <f t="shared" si="148"/>
        <v/>
      </c>
      <c r="KO43" s="235" t="str">
        <f t="shared" si="149"/>
        <v/>
      </c>
      <c r="KP43" s="235" t="str">
        <f t="shared" si="150"/>
        <v/>
      </c>
      <c r="KQ43" s="235" t="str">
        <f t="shared" si="151"/>
        <v/>
      </c>
      <c r="KR43" s="235" t="str">
        <f t="shared" si="152"/>
        <v/>
      </c>
      <c r="KS43" s="235" t="str">
        <f t="shared" si="153"/>
        <v/>
      </c>
      <c r="KT43" s="235" t="str">
        <f t="shared" si="154"/>
        <v/>
      </c>
      <c r="KU43" s="235" t="str">
        <f t="shared" si="155"/>
        <v/>
      </c>
      <c r="KV43" s="235" t="str">
        <f t="shared" si="156"/>
        <v/>
      </c>
      <c r="KW43" s="235" t="str">
        <f t="shared" si="157"/>
        <v/>
      </c>
      <c r="KX43" s="235" t="str">
        <f t="shared" si="158"/>
        <v/>
      </c>
      <c r="KY43" s="235" t="str">
        <f t="shared" si="159"/>
        <v/>
      </c>
      <c r="KZ43" s="235" t="str">
        <f t="shared" si="160"/>
        <v/>
      </c>
      <c r="LA43" s="235" t="str">
        <f t="shared" si="161"/>
        <v/>
      </c>
      <c r="LB43" s="235" t="str">
        <f t="shared" si="162"/>
        <v/>
      </c>
      <c r="LC43" s="235" t="str">
        <f t="shared" si="163"/>
        <v/>
      </c>
      <c r="LD43" s="134" t="str">
        <f t="shared" si="164"/>
        <v/>
      </c>
      <c r="LE43" s="134" t="str">
        <f t="shared" si="164"/>
        <v/>
      </c>
      <c r="LF43" s="134" t="str">
        <f t="shared" si="164"/>
        <v/>
      </c>
      <c r="LG43" s="134" t="str">
        <f t="shared" si="164"/>
        <v/>
      </c>
      <c r="LH43" s="134" t="str">
        <f t="shared" si="164"/>
        <v/>
      </c>
      <c r="LI43" s="134" t="str">
        <f t="shared" si="164"/>
        <v/>
      </c>
      <c r="LJ43" s="134" t="str">
        <f t="shared" si="164"/>
        <v/>
      </c>
      <c r="LK43" s="134" t="str">
        <f t="shared" si="164"/>
        <v/>
      </c>
      <c r="LL43" s="134" t="str">
        <f t="shared" si="164"/>
        <v/>
      </c>
      <c r="LM43" s="134" t="str">
        <f t="shared" si="190"/>
        <v/>
      </c>
      <c r="LN43" s="134" t="str">
        <f t="shared" si="190"/>
        <v/>
      </c>
      <c r="LO43" s="134" t="str">
        <f t="shared" si="190"/>
        <v/>
      </c>
      <c r="LP43" s="134" t="str">
        <f t="shared" si="190"/>
        <v/>
      </c>
      <c r="LQ43" s="134" t="str">
        <f t="shared" si="190"/>
        <v/>
      </c>
      <c r="LR43" s="134" t="str">
        <f t="shared" si="190"/>
        <v/>
      </c>
      <c r="LS43" s="134" t="str">
        <f t="shared" si="190"/>
        <v/>
      </c>
      <c r="LT43" s="134" t="str">
        <f t="shared" si="190"/>
        <v/>
      </c>
      <c r="LU43" s="134" t="str">
        <f t="shared" si="190"/>
        <v/>
      </c>
      <c r="LV43" s="134" t="str">
        <f t="shared" si="190"/>
        <v/>
      </c>
      <c r="LW43" s="134" t="str">
        <f t="shared" si="190"/>
        <v/>
      </c>
      <c r="LX43" s="134" t="str">
        <f t="shared" si="165"/>
        <v/>
      </c>
      <c r="LY43" s="134" t="str">
        <f t="shared" si="166"/>
        <v>  </v>
      </c>
      <c r="LZ43" s="236">
        <f t="shared" si="285"/>
        <v>0</v>
      </c>
      <c r="MA43" s="235" t="str">
        <f t="shared" si="167"/>
        <v/>
      </c>
      <c r="MB43" s="235" t="str">
        <f t="shared" si="168"/>
        <v/>
      </c>
      <c r="MC43" s="235" t="str">
        <f t="shared" si="169"/>
        <v/>
      </c>
      <c r="MD43" s="235" t="str">
        <f t="shared" si="170"/>
        <v/>
      </c>
      <c r="ME43" s="235" t="str">
        <f t="shared" si="171"/>
        <v/>
      </c>
      <c r="MF43" s="235" t="str">
        <f t="shared" si="172"/>
        <v/>
      </c>
      <c r="MG43" s="235" t="str">
        <f t="shared" si="173"/>
        <v/>
      </c>
      <c r="MH43" s="235" t="str">
        <f t="shared" si="174"/>
        <v/>
      </c>
      <c r="MI43" s="235" t="str">
        <f t="shared" si="175"/>
        <v/>
      </c>
      <c r="MJ43" s="235" t="str">
        <f t="shared" si="176"/>
        <v/>
      </c>
      <c r="MK43" s="235" t="str">
        <f t="shared" si="177"/>
        <v/>
      </c>
      <c r="ML43" s="235" t="str">
        <f t="shared" si="178"/>
        <v/>
      </c>
      <c r="MM43" s="235" t="str">
        <f t="shared" si="179"/>
        <v/>
      </c>
      <c r="MN43" s="235" t="str">
        <f t="shared" si="180"/>
        <v/>
      </c>
      <c r="MO43" s="235" t="str">
        <f t="shared" si="181"/>
        <v/>
      </c>
      <c r="MP43" s="235" t="str">
        <f t="shared" si="182"/>
        <v/>
      </c>
      <c r="MQ43" s="235" t="str">
        <f t="shared" si="183"/>
        <v/>
      </c>
      <c r="MR43" s="235" t="str">
        <f t="shared" si="184"/>
        <v/>
      </c>
      <c r="MS43" s="235" t="str">
        <f t="shared" si="185"/>
        <v/>
      </c>
      <c r="MT43" s="235" t="str">
        <f t="shared" si="186"/>
        <v/>
      </c>
      <c r="MU43" s="134" t="str">
        <f t="shared" si="187"/>
        <v/>
      </c>
      <c r="MV43" s="134" t="str">
        <f t="shared" si="187"/>
        <v/>
      </c>
      <c r="MW43" s="134" t="str">
        <f t="shared" si="187"/>
        <v/>
      </c>
      <c r="MX43" s="134" t="str">
        <f t="shared" si="187"/>
        <v/>
      </c>
      <c r="MY43" s="134" t="str">
        <f t="shared" si="187"/>
        <v/>
      </c>
      <c r="MZ43" s="134" t="str">
        <f t="shared" si="187"/>
        <v/>
      </c>
      <c r="NA43" s="134" t="str">
        <f t="shared" si="187"/>
        <v/>
      </c>
      <c r="NB43" s="134" t="str">
        <f t="shared" si="187"/>
        <v/>
      </c>
      <c r="NC43" s="134" t="str">
        <f t="shared" si="187"/>
        <v/>
      </c>
      <c r="ND43" s="134" t="str">
        <f t="shared" si="191"/>
        <v/>
      </c>
      <c r="NE43" s="134" t="str">
        <f t="shared" si="191"/>
        <v/>
      </c>
      <c r="NF43" s="134" t="str">
        <f t="shared" si="191"/>
        <v/>
      </c>
      <c r="NG43" s="134" t="str">
        <f t="shared" si="191"/>
        <v/>
      </c>
      <c r="NH43" s="134" t="str">
        <f t="shared" si="191"/>
        <v/>
      </c>
      <c r="NI43" s="134" t="str">
        <f t="shared" si="191"/>
        <v/>
      </c>
      <c r="NJ43" s="134" t="str">
        <f t="shared" si="191"/>
        <v/>
      </c>
      <c r="NK43" s="134" t="str">
        <f t="shared" si="191"/>
        <v/>
      </c>
      <c r="NL43" s="134" t="str">
        <f t="shared" si="191"/>
        <v/>
      </c>
      <c r="NM43" s="134" t="str">
        <f t="shared" si="191"/>
        <v/>
      </c>
      <c r="NN43" s="134" t="str">
        <f t="shared" si="191"/>
        <v/>
      </c>
      <c r="NO43" s="134" t="str">
        <f>IF(KE43=KH43,"",IF(KG43="","",IF(KG43&gt;=KONVERSI!$A$14,'KI4'!KH43&amp;" dalam"&amp;MU43&amp;MV43&amp;MW43&amp;MX43&amp;MY43&amp;MZ43&amp;NA43&amp;NB43&amp;NC43&amp;ND43&amp;NE43&amp;NF43&amp;NG43&amp;NH43&amp;NI43&amp;NJ43&amp;NK43&amp;NL43&amp;NM43&amp;NN43,KONVERSI!$C$19&amp;" dalam"&amp;MU43&amp;MV43&amp;MW43&amp;MX43&amp;MY43&amp;MZ43&amp;NA43&amp;NB43&amp;NC43&amp;ND43&amp;NE43&amp;NF43&amp;NG43&amp;NH43&amp;NI43&amp;NJ43&amp;NK43&amp;NL43&amp;NM43&amp;NN43)))</f>
        <v/>
      </c>
      <c r="NP43" s="134" t="str">
        <f t="shared" si="188"/>
        <v/>
      </c>
      <c r="NQ43" s="236">
        <f t="shared" si="286"/>
        <v>0</v>
      </c>
      <c r="NR43" s="134" t="str">
        <f t="shared" si="189"/>
        <v/>
      </c>
    </row>
    <row r="44" ht="27.6" customHeight="1" spans="1:382">
      <c r="A44" s="136"/>
      <c r="B44" s="177">
        <v>36</v>
      </c>
      <c r="C44" s="180">
        <f>siswa!C40</f>
        <v>0</v>
      </c>
      <c r="D44" s="174">
        <f>siswa!D40</f>
        <v>0</v>
      </c>
      <c r="E44" s="181"/>
      <c r="F44" s="176"/>
      <c r="G44" s="176"/>
      <c r="H44" s="176"/>
      <c r="I44" s="176"/>
      <c r="J44" s="176"/>
      <c r="K44" s="176"/>
      <c r="L44" s="176"/>
      <c r="M44" s="194" t="str">
        <f t="shared" si="192"/>
        <v/>
      </c>
      <c r="N44" s="181"/>
      <c r="O44" s="176"/>
      <c r="P44" s="176"/>
      <c r="Q44" s="176"/>
      <c r="R44" s="176"/>
      <c r="S44" s="176"/>
      <c r="T44" s="176"/>
      <c r="U44" s="176"/>
      <c r="V44" s="194" t="str">
        <f t="shared" si="193"/>
        <v/>
      </c>
      <c r="W44" s="181"/>
      <c r="X44" s="176"/>
      <c r="Y44" s="176"/>
      <c r="Z44" s="176"/>
      <c r="AA44" s="176"/>
      <c r="AB44" s="176"/>
      <c r="AC44" s="176"/>
      <c r="AD44" s="176"/>
      <c r="AE44" s="194" t="str">
        <f t="shared" si="194"/>
        <v/>
      </c>
      <c r="AF44" s="181"/>
      <c r="AG44" s="176"/>
      <c r="AH44" s="176"/>
      <c r="AI44" s="176"/>
      <c r="AJ44" s="176"/>
      <c r="AK44" s="176"/>
      <c r="AL44" s="176"/>
      <c r="AM44" s="176"/>
      <c r="AN44" s="194" t="str">
        <f t="shared" si="195"/>
        <v/>
      </c>
      <c r="AO44" s="181"/>
      <c r="AP44" s="176"/>
      <c r="AQ44" s="176"/>
      <c r="AR44" s="176"/>
      <c r="AS44" s="176"/>
      <c r="AT44" s="176"/>
      <c r="AU44" s="176"/>
      <c r="AV44" s="176"/>
      <c r="AW44" s="194" t="str">
        <f t="shared" si="112"/>
        <v/>
      </c>
      <c r="AX44" s="181"/>
      <c r="AY44" s="176"/>
      <c r="AZ44" s="176"/>
      <c r="BA44" s="176"/>
      <c r="BB44" s="176"/>
      <c r="BC44" s="176"/>
      <c r="BD44" s="176"/>
      <c r="BE44" s="176"/>
      <c r="BF44" s="194" t="str">
        <f t="shared" si="196"/>
        <v/>
      </c>
      <c r="BG44" s="181"/>
      <c r="BH44" s="176"/>
      <c r="BI44" s="176"/>
      <c r="BJ44" s="176"/>
      <c r="BK44" s="176"/>
      <c r="BL44" s="176"/>
      <c r="BM44" s="176"/>
      <c r="BN44" s="176"/>
      <c r="BO44" s="194" t="str">
        <f t="shared" si="113"/>
        <v/>
      </c>
      <c r="BP44" s="181"/>
      <c r="BQ44" s="176"/>
      <c r="BR44" s="176"/>
      <c r="BS44" s="176"/>
      <c r="BT44" s="176"/>
      <c r="BU44" s="176"/>
      <c r="BV44" s="176"/>
      <c r="BW44" s="176"/>
      <c r="BX44" s="194" t="str">
        <f t="shared" si="114"/>
        <v/>
      </c>
      <c r="BY44" s="181"/>
      <c r="BZ44" s="176"/>
      <c r="CA44" s="176"/>
      <c r="CB44" s="176"/>
      <c r="CC44" s="176"/>
      <c r="CD44" s="176"/>
      <c r="CE44" s="176"/>
      <c r="CF44" s="176"/>
      <c r="CG44" s="194" t="str">
        <f t="shared" si="115"/>
        <v/>
      </c>
      <c r="CH44" s="181"/>
      <c r="CI44" s="176"/>
      <c r="CJ44" s="176"/>
      <c r="CK44" s="176"/>
      <c r="CL44" s="176"/>
      <c r="CM44" s="176"/>
      <c r="CN44" s="176"/>
      <c r="CO44" s="176"/>
      <c r="CP44" s="194" t="str">
        <f t="shared" si="197"/>
        <v/>
      </c>
      <c r="CQ44" s="181"/>
      <c r="CR44" s="176"/>
      <c r="CS44" s="176"/>
      <c r="CT44" s="176"/>
      <c r="CU44" s="176"/>
      <c r="CV44" s="176"/>
      <c r="CW44" s="176"/>
      <c r="CX44" s="176"/>
      <c r="CY44" s="194" t="str">
        <f t="shared" si="116"/>
        <v/>
      </c>
      <c r="CZ44" s="181"/>
      <c r="DA44" s="176"/>
      <c r="DB44" s="176"/>
      <c r="DC44" s="176"/>
      <c r="DD44" s="176"/>
      <c r="DE44" s="176"/>
      <c r="DF44" s="176"/>
      <c r="DG44" s="176"/>
      <c r="DH44" s="194" t="str">
        <f t="shared" si="198"/>
        <v/>
      </c>
      <c r="DI44" s="181"/>
      <c r="DJ44" s="176"/>
      <c r="DK44" s="176"/>
      <c r="DL44" s="176"/>
      <c r="DM44" s="176"/>
      <c r="DN44" s="176"/>
      <c r="DO44" s="176"/>
      <c r="DP44" s="176"/>
      <c r="DQ44" s="194" t="str">
        <f t="shared" si="117"/>
        <v/>
      </c>
      <c r="DR44" s="181"/>
      <c r="DS44" s="176"/>
      <c r="DT44" s="176"/>
      <c r="DU44" s="176"/>
      <c r="DV44" s="176"/>
      <c r="DW44" s="176"/>
      <c r="DX44" s="176"/>
      <c r="DY44" s="176"/>
      <c r="DZ44" s="194" t="str">
        <f t="shared" si="199"/>
        <v/>
      </c>
      <c r="EA44" s="181"/>
      <c r="EB44" s="176"/>
      <c r="EC44" s="176"/>
      <c r="ED44" s="176"/>
      <c r="EE44" s="176"/>
      <c r="EF44" s="176"/>
      <c r="EG44" s="176"/>
      <c r="EH44" s="176"/>
      <c r="EI44" s="194" t="str">
        <f t="shared" si="200"/>
        <v/>
      </c>
      <c r="EJ44" s="181"/>
      <c r="EK44" s="176"/>
      <c r="EL44" s="176"/>
      <c r="EM44" s="176"/>
      <c r="EN44" s="176"/>
      <c r="EO44" s="176"/>
      <c r="EP44" s="176"/>
      <c r="EQ44" s="176"/>
      <c r="ER44" s="194" t="str">
        <f t="shared" si="201"/>
        <v/>
      </c>
      <c r="ES44" s="181"/>
      <c r="ET44" s="176"/>
      <c r="EU44" s="176"/>
      <c r="EV44" s="176"/>
      <c r="EW44" s="176"/>
      <c r="EX44" s="176"/>
      <c r="EY44" s="176"/>
      <c r="EZ44" s="176"/>
      <c r="FA44" s="194" t="str">
        <f t="shared" si="202"/>
        <v/>
      </c>
      <c r="FB44" s="181"/>
      <c r="FC44" s="176"/>
      <c r="FD44" s="176"/>
      <c r="FE44" s="176"/>
      <c r="FF44" s="176"/>
      <c r="FG44" s="176"/>
      <c r="FH44" s="176"/>
      <c r="FI44" s="176"/>
      <c r="FJ44" s="194" t="str">
        <f t="shared" si="203"/>
        <v/>
      </c>
      <c r="FK44" s="181"/>
      <c r="FL44" s="176"/>
      <c r="FM44" s="176"/>
      <c r="FN44" s="176"/>
      <c r="FO44" s="176"/>
      <c r="FP44" s="176"/>
      <c r="FQ44" s="176"/>
      <c r="FR44" s="176"/>
      <c r="FS44" s="194" t="str">
        <f t="shared" si="204"/>
        <v/>
      </c>
      <c r="FT44" s="181"/>
      <c r="FU44" s="176"/>
      <c r="FV44" s="176"/>
      <c r="FW44" s="176"/>
      <c r="FX44" s="176"/>
      <c r="FY44" s="176"/>
      <c r="FZ44" s="176"/>
      <c r="GA44" s="176"/>
      <c r="GB44" s="194" t="str">
        <f t="shared" si="118"/>
        <v/>
      </c>
      <c r="GC44" s="194" t="str">
        <f t="shared" si="119"/>
        <v/>
      </c>
      <c r="GD44" s="194" t="str">
        <f>IF(GC44="","",IF(GC44&gt;=KONVERSI!$A$5,KONVERSI!$D$5,IF(GC44&gt;=KONVERSI!$A$6,KONVERSI!$D$6,IF(GC44&gt;=KONVERSI!$A$7,KONVERSI!$D$7,KONVERSI!$D$8))))</f>
        <v/>
      </c>
      <c r="GE44" s="194" t="str">
        <f t="shared" si="120"/>
        <v/>
      </c>
      <c r="GF44" s="222"/>
      <c r="GG44" s="223">
        <f t="shared" si="205"/>
        <v>0</v>
      </c>
      <c r="GH44" s="194">
        <f t="shared" si="206"/>
        <v>0</v>
      </c>
      <c r="GI44" s="194">
        <f t="shared" si="207"/>
        <v>0</v>
      </c>
      <c r="GJ44" s="194">
        <f t="shared" si="208"/>
        <v>0</v>
      </c>
      <c r="GK44" s="194">
        <f t="shared" si="209"/>
        <v>0</v>
      </c>
      <c r="GL44" s="194">
        <f t="shared" si="210"/>
        <v>0</v>
      </c>
      <c r="GM44" s="194">
        <f t="shared" si="211"/>
        <v>0</v>
      </c>
      <c r="GN44" s="194">
        <f t="shared" si="212"/>
        <v>0</v>
      </c>
      <c r="GO44" s="194">
        <f t="shared" si="213"/>
        <v>0</v>
      </c>
      <c r="GP44" s="194">
        <f t="shared" si="214"/>
        <v>0</v>
      </c>
      <c r="GQ44" s="194">
        <f t="shared" si="215"/>
        <v>0</v>
      </c>
      <c r="GR44" s="194">
        <f t="shared" si="216"/>
        <v>0</v>
      </c>
      <c r="GS44" s="194">
        <f t="shared" si="217"/>
        <v>0</v>
      </c>
      <c r="GT44" s="194">
        <f t="shared" si="218"/>
        <v>0</v>
      </c>
      <c r="GU44" s="194">
        <f t="shared" si="219"/>
        <v>0</v>
      </c>
      <c r="GV44" s="194">
        <f t="shared" si="220"/>
        <v>0</v>
      </c>
      <c r="GW44" s="194">
        <f t="shared" si="221"/>
        <v>0</v>
      </c>
      <c r="GX44" s="194">
        <f t="shared" si="222"/>
        <v>0</v>
      </c>
      <c r="GY44" s="194">
        <f t="shared" si="223"/>
        <v>0</v>
      </c>
      <c r="GZ44" s="194">
        <f t="shared" si="224"/>
        <v>0</v>
      </c>
      <c r="HA44" s="194">
        <f t="shared" si="225"/>
        <v>0</v>
      </c>
      <c r="HB44" s="194">
        <f t="shared" si="226"/>
        <v>0</v>
      </c>
      <c r="HC44" s="194">
        <f t="shared" si="227"/>
        <v>0</v>
      </c>
      <c r="HD44" s="194">
        <f t="shared" si="228"/>
        <v>0</v>
      </c>
      <c r="HE44" s="194">
        <f t="shared" si="229"/>
        <v>0</v>
      </c>
      <c r="HF44" s="194">
        <f t="shared" si="230"/>
        <v>0</v>
      </c>
      <c r="HG44" s="194">
        <f t="shared" si="231"/>
        <v>0</v>
      </c>
      <c r="HH44" s="194">
        <f t="shared" si="232"/>
        <v>0</v>
      </c>
      <c r="HI44" s="194">
        <f t="shared" si="233"/>
        <v>0</v>
      </c>
      <c r="HJ44" s="194">
        <f t="shared" si="234"/>
        <v>0</v>
      </c>
      <c r="HK44" s="194">
        <f t="shared" si="235"/>
        <v>0</v>
      </c>
      <c r="HL44" s="194">
        <f t="shared" si="236"/>
        <v>0</v>
      </c>
      <c r="HM44" s="194">
        <f t="shared" si="237"/>
        <v>0</v>
      </c>
      <c r="HN44" s="194">
        <f t="shared" si="238"/>
        <v>0</v>
      </c>
      <c r="HO44" s="194">
        <f t="shared" si="239"/>
        <v>0</v>
      </c>
      <c r="HP44" s="194">
        <f t="shared" si="240"/>
        <v>0</v>
      </c>
      <c r="HQ44" s="194">
        <f t="shared" si="241"/>
        <v>0</v>
      </c>
      <c r="HR44" s="194">
        <f t="shared" si="242"/>
        <v>0</v>
      </c>
      <c r="HS44" s="194">
        <f t="shared" si="243"/>
        <v>0</v>
      </c>
      <c r="HT44" s="194">
        <f t="shared" si="244"/>
        <v>0</v>
      </c>
      <c r="HU44" s="194">
        <f t="shared" si="245"/>
        <v>0</v>
      </c>
      <c r="HV44" s="194">
        <f t="shared" si="246"/>
        <v>0</v>
      </c>
      <c r="HW44" s="194">
        <f t="shared" si="247"/>
        <v>0</v>
      </c>
      <c r="HX44" s="194">
        <f t="shared" si="248"/>
        <v>0</v>
      </c>
      <c r="HY44" s="194">
        <f t="shared" si="249"/>
        <v>0</v>
      </c>
      <c r="HZ44" s="194">
        <f t="shared" si="250"/>
        <v>0</v>
      </c>
      <c r="IA44" s="194">
        <f t="shared" si="251"/>
        <v>0</v>
      </c>
      <c r="IB44" s="194">
        <f t="shared" si="252"/>
        <v>0</v>
      </c>
      <c r="IC44" s="194">
        <f t="shared" si="253"/>
        <v>0</v>
      </c>
      <c r="ID44" s="194">
        <f t="shared" si="254"/>
        <v>0</v>
      </c>
      <c r="IE44" s="194">
        <f t="shared" si="255"/>
        <v>0</v>
      </c>
      <c r="IF44" s="194">
        <f t="shared" si="256"/>
        <v>0</v>
      </c>
      <c r="IG44" s="194">
        <f t="shared" si="257"/>
        <v>0</v>
      </c>
      <c r="IH44" s="194">
        <f t="shared" si="258"/>
        <v>0</v>
      </c>
      <c r="II44" s="194">
        <f t="shared" si="259"/>
        <v>0</v>
      </c>
      <c r="IJ44" s="194">
        <f t="shared" si="260"/>
        <v>0</v>
      </c>
      <c r="IK44" s="194">
        <f t="shared" si="261"/>
        <v>0</v>
      </c>
      <c r="IL44" s="194">
        <f t="shared" si="262"/>
        <v>0</v>
      </c>
      <c r="IM44" s="194">
        <f t="shared" si="263"/>
        <v>0</v>
      </c>
      <c r="IN44" s="194">
        <f t="shared" si="264"/>
        <v>0</v>
      </c>
      <c r="IO44" s="194">
        <f t="shared" si="265"/>
        <v>0</v>
      </c>
      <c r="IP44" s="194">
        <f t="shared" si="266"/>
        <v>0</v>
      </c>
      <c r="IQ44" s="194">
        <f t="shared" si="267"/>
        <v>0</v>
      </c>
      <c r="IR44" s="194">
        <f t="shared" si="268"/>
        <v>0</v>
      </c>
      <c r="IS44" s="194">
        <f t="shared" si="269"/>
        <v>0</v>
      </c>
      <c r="IT44" s="194">
        <f t="shared" si="270"/>
        <v>0</v>
      </c>
      <c r="IU44" s="194">
        <f t="shared" si="271"/>
        <v>0</v>
      </c>
      <c r="IV44" s="194">
        <f t="shared" si="272"/>
        <v>0</v>
      </c>
      <c r="IW44" s="194">
        <f t="shared" si="273"/>
        <v>0</v>
      </c>
      <c r="IX44" s="194">
        <f t="shared" si="274"/>
        <v>0</v>
      </c>
      <c r="IY44" s="194">
        <f t="shared" si="275"/>
        <v>0</v>
      </c>
      <c r="IZ44" s="194">
        <f t="shared" si="276"/>
        <v>0</v>
      </c>
      <c r="JA44" s="194">
        <f t="shared" si="277"/>
        <v>0</v>
      </c>
      <c r="JB44" s="194">
        <f t="shared" si="278"/>
        <v>0</v>
      </c>
      <c r="JC44" s="194">
        <f t="shared" si="279"/>
        <v>0</v>
      </c>
      <c r="JD44" s="194">
        <f t="shared" si="280"/>
        <v>0</v>
      </c>
      <c r="JE44" s="194">
        <f t="shared" si="281"/>
        <v>0</v>
      </c>
      <c r="JF44" s="194">
        <f t="shared" si="282"/>
        <v>0</v>
      </c>
      <c r="JG44" s="194">
        <f t="shared" si="283"/>
        <v>0</v>
      </c>
      <c r="JH44" s="194">
        <f t="shared" si="284"/>
        <v>0</v>
      </c>
      <c r="JI44" s="228">
        <v>36</v>
      </c>
      <c r="JJ44" s="229" t="str">
        <f t="shared" si="121"/>
        <v/>
      </c>
      <c r="JK44" s="229" t="str">
        <f t="shared" si="122"/>
        <v/>
      </c>
      <c r="JL44" s="229" t="str">
        <f t="shared" si="123"/>
        <v/>
      </c>
      <c r="JM44" s="229" t="str">
        <f t="shared" si="124"/>
        <v/>
      </c>
      <c r="JN44" s="229" t="str">
        <f t="shared" si="125"/>
        <v/>
      </c>
      <c r="JO44" s="229" t="str">
        <f t="shared" si="126"/>
        <v/>
      </c>
      <c r="JP44" s="229" t="str">
        <f t="shared" si="127"/>
        <v/>
      </c>
      <c r="JQ44" s="229" t="str">
        <f t="shared" si="128"/>
        <v/>
      </c>
      <c r="JR44" s="229" t="str">
        <f t="shared" si="129"/>
        <v/>
      </c>
      <c r="JS44" s="229" t="str">
        <f t="shared" si="130"/>
        <v/>
      </c>
      <c r="JT44" s="229" t="str">
        <f t="shared" si="131"/>
        <v/>
      </c>
      <c r="JU44" s="229" t="str">
        <f t="shared" si="132"/>
        <v/>
      </c>
      <c r="JV44" s="229" t="str">
        <f t="shared" si="133"/>
        <v/>
      </c>
      <c r="JW44" s="229" t="str">
        <f t="shared" si="134"/>
        <v/>
      </c>
      <c r="JX44" s="229" t="str">
        <f t="shared" si="135"/>
        <v/>
      </c>
      <c r="JY44" s="229" t="str">
        <f t="shared" si="136"/>
        <v/>
      </c>
      <c r="JZ44" s="229" t="str">
        <f t="shared" si="137"/>
        <v/>
      </c>
      <c r="KA44" s="229" t="str">
        <f t="shared" si="138"/>
        <v/>
      </c>
      <c r="KB44" s="229" t="str">
        <f t="shared" si="139"/>
        <v/>
      </c>
      <c r="KC44" s="229" t="str">
        <f t="shared" si="140"/>
        <v/>
      </c>
      <c r="KD44" s="231" t="str">
        <f t="shared" si="141"/>
        <v/>
      </c>
      <c r="KE44" s="232" t="str">
        <f>IF(KD44="","",IF(KD44&gt;=KONVERSI!$A$5,KONVERSI!$E$12,IF(KD44&gt;=KONVERSI!$A$6,KONVERSI!$E$13,IF(KD44&gt;=KONVERSI!$A$7,KONVERSI!$E$14,KONVERSI!$E$15))))</f>
        <v/>
      </c>
      <c r="KF44" s="233" t="str">
        <f t="shared" si="142"/>
        <v/>
      </c>
      <c r="KG44" s="234" t="str">
        <f t="shared" si="143"/>
        <v/>
      </c>
      <c r="KH44" s="232" t="str">
        <f>IF(KG44="","",IF(KG44&gt;=KONVERSI!$A$5,KONVERSI!$E$12,IF(KG44&gt;=KONVERSI!$A$6,KONVERSI!$E$13,IF(KG44&gt;=KONVERSI!$A$7,KONVERSI!$E$14,KONVERSI!$E$15))))</f>
        <v/>
      </c>
      <c r="KI44" s="134" t="str">
        <f>IF(GC44="","",IF(GC44&lt;$GD$3," "&amp;KONVERSI!$C$19&amp;INDEX($JJ$8:$KC$8,MATCH(KG45,JJ45:KC45,0))&amp;".",IF(GC44=0,"",IF(KG44&lt;&gt;0,KF44&amp;KH44&amp;".",KF44&amp;"."))))</f>
        <v/>
      </c>
      <c r="KJ44" s="235" t="str">
        <f t="shared" si="144"/>
        <v/>
      </c>
      <c r="KK44" s="235" t="str">
        <f t="shared" si="145"/>
        <v/>
      </c>
      <c r="KL44" s="235" t="str">
        <f t="shared" si="146"/>
        <v/>
      </c>
      <c r="KM44" s="235" t="str">
        <f t="shared" si="147"/>
        <v/>
      </c>
      <c r="KN44" s="235" t="str">
        <f t="shared" si="148"/>
        <v/>
      </c>
      <c r="KO44" s="235" t="str">
        <f t="shared" si="149"/>
        <v/>
      </c>
      <c r="KP44" s="235" t="str">
        <f t="shared" si="150"/>
        <v/>
      </c>
      <c r="KQ44" s="235" t="str">
        <f t="shared" si="151"/>
        <v/>
      </c>
      <c r="KR44" s="235" t="str">
        <f t="shared" si="152"/>
        <v/>
      </c>
      <c r="KS44" s="235" t="str">
        <f t="shared" si="153"/>
        <v/>
      </c>
      <c r="KT44" s="235" t="str">
        <f t="shared" si="154"/>
        <v/>
      </c>
      <c r="KU44" s="235" t="str">
        <f t="shared" si="155"/>
        <v/>
      </c>
      <c r="KV44" s="235" t="str">
        <f t="shared" si="156"/>
        <v/>
      </c>
      <c r="KW44" s="235" t="str">
        <f t="shared" si="157"/>
        <v/>
      </c>
      <c r="KX44" s="235" t="str">
        <f t="shared" si="158"/>
        <v/>
      </c>
      <c r="KY44" s="235" t="str">
        <f t="shared" si="159"/>
        <v/>
      </c>
      <c r="KZ44" s="235" t="str">
        <f t="shared" si="160"/>
        <v/>
      </c>
      <c r="LA44" s="235" t="str">
        <f t="shared" si="161"/>
        <v/>
      </c>
      <c r="LB44" s="235" t="str">
        <f t="shared" si="162"/>
        <v/>
      </c>
      <c r="LC44" s="235" t="str">
        <f t="shared" si="163"/>
        <v/>
      </c>
      <c r="LD44" s="134" t="str">
        <f t="shared" si="164"/>
        <v/>
      </c>
      <c r="LE44" s="134" t="str">
        <f t="shared" si="164"/>
        <v/>
      </c>
      <c r="LF44" s="134" t="str">
        <f t="shared" si="164"/>
        <v/>
      </c>
      <c r="LG44" s="134" t="str">
        <f t="shared" si="164"/>
        <v/>
      </c>
      <c r="LH44" s="134" t="str">
        <f t="shared" si="164"/>
        <v/>
      </c>
      <c r="LI44" s="134" t="str">
        <f t="shared" si="164"/>
        <v/>
      </c>
      <c r="LJ44" s="134" t="str">
        <f t="shared" si="164"/>
        <v/>
      </c>
      <c r="LK44" s="134" t="str">
        <f t="shared" si="164"/>
        <v/>
      </c>
      <c r="LL44" s="134" t="str">
        <f t="shared" si="164"/>
        <v/>
      </c>
      <c r="LM44" s="134" t="str">
        <f t="shared" si="190"/>
        <v/>
      </c>
      <c r="LN44" s="134" t="str">
        <f t="shared" si="190"/>
        <v/>
      </c>
      <c r="LO44" s="134" t="str">
        <f t="shared" si="190"/>
        <v/>
      </c>
      <c r="LP44" s="134" t="str">
        <f t="shared" si="190"/>
        <v/>
      </c>
      <c r="LQ44" s="134" t="str">
        <f t="shared" si="190"/>
        <v/>
      </c>
      <c r="LR44" s="134" t="str">
        <f t="shared" si="190"/>
        <v/>
      </c>
      <c r="LS44" s="134" t="str">
        <f t="shared" si="190"/>
        <v/>
      </c>
      <c r="LT44" s="134" t="str">
        <f t="shared" si="190"/>
        <v/>
      </c>
      <c r="LU44" s="134" t="str">
        <f t="shared" si="190"/>
        <v/>
      </c>
      <c r="LV44" s="134" t="str">
        <f t="shared" si="190"/>
        <v/>
      </c>
      <c r="LW44" s="134" t="str">
        <f t="shared" si="190"/>
        <v/>
      </c>
      <c r="LX44" s="134" t="str">
        <f t="shared" si="165"/>
        <v/>
      </c>
      <c r="LY44" s="134" t="str">
        <f t="shared" si="166"/>
        <v>  </v>
      </c>
      <c r="LZ44" s="236">
        <f t="shared" si="285"/>
        <v>0</v>
      </c>
      <c r="MA44" s="235" t="str">
        <f t="shared" si="167"/>
        <v/>
      </c>
      <c r="MB44" s="235" t="str">
        <f t="shared" si="168"/>
        <v/>
      </c>
      <c r="MC44" s="235" t="str">
        <f t="shared" si="169"/>
        <v/>
      </c>
      <c r="MD44" s="235" t="str">
        <f t="shared" si="170"/>
        <v/>
      </c>
      <c r="ME44" s="235" t="str">
        <f t="shared" si="171"/>
        <v/>
      </c>
      <c r="MF44" s="235" t="str">
        <f t="shared" si="172"/>
        <v/>
      </c>
      <c r="MG44" s="235" t="str">
        <f t="shared" si="173"/>
        <v/>
      </c>
      <c r="MH44" s="235" t="str">
        <f t="shared" si="174"/>
        <v/>
      </c>
      <c r="MI44" s="235" t="str">
        <f t="shared" si="175"/>
        <v/>
      </c>
      <c r="MJ44" s="235" t="str">
        <f t="shared" si="176"/>
        <v/>
      </c>
      <c r="MK44" s="235" t="str">
        <f t="shared" si="177"/>
        <v/>
      </c>
      <c r="ML44" s="235" t="str">
        <f t="shared" si="178"/>
        <v/>
      </c>
      <c r="MM44" s="235" t="str">
        <f t="shared" si="179"/>
        <v/>
      </c>
      <c r="MN44" s="235" t="str">
        <f t="shared" si="180"/>
        <v/>
      </c>
      <c r="MO44" s="235" t="str">
        <f t="shared" si="181"/>
        <v/>
      </c>
      <c r="MP44" s="235" t="str">
        <f t="shared" si="182"/>
        <v/>
      </c>
      <c r="MQ44" s="235" t="str">
        <f t="shared" si="183"/>
        <v/>
      </c>
      <c r="MR44" s="235" t="str">
        <f t="shared" si="184"/>
        <v/>
      </c>
      <c r="MS44" s="235" t="str">
        <f t="shared" si="185"/>
        <v/>
      </c>
      <c r="MT44" s="235" t="str">
        <f t="shared" si="186"/>
        <v/>
      </c>
      <c r="MU44" s="134" t="str">
        <f t="shared" si="187"/>
        <v/>
      </c>
      <c r="MV44" s="134" t="str">
        <f t="shared" si="187"/>
        <v/>
      </c>
      <c r="MW44" s="134" t="str">
        <f t="shared" si="187"/>
        <v/>
      </c>
      <c r="MX44" s="134" t="str">
        <f t="shared" si="187"/>
        <v/>
      </c>
      <c r="MY44" s="134" t="str">
        <f t="shared" si="187"/>
        <v/>
      </c>
      <c r="MZ44" s="134" t="str">
        <f t="shared" si="187"/>
        <v/>
      </c>
      <c r="NA44" s="134" t="str">
        <f t="shared" si="187"/>
        <v/>
      </c>
      <c r="NB44" s="134" t="str">
        <f t="shared" si="187"/>
        <v/>
      </c>
      <c r="NC44" s="134" t="str">
        <f t="shared" si="187"/>
        <v/>
      </c>
      <c r="ND44" s="134" t="str">
        <f t="shared" si="191"/>
        <v/>
      </c>
      <c r="NE44" s="134" t="str">
        <f t="shared" si="191"/>
        <v/>
      </c>
      <c r="NF44" s="134" t="str">
        <f t="shared" si="191"/>
        <v/>
      </c>
      <c r="NG44" s="134" t="str">
        <f t="shared" si="191"/>
        <v/>
      </c>
      <c r="NH44" s="134" t="str">
        <f t="shared" si="191"/>
        <v/>
      </c>
      <c r="NI44" s="134" t="str">
        <f t="shared" si="191"/>
        <v/>
      </c>
      <c r="NJ44" s="134" t="str">
        <f t="shared" si="191"/>
        <v/>
      </c>
      <c r="NK44" s="134" t="str">
        <f t="shared" si="191"/>
        <v/>
      </c>
      <c r="NL44" s="134" t="str">
        <f t="shared" si="191"/>
        <v/>
      </c>
      <c r="NM44" s="134" t="str">
        <f t="shared" si="191"/>
        <v/>
      </c>
      <c r="NN44" s="134" t="str">
        <f t="shared" si="191"/>
        <v/>
      </c>
      <c r="NO44" s="134" t="str">
        <f>IF(KE44=KH44,"",IF(KG44="","",IF(KG44&gt;=KONVERSI!$A$14,'KI4'!KH44&amp;" dalam"&amp;MU44&amp;MV44&amp;MW44&amp;MX44&amp;MY44&amp;MZ44&amp;NA44&amp;NB44&amp;NC44&amp;ND44&amp;NE44&amp;NF44&amp;NG44&amp;NH44&amp;NI44&amp;NJ44&amp;NK44&amp;NL44&amp;NM44&amp;NN44,KONVERSI!$C$19&amp;" dalam"&amp;MU44&amp;MV44&amp;MW44&amp;MX44&amp;MY44&amp;MZ44&amp;NA44&amp;NB44&amp;NC44&amp;ND44&amp;NE44&amp;NF44&amp;NG44&amp;NH44&amp;NI44&amp;NJ44&amp;NK44&amp;NL44&amp;NM44&amp;NN44)))</f>
        <v/>
      </c>
      <c r="NP44" s="134" t="str">
        <f t="shared" si="188"/>
        <v/>
      </c>
      <c r="NQ44" s="236">
        <f t="shared" si="286"/>
        <v>0</v>
      </c>
      <c r="NR44" s="134" t="str">
        <f t="shared" si="189"/>
        <v/>
      </c>
    </row>
    <row r="45" ht="27.6" customHeight="1" spans="1:382">
      <c r="A45" s="136"/>
      <c r="B45" s="177">
        <v>37</v>
      </c>
      <c r="C45" s="180">
        <f>siswa!C41</f>
        <v>0</v>
      </c>
      <c r="D45" s="174">
        <f>siswa!D41</f>
        <v>0</v>
      </c>
      <c r="E45" s="181"/>
      <c r="F45" s="176"/>
      <c r="G45" s="176"/>
      <c r="H45" s="176"/>
      <c r="I45" s="176"/>
      <c r="J45" s="176"/>
      <c r="K45" s="176"/>
      <c r="L45" s="176"/>
      <c r="M45" s="194" t="str">
        <f t="shared" si="192"/>
        <v/>
      </c>
      <c r="N45" s="181"/>
      <c r="O45" s="176"/>
      <c r="P45" s="176"/>
      <c r="Q45" s="176"/>
      <c r="R45" s="176"/>
      <c r="S45" s="176"/>
      <c r="T45" s="176"/>
      <c r="U45" s="176"/>
      <c r="V45" s="194" t="str">
        <f t="shared" si="193"/>
        <v/>
      </c>
      <c r="W45" s="181"/>
      <c r="X45" s="176"/>
      <c r="Y45" s="176"/>
      <c r="Z45" s="176"/>
      <c r="AA45" s="176"/>
      <c r="AB45" s="176"/>
      <c r="AC45" s="176"/>
      <c r="AD45" s="176"/>
      <c r="AE45" s="194" t="str">
        <f t="shared" si="194"/>
        <v/>
      </c>
      <c r="AF45" s="181"/>
      <c r="AG45" s="176"/>
      <c r="AH45" s="176"/>
      <c r="AI45" s="176"/>
      <c r="AJ45" s="176"/>
      <c r="AK45" s="176"/>
      <c r="AL45" s="176"/>
      <c r="AM45" s="176"/>
      <c r="AN45" s="194" t="str">
        <f t="shared" si="195"/>
        <v/>
      </c>
      <c r="AO45" s="181"/>
      <c r="AP45" s="176"/>
      <c r="AQ45" s="176"/>
      <c r="AR45" s="176"/>
      <c r="AS45" s="176"/>
      <c r="AT45" s="176"/>
      <c r="AU45" s="176"/>
      <c r="AV45" s="176"/>
      <c r="AW45" s="194" t="str">
        <f t="shared" si="112"/>
        <v/>
      </c>
      <c r="AX45" s="181"/>
      <c r="AY45" s="176"/>
      <c r="AZ45" s="176"/>
      <c r="BA45" s="176"/>
      <c r="BB45" s="176"/>
      <c r="BC45" s="176"/>
      <c r="BD45" s="176"/>
      <c r="BE45" s="176"/>
      <c r="BF45" s="194" t="str">
        <f t="shared" si="196"/>
        <v/>
      </c>
      <c r="BG45" s="181"/>
      <c r="BH45" s="176"/>
      <c r="BI45" s="176"/>
      <c r="BJ45" s="176"/>
      <c r="BK45" s="176"/>
      <c r="BL45" s="176"/>
      <c r="BM45" s="176"/>
      <c r="BN45" s="176"/>
      <c r="BO45" s="194" t="str">
        <f t="shared" si="113"/>
        <v/>
      </c>
      <c r="BP45" s="181"/>
      <c r="BQ45" s="176"/>
      <c r="BR45" s="176"/>
      <c r="BS45" s="176"/>
      <c r="BT45" s="176"/>
      <c r="BU45" s="176"/>
      <c r="BV45" s="176"/>
      <c r="BW45" s="176"/>
      <c r="BX45" s="194" t="str">
        <f t="shared" si="114"/>
        <v/>
      </c>
      <c r="BY45" s="181"/>
      <c r="BZ45" s="176"/>
      <c r="CA45" s="176"/>
      <c r="CB45" s="176"/>
      <c r="CC45" s="176"/>
      <c r="CD45" s="176"/>
      <c r="CE45" s="176"/>
      <c r="CF45" s="176"/>
      <c r="CG45" s="194" t="str">
        <f t="shared" si="115"/>
        <v/>
      </c>
      <c r="CH45" s="181"/>
      <c r="CI45" s="176"/>
      <c r="CJ45" s="176"/>
      <c r="CK45" s="176"/>
      <c r="CL45" s="176"/>
      <c r="CM45" s="176"/>
      <c r="CN45" s="176"/>
      <c r="CO45" s="176"/>
      <c r="CP45" s="194" t="str">
        <f t="shared" si="197"/>
        <v/>
      </c>
      <c r="CQ45" s="181"/>
      <c r="CR45" s="176"/>
      <c r="CS45" s="176"/>
      <c r="CT45" s="176"/>
      <c r="CU45" s="176"/>
      <c r="CV45" s="176"/>
      <c r="CW45" s="176"/>
      <c r="CX45" s="176"/>
      <c r="CY45" s="194" t="str">
        <f t="shared" si="116"/>
        <v/>
      </c>
      <c r="CZ45" s="181"/>
      <c r="DA45" s="176"/>
      <c r="DB45" s="176"/>
      <c r="DC45" s="176"/>
      <c r="DD45" s="176"/>
      <c r="DE45" s="176"/>
      <c r="DF45" s="176"/>
      <c r="DG45" s="176"/>
      <c r="DH45" s="194" t="str">
        <f t="shared" si="198"/>
        <v/>
      </c>
      <c r="DI45" s="181"/>
      <c r="DJ45" s="176"/>
      <c r="DK45" s="176"/>
      <c r="DL45" s="176"/>
      <c r="DM45" s="176"/>
      <c r="DN45" s="176"/>
      <c r="DO45" s="176"/>
      <c r="DP45" s="176"/>
      <c r="DQ45" s="194" t="str">
        <f t="shared" si="117"/>
        <v/>
      </c>
      <c r="DR45" s="181"/>
      <c r="DS45" s="176"/>
      <c r="DT45" s="176"/>
      <c r="DU45" s="176"/>
      <c r="DV45" s="176"/>
      <c r="DW45" s="176"/>
      <c r="DX45" s="176"/>
      <c r="DY45" s="176"/>
      <c r="DZ45" s="194" t="str">
        <f t="shared" si="199"/>
        <v/>
      </c>
      <c r="EA45" s="181"/>
      <c r="EB45" s="176"/>
      <c r="EC45" s="176"/>
      <c r="ED45" s="176"/>
      <c r="EE45" s="176"/>
      <c r="EF45" s="176"/>
      <c r="EG45" s="176"/>
      <c r="EH45" s="176"/>
      <c r="EI45" s="194" t="str">
        <f t="shared" si="200"/>
        <v/>
      </c>
      <c r="EJ45" s="181"/>
      <c r="EK45" s="176"/>
      <c r="EL45" s="176"/>
      <c r="EM45" s="176"/>
      <c r="EN45" s="176"/>
      <c r="EO45" s="176"/>
      <c r="EP45" s="176"/>
      <c r="EQ45" s="176"/>
      <c r="ER45" s="194" t="str">
        <f t="shared" si="201"/>
        <v/>
      </c>
      <c r="ES45" s="181"/>
      <c r="ET45" s="176"/>
      <c r="EU45" s="176"/>
      <c r="EV45" s="176"/>
      <c r="EW45" s="176"/>
      <c r="EX45" s="176"/>
      <c r="EY45" s="176"/>
      <c r="EZ45" s="176"/>
      <c r="FA45" s="194" t="str">
        <f t="shared" si="202"/>
        <v/>
      </c>
      <c r="FB45" s="181"/>
      <c r="FC45" s="176"/>
      <c r="FD45" s="176"/>
      <c r="FE45" s="176"/>
      <c r="FF45" s="176"/>
      <c r="FG45" s="176"/>
      <c r="FH45" s="176"/>
      <c r="FI45" s="176"/>
      <c r="FJ45" s="194" t="str">
        <f t="shared" si="203"/>
        <v/>
      </c>
      <c r="FK45" s="181"/>
      <c r="FL45" s="176"/>
      <c r="FM45" s="176"/>
      <c r="FN45" s="176"/>
      <c r="FO45" s="176"/>
      <c r="FP45" s="176"/>
      <c r="FQ45" s="176"/>
      <c r="FR45" s="176"/>
      <c r="FS45" s="194" t="str">
        <f t="shared" si="204"/>
        <v/>
      </c>
      <c r="FT45" s="181"/>
      <c r="FU45" s="176"/>
      <c r="FV45" s="176"/>
      <c r="FW45" s="176"/>
      <c r="FX45" s="176"/>
      <c r="FY45" s="176"/>
      <c r="FZ45" s="176"/>
      <c r="GA45" s="176"/>
      <c r="GB45" s="194" t="str">
        <f t="shared" si="118"/>
        <v/>
      </c>
      <c r="GC45" s="194" t="str">
        <f t="shared" si="119"/>
        <v/>
      </c>
      <c r="GD45" s="194" t="str">
        <f>IF(GC45="","",IF(GC45&gt;=KONVERSI!$A$5,KONVERSI!$D$5,IF(GC45&gt;=KONVERSI!$A$6,KONVERSI!$D$6,IF(GC45&gt;=KONVERSI!$A$7,KONVERSI!$D$7,KONVERSI!$D$8))))</f>
        <v/>
      </c>
      <c r="GE45" s="194" t="str">
        <f t="shared" si="120"/>
        <v/>
      </c>
      <c r="GF45" s="222"/>
      <c r="GG45" s="223">
        <f t="shared" si="205"/>
        <v>0</v>
      </c>
      <c r="GH45" s="194">
        <f t="shared" si="206"/>
        <v>0</v>
      </c>
      <c r="GI45" s="194">
        <f t="shared" si="207"/>
        <v>0</v>
      </c>
      <c r="GJ45" s="194">
        <f t="shared" si="208"/>
        <v>0</v>
      </c>
      <c r="GK45" s="194">
        <f t="shared" si="209"/>
        <v>0</v>
      </c>
      <c r="GL45" s="194">
        <f t="shared" si="210"/>
        <v>0</v>
      </c>
      <c r="GM45" s="194">
        <f t="shared" si="211"/>
        <v>0</v>
      </c>
      <c r="GN45" s="194">
        <f t="shared" si="212"/>
        <v>0</v>
      </c>
      <c r="GO45" s="194">
        <f t="shared" si="213"/>
        <v>0</v>
      </c>
      <c r="GP45" s="194">
        <f t="shared" si="214"/>
        <v>0</v>
      </c>
      <c r="GQ45" s="194">
        <f t="shared" si="215"/>
        <v>0</v>
      </c>
      <c r="GR45" s="194">
        <f t="shared" si="216"/>
        <v>0</v>
      </c>
      <c r="GS45" s="194">
        <f t="shared" si="217"/>
        <v>0</v>
      </c>
      <c r="GT45" s="194">
        <f t="shared" si="218"/>
        <v>0</v>
      </c>
      <c r="GU45" s="194">
        <f t="shared" si="219"/>
        <v>0</v>
      </c>
      <c r="GV45" s="194">
        <f t="shared" si="220"/>
        <v>0</v>
      </c>
      <c r="GW45" s="194">
        <f t="shared" si="221"/>
        <v>0</v>
      </c>
      <c r="GX45" s="194">
        <f t="shared" si="222"/>
        <v>0</v>
      </c>
      <c r="GY45" s="194">
        <f t="shared" si="223"/>
        <v>0</v>
      </c>
      <c r="GZ45" s="194">
        <f t="shared" si="224"/>
        <v>0</v>
      </c>
      <c r="HA45" s="194">
        <f t="shared" si="225"/>
        <v>0</v>
      </c>
      <c r="HB45" s="194">
        <f t="shared" si="226"/>
        <v>0</v>
      </c>
      <c r="HC45" s="194">
        <f t="shared" si="227"/>
        <v>0</v>
      </c>
      <c r="HD45" s="194">
        <f t="shared" si="228"/>
        <v>0</v>
      </c>
      <c r="HE45" s="194">
        <f t="shared" si="229"/>
        <v>0</v>
      </c>
      <c r="HF45" s="194">
        <f t="shared" si="230"/>
        <v>0</v>
      </c>
      <c r="HG45" s="194">
        <f t="shared" si="231"/>
        <v>0</v>
      </c>
      <c r="HH45" s="194">
        <f t="shared" si="232"/>
        <v>0</v>
      </c>
      <c r="HI45" s="194">
        <f t="shared" si="233"/>
        <v>0</v>
      </c>
      <c r="HJ45" s="194">
        <f t="shared" si="234"/>
        <v>0</v>
      </c>
      <c r="HK45" s="194">
        <f t="shared" si="235"/>
        <v>0</v>
      </c>
      <c r="HL45" s="194">
        <f t="shared" si="236"/>
        <v>0</v>
      </c>
      <c r="HM45" s="194">
        <f t="shared" si="237"/>
        <v>0</v>
      </c>
      <c r="HN45" s="194">
        <f t="shared" si="238"/>
        <v>0</v>
      </c>
      <c r="HO45" s="194">
        <f t="shared" si="239"/>
        <v>0</v>
      </c>
      <c r="HP45" s="194">
        <f t="shared" si="240"/>
        <v>0</v>
      </c>
      <c r="HQ45" s="194">
        <f t="shared" si="241"/>
        <v>0</v>
      </c>
      <c r="HR45" s="194">
        <f t="shared" si="242"/>
        <v>0</v>
      </c>
      <c r="HS45" s="194">
        <f t="shared" si="243"/>
        <v>0</v>
      </c>
      <c r="HT45" s="194">
        <f t="shared" si="244"/>
        <v>0</v>
      </c>
      <c r="HU45" s="194">
        <f t="shared" si="245"/>
        <v>0</v>
      </c>
      <c r="HV45" s="194">
        <f t="shared" si="246"/>
        <v>0</v>
      </c>
      <c r="HW45" s="194">
        <f t="shared" si="247"/>
        <v>0</v>
      </c>
      <c r="HX45" s="194">
        <f t="shared" si="248"/>
        <v>0</v>
      </c>
      <c r="HY45" s="194">
        <f t="shared" si="249"/>
        <v>0</v>
      </c>
      <c r="HZ45" s="194">
        <f t="shared" si="250"/>
        <v>0</v>
      </c>
      <c r="IA45" s="194">
        <f t="shared" si="251"/>
        <v>0</v>
      </c>
      <c r="IB45" s="194">
        <f t="shared" si="252"/>
        <v>0</v>
      </c>
      <c r="IC45" s="194">
        <f t="shared" si="253"/>
        <v>0</v>
      </c>
      <c r="ID45" s="194">
        <f t="shared" si="254"/>
        <v>0</v>
      </c>
      <c r="IE45" s="194">
        <f t="shared" si="255"/>
        <v>0</v>
      </c>
      <c r="IF45" s="194">
        <f t="shared" si="256"/>
        <v>0</v>
      </c>
      <c r="IG45" s="194">
        <f t="shared" si="257"/>
        <v>0</v>
      </c>
      <c r="IH45" s="194">
        <f t="shared" si="258"/>
        <v>0</v>
      </c>
      <c r="II45" s="194">
        <f t="shared" si="259"/>
        <v>0</v>
      </c>
      <c r="IJ45" s="194">
        <f t="shared" si="260"/>
        <v>0</v>
      </c>
      <c r="IK45" s="194">
        <f t="shared" si="261"/>
        <v>0</v>
      </c>
      <c r="IL45" s="194">
        <f t="shared" si="262"/>
        <v>0</v>
      </c>
      <c r="IM45" s="194">
        <f t="shared" si="263"/>
        <v>0</v>
      </c>
      <c r="IN45" s="194">
        <f t="shared" si="264"/>
        <v>0</v>
      </c>
      <c r="IO45" s="194">
        <f t="shared" si="265"/>
        <v>0</v>
      </c>
      <c r="IP45" s="194">
        <f t="shared" si="266"/>
        <v>0</v>
      </c>
      <c r="IQ45" s="194">
        <f t="shared" si="267"/>
        <v>0</v>
      </c>
      <c r="IR45" s="194">
        <f t="shared" si="268"/>
        <v>0</v>
      </c>
      <c r="IS45" s="194">
        <f t="shared" si="269"/>
        <v>0</v>
      </c>
      <c r="IT45" s="194">
        <f t="shared" si="270"/>
        <v>0</v>
      </c>
      <c r="IU45" s="194">
        <f t="shared" si="271"/>
        <v>0</v>
      </c>
      <c r="IV45" s="194">
        <f t="shared" si="272"/>
        <v>0</v>
      </c>
      <c r="IW45" s="194">
        <f t="shared" si="273"/>
        <v>0</v>
      </c>
      <c r="IX45" s="194">
        <f t="shared" si="274"/>
        <v>0</v>
      </c>
      <c r="IY45" s="194">
        <f t="shared" si="275"/>
        <v>0</v>
      </c>
      <c r="IZ45" s="194">
        <f t="shared" si="276"/>
        <v>0</v>
      </c>
      <c r="JA45" s="194">
        <f t="shared" si="277"/>
        <v>0</v>
      </c>
      <c r="JB45" s="194">
        <f t="shared" si="278"/>
        <v>0</v>
      </c>
      <c r="JC45" s="194">
        <f t="shared" si="279"/>
        <v>0</v>
      </c>
      <c r="JD45" s="194">
        <f t="shared" si="280"/>
        <v>0</v>
      </c>
      <c r="JE45" s="194">
        <f t="shared" si="281"/>
        <v>0</v>
      </c>
      <c r="JF45" s="194">
        <f t="shared" si="282"/>
        <v>0</v>
      </c>
      <c r="JG45" s="194">
        <f t="shared" si="283"/>
        <v>0</v>
      </c>
      <c r="JH45" s="194">
        <f t="shared" si="284"/>
        <v>0</v>
      </c>
      <c r="JI45" s="228">
        <v>37</v>
      </c>
      <c r="JJ45" s="229" t="str">
        <f t="shared" si="121"/>
        <v/>
      </c>
      <c r="JK45" s="229" t="str">
        <f t="shared" si="122"/>
        <v/>
      </c>
      <c r="JL45" s="229" t="str">
        <f t="shared" si="123"/>
        <v/>
      </c>
      <c r="JM45" s="229" t="str">
        <f t="shared" si="124"/>
        <v/>
      </c>
      <c r="JN45" s="229" t="str">
        <f t="shared" si="125"/>
        <v/>
      </c>
      <c r="JO45" s="229" t="str">
        <f t="shared" si="126"/>
        <v/>
      </c>
      <c r="JP45" s="229" t="str">
        <f t="shared" si="127"/>
        <v/>
      </c>
      <c r="JQ45" s="229" t="str">
        <f t="shared" si="128"/>
        <v/>
      </c>
      <c r="JR45" s="229" t="str">
        <f t="shared" si="129"/>
        <v/>
      </c>
      <c r="JS45" s="229" t="str">
        <f t="shared" si="130"/>
        <v/>
      </c>
      <c r="JT45" s="229" t="str">
        <f t="shared" si="131"/>
        <v/>
      </c>
      <c r="JU45" s="229" t="str">
        <f t="shared" si="132"/>
        <v/>
      </c>
      <c r="JV45" s="229" t="str">
        <f t="shared" si="133"/>
        <v/>
      </c>
      <c r="JW45" s="229" t="str">
        <f t="shared" si="134"/>
        <v/>
      </c>
      <c r="JX45" s="229" t="str">
        <f t="shared" si="135"/>
        <v/>
      </c>
      <c r="JY45" s="229" t="str">
        <f t="shared" si="136"/>
        <v/>
      </c>
      <c r="JZ45" s="229" t="str">
        <f t="shared" si="137"/>
        <v/>
      </c>
      <c r="KA45" s="229" t="str">
        <f t="shared" si="138"/>
        <v/>
      </c>
      <c r="KB45" s="229" t="str">
        <f t="shared" si="139"/>
        <v/>
      </c>
      <c r="KC45" s="229" t="str">
        <f t="shared" si="140"/>
        <v/>
      </c>
      <c r="KD45" s="231" t="str">
        <f t="shared" si="141"/>
        <v/>
      </c>
      <c r="KE45" s="232" t="str">
        <f>IF(KD45="","",IF(KD45&gt;=KONVERSI!$A$5,KONVERSI!$E$12,IF(KD45&gt;=KONVERSI!$A$6,KONVERSI!$E$13,IF(KD45&gt;=KONVERSI!$A$7,KONVERSI!$E$14,KONVERSI!$E$15))))</f>
        <v/>
      </c>
      <c r="KF45" s="233" t="str">
        <f t="shared" si="142"/>
        <v/>
      </c>
      <c r="KG45" s="234" t="str">
        <f t="shared" si="143"/>
        <v/>
      </c>
      <c r="KH45" s="232" t="str">
        <f>IF(KG45="","",IF(KG45&gt;=KONVERSI!$A$5,KONVERSI!$E$12,IF(KG45&gt;=KONVERSI!$A$6,KONVERSI!$E$13,IF(KG45&gt;=KONVERSI!$A$7,KONVERSI!$E$14,KONVERSI!$E$15))))</f>
        <v/>
      </c>
      <c r="KI45" s="134" t="str">
        <f>IF(GC45="","",IF(GC45&lt;$GD$3," "&amp;KONVERSI!$C$19&amp;INDEX($JJ$8:$KC$8,MATCH(KG46,JJ46:KC46,0))&amp;".",IF(GC45=0,"",IF(KG45&lt;&gt;0,KF45&amp;KH45&amp;".",KF45&amp;"."))))</f>
        <v/>
      </c>
      <c r="KJ45" s="235" t="str">
        <f t="shared" si="144"/>
        <v/>
      </c>
      <c r="KK45" s="235" t="str">
        <f t="shared" si="145"/>
        <v/>
      </c>
      <c r="KL45" s="235" t="str">
        <f t="shared" si="146"/>
        <v/>
      </c>
      <c r="KM45" s="235" t="str">
        <f t="shared" si="147"/>
        <v/>
      </c>
      <c r="KN45" s="235" t="str">
        <f t="shared" si="148"/>
        <v/>
      </c>
      <c r="KO45" s="235" t="str">
        <f t="shared" si="149"/>
        <v/>
      </c>
      <c r="KP45" s="235" t="str">
        <f t="shared" si="150"/>
        <v/>
      </c>
      <c r="KQ45" s="235" t="str">
        <f t="shared" si="151"/>
        <v/>
      </c>
      <c r="KR45" s="235" t="str">
        <f t="shared" si="152"/>
        <v/>
      </c>
      <c r="KS45" s="235" t="str">
        <f t="shared" si="153"/>
        <v/>
      </c>
      <c r="KT45" s="235" t="str">
        <f t="shared" si="154"/>
        <v/>
      </c>
      <c r="KU45" s="235" t="str">
        <f t="shared" si="155"/>
        <v/>
      </c>
      <c r="KV45" s="235" t="str">
        <f t="shared" si="156"/>
        <v/>
      </c>
      <c r="KW45" s="235" t="str">
        <f t="shared" si="157"/>
        <v/>
      </c>
      <c r="KX45" s="235" t="str">
        <f t="shared" si="158"/>
        <v/>
      </c>
      <c r="KY45" s="235" t="str">
        <f t="shared" si="159"/>
        <v/>
      </c>
      <c r="KZ45" s="235" t="str">
        <f t="shared" si="160"/>
        <v/>
      </c>
      <c r="LA45" s="235" t="str">
        <f t="shared" si="161"/>
        <v/>
      </c>
      <c r="LB45" s="235" t="str">
        <f t="shared" si="162"/>
        <v/>
      </c>
      <c r="LC45" s="235" t="str">
        <f t="shared" si="163"/>
        <v/>
      </c>
      <c r="LD45" s="134" t="str">
        <f t="shared" si="164"/>
        <v/>
      </c>
      <c r="LE45" s="134" t="str">
        <f t="shared" si="164"/>
        <v/>
      </c>
      <c r="LF45" s="134" t="str">
        <f t="shared" si="164"/>
        <v/>
      </c>
      <c r="LG45" s="134" t="str">
        <f t="shared" si="164"/>
        <v/>
      </c>
      <c r="LH45" s="134" t="str">
        <f t="shared" si="164"/>
        <v/>
      </c>
      <c r="LI45" s="134" t="str">
        <f t="shared" si="164"/>
        <v/>
      </c>
      <c r="LJ45" s="134" t="str">
        <f t="shared" si="164"/>
        <v/>
      </c>
      <c r="LK45" s="134" t="str">
        <f t="shared" si="164"/>
        <v/>
      </c>
      <c r="LL45" s="134" t="str">
        <f t="shared" si="164"/>
        <v/>
      </c>
      <c r="LM45" s="134" t="str">
        <f t="shared" si="190"/>
        <v/>
      </c>
      <c r="LN45" s="134" t="str">
        <f t="shared" si="190"/>
        <v/>
      </c>
      <c r="LO45" s="134" t="str">
        <f t="shared" ref="LO45:LW58" si="287">IF(KU45="OK",KU$8,"")</f>
        <v/>
      </c>
      <c r="LP45" s="134" t="str">
        <f t="shared" si="287"/>
        <v/>
      </c>
      <c r="LQ45" s="134" t="str">
        <f t="shared" si="287"/>
        <v/>
      </c>
      <c r="LR45" s="134" t="str">
        <f t="shared" si="287"/>
        <v/>
      </c>
      <c r="LS45" s="134" t="str">
        <f t="shared" si="287"/>
        <v/>
      </c>
      <c r="LT45" s="134" t="str">
        <f t="shared" si="287"/>
        <v/>
      </c>
      <c r="LU45" s="134" t="str">
        <f t="shared" si="287"/>
        <v/>
      </c>
      <c r="LV45" s="134" t="str">
        <f t="shared" si="287"/>
        <v/>
      </c>
      <c r="LW45" s="134" t="str">
        <f t="shared" si="287"/>
        <v/>
      </c>
      <c r="LX45" s="134" t="str">
        <f t="shared" si="165"/>
        <v/>
      </c>
      <c r="LY45" s="134" t="str">
        <f t="shared" si="166"/>
        <v>  </v>
      </c>
      <c r="LZ45" s="236">
        <f t="shared" si="285"/>
        <v>0</v>
      </c>
      <c r="MA45" s="235" t="str">
        <f t="shared" si="167"/>
        <v/>
      </c>
      <c r="MB45" s="235" t="str">
        <f t="shared" si="168"/>
        <v/>
      </c>
      <c r="MC45" s="235" t="str">
        <f t="shared" si="169"/>
        <v/>
      </c>
      <c r="MD45" s="235" t="str">
        <f t="shared" si="170"/>
        <v/>
      </c>
      <c r="ME45" s="235" t="str">
        <f t="shared" si="171"/>
        <v/>
      </c>
      <c r="MF45" s="235" t="str">
        <f t="shared" si="172"/>
        <v/>
      </c>
      <c r="MG45" s="235" t="str">
        <f t="shared" si="173"/>
        <v/>
      </c>
      <c r="MH45" s="235" t="str">
        <f t="shared" si="174"/>
        <v/>
      </c>
      <c r="MI45" s="235" t="str">
        <f t="shared" si="175"/>
        <v/>
      </c>
      <c r="MJ45" s="235" t="str">
        <f t="shared" si="176"/>
        <v/>
      </c>
      <c r="MK45" s="235" t="str">
        <f t="shared" si="177"/>
        <v/>
      </c>
      <c r="ML45" s="235" t="str">
        <f t="shared" si="178"/>
        <v/>
      </c>
      <c r="MM45" s="235" t="str">
        <f t="shared" si="179"/>
        <v/>
      </c>
      <c r="MN45" s="235" t="str">
        <f t="shared" si="180"/>
        <v/>
      </c>
      <c r="MO45" s="235" t="str">
        <f t="shared" si="181"/>
        <v/>
      </c>
      <c r="MP45" s="235" t="str">
        <f t="shared" si="182"/>
        <v/>
      </c>
      <c r="MQ45" s="235" t="str">
        <f t="shared" si="183"/>
        <v/>
      </c>
      <c r="MR45" s="235" t="str">
        <f t="shared" si="184"/>
        <v/>
      </c>
      <c r="MS45" s="235" t="str">
        <f t="shared" si="185"/>
        <v/>
      </c>
      <c r="MT45" s="235" t="str">
        <f t="shared" si="186"/>
        <v/>
      </c>
      <c r="MU45" s="134" t="str">
        <f t="shared" si="187"/>
        <v/>
      </c>
      <c r="MV45" s="134" t="str">
        <f t="shared" si="187"/>
        <v/>
      </c>
      <c r="MW45" s="134" t="str">
        <f t="shared" si="187"/>
        <v/>
      </c>
      <c r="MX45" s="134" t="str">
        <f t="shared" si="187"/>
        <v/>
      </c>
      <c r="MY45" s="134" t="str">
        <f t="shared" si="187"/>
        <v/>
      </c>
      <c r="MZ45" s="134" t="str">
        <f t="shared" si="187"/>
        <v/>
      </c>
      <c r="NA45" s="134" t="str">
        <f t="shared" si="187"/>
        <v/>
      </c>
      <c r="NB45" s="134" t="str">
        <f t="shared" si="187"/>
        <v/>
      </c>
      <c r="NC45" s="134" t="str">
        <f t="shared" si="187"/>
        <v/>
      </c>
      <c r="ND45" s="134" t="str">
        <f t="shared" si="191"/>
        <v/>
      </c>
      <c r="NE45" s="134" t="str">
        <f t="shared" si="191"/>
        <v/>
      </c>
      <c r="NF45" s="134" t="str">
        <f t="shared" ref="NF45:NN58" si="288">IF(ML45="OK",ML$8,"")</f>
        <v/>
      </c>
      <c r="NG45" s="134" t="str">
        <f t="shared" si="288"/>
        <v/>
      </c>
      <c r="NH45" s="134" t="str">
        <f t="shared" si="288"/>
        <v/>
      </c>
      <c r="NI45" s="134" t="str">
        <f t="shared" si="288"/>
        <v/>
      </c>
      <c r="NJ45" s="134" t="str">
        <f t="shared" si="288"/>
        <v/>
      </c>
      <c r="NK45" s="134" t="str">
        <f t="shared" si="288"/>
        <v/>
      </c>
      <c r="NL45" s="134" t="str">
        <f t="shared" si="288"/>
        <v/>
      </c>
      <c r="NM45" s="134" t="str">
        <f t="shared" si="288"/>
        <v/>
      </c>
      <c r="NN45" s="134" t="str">
        <f t="shared" si="288"/>
        <v/>
      </c>
      <c r="NO45" s="134" t="str">
        <f>IF(KE45=KH45,"",IF(KG45="","",IF(KG45&gt;=KONVERSI!$A$14,'KI4'!KH45&amp;" dalam"&amp;MU45&amp;MV45&amp;MW45&amp;MX45&amp;MY45&amp;MZ45&amp;NA45&amp;NB45&amp;NC45&amp;ND45&amp;NE45&amp;NF45&amp;NG45&amp;NH45&amp;NI45&amp;NJ45&amp;NK45&amp;NL45&amp;NM45&amp;NN45,KONVERSI!$C$19&amp;" dalam"&amp;MU45&amp;MV45&amp;MW45&amp;MX45&amp;MY45&amp;MZ45&amp;NA45&amp;NB45&amp;NC45&amp;ND45&amp;NE45&amp;NF45&amp;NG45&amp;NH45&amp;NI45&amp;NJ45&amp;NK45&amp;NL45&amp;NM45&amp;NN45)))</f>
        <v/>
      </c>
      <c r="NP45" s="134" t="str">
        <f t="shared" si="188"/>
        <v/>
      </c>
      <c r="NQ45" s="236">
        <f t="shared" si="286"/>
        <v>0</v>
      </c>
      <c r="NR45" s="134" t="str">
        <f t="shared" si="189"/>
        <v/>
      </c>
    </row>
    <row r="46" ht="27.6" customHeight="1" spans="1:382">
      <c r="A46" s="136"/>
      <c r="B46" s="177">
        <v>38</v>
      </c>
      <c r="C46" s="180">
        <f>siswa!C42</f>
        <v>0</v>
      </c>
      <c r="D46" s="174">
        <f>siswa!D42</f>
        <v>0</v>
      </c>
      <c r="E46" s="181"/>
      <c r="F46" s="176"/>
      <c r="G46" s="176"/>
      <c r="H46" s="176"/>
      <c r="I46" s="176"/>
      <c r="J46" s="176"/>
      <c r="K46" s="176"/>
      <c r="L46" s="176"/>
      <c r="M46" s="194" t="str">
        <f t="shared" si="192"/>
        <v/>
      </c>
      <c r="N46" s="181"/>
      <c r="O46" s="176"/>
      <c r="P46" s="176"/>
      <c r="Q46" s="176"/>
      <c r="R46" s="176"/>
      <c r="S46" s="176"/>
      <c r="T46" s="176"/>
      <c r="U46" s="176"/>
      <c r="V46" s="194" t="str">
        <f t="shared" si="193"/>
        <v/>
      </c>
      <c r="W46" s="181"/>
      <c r="X46" s="176"/>
      <c r="Y46" s="176"/>
      <c r="Z46" s="176"/>
      <c r="AA46" s="176"/>
      <c r="AB46" s="176"/>
      <c r="AC46" s="176"/>
      <c r="AD46" s="176"/>
      <c r="AE46" s="194" t="str">
        <f t="shared" si="194"/>
        <v/>
      </c>
      <c r="AF46" s="181"/>
      <c r="AG46" s="176"/>
      <c r="AH46" s="176"/>
      <c r="AI46" s="176"/>
      <c r="AJ46" s="176"/>
      <c r="AK46" s="176"/>
      <c r="AL46" s="176"/>
      <c r="AM46" s="176"/>
      <c r="AN46" s="194" t="str">
        <f t="shared" si="195"/>
        <v/>
      </c>
      <c r="AO46" s="181"/>
      <c r="AP46" s="176"/>
      <c r="AQ46" s="176"/>
      <c r="AR46" s="176"/>
      <c r="AS46" s="176"/>
      <c r="AT46" s="176"/>
      <c r="AU46" s="176"/>
      <c r="AV46" s="176"/>
      <c r="AW46" s="194" t="str">
        <f t="shared" si="112"/>
        <v/>
      </c>
      <c r="AX46" s="181"/>
      <c r="AY46" s="176"/>
      <c r="AZ46" s="176"/>
      <c r="BA46" s="176"/>
      <c r="BB46" s="176"/>
      <c r="BC46" s="176"/>
      <c r="BD46" s="176"/>
      <c r="BE46" s="176"/>
      <c r="BF46" s="194" t="str">
        <f t="shared" si="196"/>
        <v/>
      </c>
      <c r="BG46" s="181"/>
      <c r="BH46" s="176"/>
      <c r="BI46" s="176"/>
      <c r="BJ46" s="176"/>
      <c r="BK46" s="176"/>
      <c r="BL46" s="176"/>
      <c r="BM46" s="176"/>
      <c r="BN46" s="176"/>
      <c r="BO46" s="194" t="str">
        <f t="shared" si="113"/>
        <v/>
      </c>
      <c r="BP46" s="181"/>
      <c r="BQ46" s="176"/>
      <c r="BR46" s="176"/>
      <c r="BS46" s="176"/>
      <c r="BT46" s="176"/>
      <c r="BU46" s="176"/>
      <c r="BV46" s="176"/>
      <c r="BW46" s="176"/>
      <c r="BX46" s="194" t="str">
        <f t="shared" si="114"/>
        <v/>
      </c>
      <c r="BY46" s="181"/>
      <c r="BZ46" s="176"/>
      <c r="CA46" s="176"/>
      <c r="CB46" s="176"/>
      <c r="CC46" s="176"/>
      <c r="CD46" s="176"/>
      <c r="CE46" s="176"/>
      <c r="CF46" s="176"/>
      <c r="CG46" s="194" t="str">
        <f t="shared" si="115"/>
        <v/>
      </c>
      <c r="CH46" s="181"/>
      <c r="CI46" s="176"/>
      <c r="CJ46" s="176"/>
      <c r="CK46" s="176"/>
      <c r="CL46" s="176"/>
      <c r="CM46" s="176"/>
      <c r="CN46" s="176"/>
      <c r="CO46" s="176"/>
      <c r="CP46" s="194" t="str">
        <f t="shared" si="197"/>
        <v/>
      </c>
      <c r="CQ46" s="181"/>
      <c r="CR46" s="176"/>
      <c r="CS46" s="176"/>
      <c r="CT46" s="176"/>
      <c r="CU46" s="176"/>
      <c r="CV46" s="176"/>
      <c r="CW46" s="176"/>
      <c r="CX46" s="176"/>
      <c r="CY46" s="194" t="str">
        <f t="shared" si="116"/>
        <v/>
      </c>
      <c r="CZ46" s="181"/>
      <c r="DA46" s="176"/>
      <c r="DB46" s="176"/>
      <c r="DC46" s="176"/>
      <c r="DD46" s="176"/>
      <c r="DE46" s="176"/>
      <c r="DF46" s="176"/>
      <c r="DG46" s="176"/>
      <c r="DH46" s="194" t="str">
        <f t="shared" si="198"/>
        <v/>
      </c>
      <c r="DI46" s="181"/>
      <c r="DJ46" s="176"/>
      <c r="DK46" s="176"/>
      <c r="DL46" s="176"/>
      <c r="DM46" s="176"/>
      <c r="DN46" s="176"/>
      <c r="DO46" s="176"/>
      <c r="DP46" s="176"/>
      <c r="DQ46" s="194" t="str">
        <f t="shared" si="117"/>
        <v/>
      </c>
      <c r="DR46" s="181"/>
      <c r="DS46" s="176"/>
      <c r="DT46" s="176"/>
      <c r="DU46" s="176"/>
      <c r="DV46" s="176"/>
      <c r="DW46" s="176"/>
      <c r="DX46" s="176"/>
      <c r="DY46" s="176"/>
      <c r="DZ46" s="194" t="str">
        <f t="shared" si="199"/>
        <v/>
      </c>
      <c r="EA46" s="181"/>
      <c r="EB46" s="176"/>
      <c r="EC46" s="176"/>
      <c r="ED46" s="176"/>
      <c r="EE46" s="176"/>
      <c r="EF46" s="176"/>
      <c r="EG46" s="176"/>
      <c r="EH46" s="176"/>
      <c r="EI46" s="194" t="str">
        <f t="shared" si="200"/>
        <v/>
      </c>
      <c r="EJ46" s="181"/>
      <c r="EK46" s="176"/>
      <c r="EL46" s="176"/>
      <c r="EM46" s="176"/>
      <c r="EN46" s="176"/>
      <c r="EO46" s="176"/>
      <c r="EP46" s="176"/>
      <c r="EQ46" s="176"/>
      <c r="ER46" s="194" t="str">
        <f t="shared" si="201"/>
        <v/>
      </c>
      <c r="ES46" s="181"/>
      <c r="ET46" s="176"/>
      <c r="EU46" s="176"/>
      <c r="EV46" s="176"/>
      <c r="EW46" s="176"/>
      <c r="EX46" s="176"/>
      <c r="EY46" s="176"/>
      <c r="EZ46" s="176"/>
      <c r="FA46" s="194" t="str">
        <f t="shared" si="202"/>
        <v/>
      </c>
      <c r="FB46" s="181"/>
      <c r="FC46" s="176"/>
      <c r="FD46" s="176"/>
      <c r="FE46" s="176"/>
      <c r="FF46" s="176"/>
      <c r="FG46" s="176"/>
      <c r="FH46" s="176"/>
      <c r="FI46" s="176"/>
      <c r="FJ46" s="194" t="str">
        <f t="shared" si="203"/>
        <v/>
      </c>
      <c r="FK46" s="181"/>
      <c r="FL46" s="176"/>
      <c r="FM46" s="176"/>
      <c r="FN46" s="176"/>
      <c r="FO46" s="176"/>
      <c r="FP46" s="176"/>
      <c r="FQ46" s="176"/>
      <c r="FR46" s="176"/>
      <c r="FS46" s="194" t="str">
        <f t="shared" si="204"/>
        <v/>
      </c>
      <c r="FT46" s="181"/>
      <c r="FU46" s="176"/>
      <c r="FV46" s="176"/>
      <c r="FW46" s="176"/>
      <c r="FX46" s="176"/>
      <c r="FY46" s="176"/>
      <c r="FZ46" s="176"/>
      <c r="GA46" s="176"/>
      <c r="GB46" s="194" t="str">
        <f t="shared" si="118"/>
        <v/>
      </c>
      <c r="GC46" s="194" t="str">
        <f t="shared" si="119"/>
        <v/>
      </c>
      <c r="GD46" s="194" t="str">
        <f>IF(GC46="","",IF(GC46&gt;=KONVERSI!$A$5,KONVERSI!$D$5,IF(GC46&gt;=KONVERSI!$A$6,KONVERSI!$D$6,IF(GC46&gt;=KONVERSI!$A$7,KONVERSI!$D$7,KONVERSI!$D$8))))</f>
        <v/>
      </c>
      <c r="GE46" s="194" t="str">
        <f t="shared" si="120"/>
        <v/>
      </c>
      <c r="GF46" s="222"/>
      <c r="GG46" s="223">
        <f t="shared" si="205"/>
        <v>0</v>
      </c>
      <c r="GH46" s="194">
        <f t="shared" si="206"/>
        <v>0</v>
      </c>
      <c r="GI46" s="194">
        <f t="shared" si="207"/>
        <v>0</v>
      </c>
      <c r="GJ46" s="194">
        <f t="shared" si="208"/>
        <v>0</v>
      </c>
      <c r="GK46" s="194">
        <f t="shared" si="209"/>
        <v>0</v>
      </c>
      <c r="GL46" s="194">
        <f t="shared" si="210"/>
        <v>0</v>
      </c>
      <c r="GM46" s="194">
        <f t="shared" si="211"/>
        <v>0</v>
      </c>
      <c r="GN46" s="194">
        <f t="shared" si="212"/>
        <v>0</v>
      </c>
      <c r="GO46" s="194">
        <f t="shared" si="213"/>
        <v>0</v>
      </c>
      <c r="GP46" s="194">
        <f t="shared" si="214"/>
        <v>0</v>
      </c>
      <c r="GQ46" s="194">
        <f t="shared" si="215"/>
        <v>0</v>
      </c>
      <c r="GR46" s="194">
        <f t="shared" si="216"/>
        <v>0</v>
      </c>
      <c r="GS46" s="194">
        <f t="shared" si="217"/>
        <v>0</v>
      </c>
      <c r="GT46" s="194">
        <f t="shared" si="218"/>
        <v>0</v>
      </c>
      <c r="GU46" s="194">
        <f t="shared" si="219"/>
        <v>0</v>
      </c>
      <c r="GV46" s="194">
        <f t="shared" si="220"/>
        <v>0</v>
      </c>
      <c r="GW46" s="194">
        <f t="shared" si="221"/>
        <v>0</v>
      </c>
      <c r="GX46" s="194">
        <f t="shared" si="222"/>
        <v>0</v>
      </c>
      <c r="GY46" s="194">
        <f t="shared" si="223"/>
        <v>0</v>
      </c>
      <c r="GZ46" s="194">
        <f t="shared" si="224"/>
        <v>0</v>
      </c>
      <c r="HA46" s="194">
        <f t="shared" si="225"/>
        <v>0</v>
      </c>
      <c r="HB46" s="194">
        <f t="shared" si="226"/>
        <v>0</v>
      </c>
      <c r="HC46" s="194">
        <f t="shared" si="227"/>
        <v>0</v>
      </c>
      <c r="HD46" s="194">
        <f t="shared" si="228"/>
        <v>0</v>
      </c>
      <c r="HE46" s="194">
        <f t="shared" si="229"/>
        <v>0</v>
      </c>
      <c r="HF46" s="194">
        <f t="shared" si="230"/>
        <v>0</v>
      </c>
      <c r="HG46" s="194">
        <f t="shared" si="231"/>
        <v>0</v>
      </c>
      <c r="HH46" s="194">
        <f t="shared" si="232"/>
        <v>0</v>
      </c>
      <c r="HI46" s="194">
        <f t="shared" si="233"/>
        <v>0</v>
      </c>
      <c r="HJ46" s="194">
        <f t="shared" si="234"/>
        <v>0</v>
      </c>
      <c r="HK46" s="194">
        <f t="shared" si="235"/>
        <v>0</v>
      </c>
      <c r="HL46" s="194">
        <f t="shared" si="236"/>
        <v>0</v>
      </c>
      <c r="HM46" s="194">
        <f t="shared" si="237"/>
        <v>0</v>
      </c>
      <c r="HN46" s="194">
        <f t="shared" si="238"/>
        <v>0</v>
      </c>
      <c r="HO46" s="194">
        <f t="shared" si="239"/>
        <v>0</v>
      </c>
      <c r="HP46" s="194">
        <f t="shared" si="240"/>
        <v>0</v>
      </c>
      <c r="HQ46" s="194">
        <f t="shared" si="241"/>
        <v>0</v>
      </c>
      <c r="HR46" s="194">
        <f t="shared" si="242"/>
        <v>0</v>
      </c>
      <c r="HS46" s="194">
        <f t="shared" si="243"/>
        <v>0</v>
      </c>
      <c r="HT46" s="194">
        <f t="shared" si="244"/>
        <v>0</v>
      </c>
      <c r="HU46" s="194">
        <f t="shared" si="245"/>
        <v>0</v>
      </c>
      <c r="HV46" s="194">
        <f t="shared" si="246"/>
        <v>0</v>
      </c>
      <c r="HW46" s="194">
        <f t="shared" si="247"/>
        <v>0</v>
      </c>
      <c r="HX46" s="194">
        <f t="shared" si="248"/>
        <v>0</v>
      </c>
      <c r="HY46" s="194">
        <f t="shared" si="249"/>
        <v>0</v>
      </c>
      <c r="HZ46" s="194">
        <f t="shared" si="250"/>
        <v>0</v>
      </c>
      <c r="IA46" s="194">
        <f t="shared" si="251"/>
        <v>0</v>
      </c>
      <c r="IB46" s="194">
        <f t="shared" si="252"/>
        <v>0</v>
      </c>
      <c r="IC46" s="194">
        <f t="shared" si="253"/>
        <v>0</v>
      </c>
      <c r="ID46" s="194">
        <f t="shared" si="254"/>
        <v>0</v>
      </c>
      <c r="IE46" s="194">
        <f t="shared" si="255"/>
        <v>0</v>
      </c>
      <c r="IF46" s="194">
        <f t="shared" si="256"/>
        <v>0</v>
      </c>
      <c r="IG46" s="194">
        <f t="shared" si="257"/>
        <v>0</v>
      </c>
      <c r="IH46" s="194">
        <f t="shared" si="258"/>
        <v>0</v>
      </c>
      <c r="II46" s="194">
        <f t="shared" si="259"/>
        <v>0</v>
      </c>
      <c r="IJ46" s="194">
        <f t="shared" si="260"/>
        <v>0</v>
      </c>
      <c r="IK46" s="194">
        <f t="shared" si="261"/>
        <v>0</v>
      </c>
      <c r="IL46" s="194">
        <f t="shared" si="262"/>
        <v>0</v>
      </c>
      <c r="IM46" s="194">
        <f t="shared" si="263"/>
        <v>0</v>
      </c>
      <c r="IN46" s="194">
        <f t="shared" si="264"/>
        <v>0</v>
      </c>
      <c r="IO46" s="194">
        <f t="shared" si="265"/>
        <v>0</v>
      </c>
      <c r="IP46" s="194">
        <f t="shared" si="266"/>
        <v>0</v>
      </c>
      <c r="IQ46" s="194">
        <f t="shared" si="267"/>
        <v>0</v>
      </c>
      <c r="IR46" s="194">
        <f t="shared" si="268"/>
        <v>0</v>
      </c>
      <c r="IS46" s="194">
        <f t="shared" si="269"/>
        <v>0</v>
      </c>
      <c r="IT46" s="194">
        <f t="shared" si="270"/>
        <v>0</v>
      </c>
      <c r="IU46" s="194">
        <f t="shared" si="271"/>
        <v>0</v>
      </c>
      <c r="IV46" s="194">
        <f t="shared" si="272"/>
        <v>0</v>
      </c>
      <c r="IW46" s="194">
        <f t="shared" si="273"/>
        <v>0</v>
      </c>
      <c r="IX46" s="194">
        <f t="shared" si="274"/>
        <v>0</v>
      </c>
      <c r="IY46" s="194">
        <f t="shared" si="275"/>
        <v>0</v>
      </c>
      <c r="IZ46" s="194">
        <f t="shared" si="276"/>
        <v>0</v>
      </c>
      <c r="JA46" s="194">
        <f t="shared" si="277"/>
        <v>0</v>
      </c>
      <c r="JB46" s="194">
        <f t="shared" si="278"/>
        <v>0</v>
      </c>
      <c r="JC46" s="194">
        <f t="shared" si="279"/>
        <v>0</v>
      </c>
      <c r="JD46" s="194">
        <f t="shared" si="280"/>
        <v>0</v>
      </c>
      <c r="JE46" s="194">
        <f t="shared" si="281"/>
        <v>0</v>
      </c>
      <c r="JF46" s="194">
        <f t="shared" si="282"/>
        <v>0</v>
      </c>
      <c r="JG46" s="194">
        <f t="shared" si="283"/>
        <v>0</v>
      </c>
      <c r="JH46" s="194">
        <f t="shared" si="284"/>
        <v>0</v>
      </c>
      <c r="JI46" s="228">
        <v>38</v>
      </c>
      <c r="JJ46" s="229" t="str">
        <f t="shared" si="121"/>
        <v/>
      </c>
      <c r="JK46" s="229" t="str">
        <f t="shared" si="122"/>
        <v/>
      </c>
      <c r="JL46" s="229" t="str">
        <f t="shared" si="123"/>
        <v/>
      </c>
      <c r="JM46" s="229" t="str">
        <f t="shared" si="124"/>
        <v/>
      </c>
      <c r="JN46" s="229" t="str">
        <f t="shared" si="125"/>
        <v/>
      </c>
      <c r="JO46" s="229" t="str">
        <f t="shared" si="126"/>
        <v/>
      </c>
      <c r="JP46" s="229" t="str">
        <f t="shared" si="127"/>
        <v/>
      </c>
      <c r="JQ46" s="229" t="str">
        <f t="shared" si="128"/>
        <v/>
      </c>
      <c r="JR46" s="229" t="str">
        <f t="shared" si="129"/>
        <v/>
      </c>
      <c r="JS46" s="229" t="str">
        <f t="shared" si="130"/>
        <v/>
      </c>
      <c r="JT46" s="229" t="str">
        <f t="shared" si="131"/>
        <v/>
      </c>
      <c r="JU46" s="229" t="str">
        <f t="shared" si="132"/>
        <v/>
      </c>
      <c r="JV46" s="229" t="str">
        <f t="shared" si="133"/>
        <v/>
      </c>
      <c r="JW46" s="229" t="str">
        <f t="shared" si="134"/>
        <v/>
      </c>
      <c r="JX46" s="229" t="str">
        <f t="shared" si="135"/>
        <v/>
      </c>
      <c r="JY46" s="229" t="str">
        <f t="shared" si="136"/>
        <v/>
      </c>
      <c r="JZ46" s="229" t="str">
        <f t="shared" si="137"/>
        <v/>
      </c>
      <c r="KA46" s="229" t="str">
        <f t="shared" si="138"/>
        <v/>
      </c>
      <c r="KB46" s="229" t="str">
        <f t="shared" si="139"/>
        <v/>
      </c>
      <c r="KC46" s="229" t="str">
        <f t="shared" si="140"/>
        <v/>
      </c>
      <c r="KD46" s="231" t="str">
        <f t="shared" si="141"/>
        <v/>
      </c>
      <c r="KE46" s="232" t="str">
        <f>IF(KD46="","",IF(KD46&gt;=KONVERSI!$A$5,KONVERSI!$E$12,IF(KD46&gt;=KONVERSI!$A$6,KONVERSI!$E$13,IF(KD46&gt;=KONVERSI!$A$7,KONVERSI!$E$14,KONVERSI!$E$15))))</f>
        <v/>
      </c>
      <c r="KF46" s="233" t="str">
        <f t="shared" si="142"/>
        <v/>
      </c>
      <c r="KG46" s="234" t="str">
        <f t="shared" si="143"/>
        <v/>
      </c>
      <c r="KH46" s="232" t="str">
        <f>IF(KG46="","",IF(KG46&gt;=KONVERSI!$A$5,KONVERSI!$E$12,IF(KG46&gt;=KONVERSI!$A$6,KONVERSI!$E$13,IF(KG46&gt;=KONVERSI!$A$7,KONVERSI!$E$14,KONVERSI!$E$15))))</f>
        <v/>
      </c>
      <c r="KI46" s="134" t="str">
        <f>IF(GC46="","",IF(GC46&lt;$GD$3," "&amp;KONVERSI!$C$19&amp;INDEX($JJ$8:$KC$8,MATCH(KG47,JJ47:KC47,0))&amp;".",IF(GC46=0,"",IF(KG46&lt;&gt;0,KF46&amp;KH46&amp;".",KF46&amp;"."))))</f>
        <v/>
      </c>
      <c r="KJ46" s="235" t="str">
        <f t="shared" si="144"/>
        <v/>
      </c>
      <c r="KK46" s="235" t="str">
        <f t="shared" si="145"/>
        <v/>
      </c>
      <c r="KL46" s="235" t="str">
        <f t="shared" si="146"/>
        <v/>
      </c>
      <c r="KM46" s="235" t="str">
        <f t="shared" si="147"/>
        <v/>
      </c>
      <c r="KN46" s="235" t="str">
        <f t="shared" si="148"/>
        <v/>
      </c>
      <c r="KO46" s="235" t="str">
        <f t="shared" si="149"/>
        <v/>
      </c>
      <c r="KP46" s="235" t="str">
        <f t="shared" si="150"/>
        <v/>
      </c>
      <c r="KQ46" s="235" t="str">
        <f t="shared" si="151"/>
        <v/>
      </c>
      <c r="KR46" s="235" t="str">
        <f t="shared" si="152"/>
        <v/>
      </c>
      <c r="KS46" s="235" t="str">
        <f t="shared" si="153"/>
        <v/>
      </c>
      <c r="KT46" s="235" t="str">
        <f t="shared" si="154"/>
        <v/>
      </c>
      <c r="KU46" s="235" t="str">
        <f t="shared" si="155"/>
        <v/>
      </c>
      <c r="KV46" s="235" t="str">
        <f t="shared" si="156"/>
        <v/>
      </c>
      <c r="KW46" s="235" t="str">
        <f t="shared" si="157"/>
        <v/>
      </c>
      <c r="KX46" s="235" t="str">
        <f t="shared" si="158"/>
        <v/>
      </c>
      <c r="KY46" s="235" t="str">
        <f t="shared" si="159"/>
        <v/>
      </c>
      <c r="KZ46" s="235" t="str">
        <f t="shared" si="160"/>
        <v/>
      </c>
      <c r="LA46" s="235" t="str">
        <f t="shared" si="161"/>
        <v/>
      </c>
      <c r="LB46" s="235" t="str">
        <f t="shared" si="162"/>
        <v/>
      </c>
      <c r="LC46" s="235" t="str">
        <f t="shared" si="163"/>
        <v/>
      </c>
      <c r="LD46" s="134" t="str">
        <f t="shared" si="164"/>
        <v/>
      </c>
      <c r="LE46" s="134" t="str">
        <f t="shared" si="164"/>
        <v/>
      </c>
      <c r="LF46" s="134" t="str">
        <f t="shared" si="164"/>
        <v/>
      </c>
      <c r="LG46" s="134" t="str">
        <f t="shared" si="164"/>
        <v/>
      </c>
      <c r="LH46" s="134" t="str">
        <f t="shared" si="164"/>
        <v/>
      </c>
      <c r="LI46" s="134" t="str">
        <f t="shared" si="164"/>
        <v/>
      </c>
      <c r="LJ46" s="134" t="str">
        <f t="shared" si="164"/>
        <v/>
      </c>
      <c r="LK46" s="134" t="str">
        <f t="shared" si="164"/>
        <v/>
      </c>
      <c r="LL46" s="134" t="str">
        <f t="shared" si="164"/>
        <v/>
      </c>
      <c r="LM46" s="134" t="str">
        <f t="shared" si="164"/>
        <v/>
      </c>
      <c r="LN46" s="134" t="str">
        <f t="shared" si="164"/>
        <v/>
      </c>
      <c r="LO46" s="134" t="str">
        <f t="shared" si="287"/>
        <v/>
      </c>
      <c r="LP46" s="134" t="str">
        <f t="shared" si="287"/>
        <v/>
      </c>
      <c r="LQ46" s="134" t="str">
        <f t="shared" si="287"/>
        <v/>
      </c>
      <c r="LR46" s="134" t="str">
        <f t="shared" si="287"/>
        <v/>
      </c>
      <c r="LS46" s="134" t="str">
        <f t="shared" si="287"/>
        <v/>
      </c>
      <c r="LT46" s="134" t="str">
        <f t="shared" si="287"/>
        <v/>
      </c>
      <c r="LU46" s="134" t="str">
        <f t="shared" si="287"/>
        <v/>
      </c>
      <c r="LV46" s="134" t="str">
        <f t="shared" si="287"/>
        <v/>
      </c>
      <c r="LW46" s="134" t="str">
        <f t="shared" si="287"/>
        <v/>
      </c>
      <c r="LX46" s="134" t="str">
        <f t="shared" si="165"/>
        <v/>
      </c>
      <c r="LY46" s="134" t="str">
        <f t="shared" si="166"/>
        <v>  </v>
      </c>
      <c r="LZ46" s="236">
        <f t="shared" si="285"/>
        <v>0</v>
      </c>
      <c r="MA46" s="235" t="str">
        <f t="shared" si="167"/>
        <v/>
      </c>
      <c r="MB46" s="235" t="str">
        <f t="shared" si="168"/>
        <v/>
      </c>
      <c r="MC46" s="235" t="str">
        <f t="shared" si="169"/>
        <v/>
      </c>
      <c r="MD46" s="235" t="str">
        <f t="shared" si="170"/>
        <v/>
      </c>
      <c r="ME46" s="235" t="str">
        <f t="shared" si="171"/>
        <v/>
      </c>
      <c r="MF46" s="235" t="str">
        <f t="shared" si="172"/>
        <v/>
      </c>
      <c r="MG46" s="235" t="str">
        <f t="shared" si="173"/>
        <v/>
      </c>
      <c r="MH46" s="235" t="str">
        <f t="shared" si="174"/>
        <v/>
      </c>
      <c r="MI46" s="235" t="str">
        <f t="shared" si="175"/>
        <v/>
      </c>
      <c r="MJ46" s="235" t="str">
        <f t="shared" si="176"/>
        <v/>
      </c>
      <c r="MK46" s="235" t="str">
        <f t="shared" si="177"/>
        <v/>
      </c>
      <c r="ML46" s="235" t="str">
        <f t="shared" si="178"/>
        <v/>
      </c>
      <c r="MM46" s="235" t="str">
        <f t="shared" si="179"/>
        <v/>
      </c>
      <c r="MN46" s="235" t="str">
        <f t="shared" si="180"/>
        <v/>
      </c>
      <c r="MO46" s="235" t="str">
        <f t="shared" si="181"/>
        <v/>
      </c>
      <c r="MP46" s="235" t="str">
        <f t="shared" si="182"/>
        <v/>
      </c>
      <c r="MQ46" s="235" t="str">
        <f t="shared" si="183"/>
        <v/>
      </c>
      <c r="MR46" s="235" t="str">
        <f t="shared" si="184"/>
        <v/>
      </c>
      <c r="MS46" s="235" t="str">
        <f t="shared" si="185"/>
        <v/>
      </c>
      <c r="MT46" s="235" t="str">
        <f t="shared" si="186"/>
        <v/>
      </c>
      <c r="MU46" s="134" t="str">
        <f t="shared" si="187"/>
        <v/>
      </c>
      <c r="MV46" s="134" t="str">
        <f t="shared" si="187"/>
        <v/>
      </c>
      <c r="MW46" s="134" t="str">
        <f t="shared" si="187"/>
        <v/>
      </c>
      <c r="MX46" s="134" t="str">
        <f t="shared" si="187"/>
        <v/>
      </c>
      <c r="MY46" s="134" t="str">
        <f t="shared" si="187"/>
        <v/>
      </c>
      <c r="MZ46" s="134" t="str">
        <f t="shared" si="187"/>
        <v/>
      </c>
      <c r="NA46" s="134" t="str">
        <f t="shared" si="187"/>
        <v/>
      </c>
      <c r="NB46" s="134" t="str">
        <f t="shared" si="187"/>
        <v/>
      </c>
      <c r="NC46" s="134" t="str">
        <f t="shared" si="187"/>
        <v/>
      </c>
      <c r="ND46" s="134" t="str">
        <f t="shared" si="187"/>
        <v/>
      </c>
      <c r="NE46" s="134" t="str">
        <f t="shared" si="187"/>
        <v/>
      </c>
      <c r="NF46" s="134" t="str">
        <f t="shared" si="288"/>
        <v/>
      </c>
      <c r="NG46" s="134" t="str">
        <f t="shared" si="288"/>
        <v/>
      </c>
      <c r="NH46" s="134" t="str">
        <f t="shared" si="288"/>
        <v/>
      </c>
      <c r="NI46" s="134" t="str">
        <f t="shared" si="288"/>
        <v/>
      </c>
      <c r="NJ46" s="134" t="str">
        <f t="shared" si="288"/>
        <v/>
      </c>
      <c r="NK46" s="134" t="str">
        <f t="shared" si="288"/>
        <v/>
      </c>
      <c r="NL46" s="134" t="str">
        <f t="shared" si="288"/>
        <v/>
      </c>
      <c r="NM46" s="134" t="str">
        <f t="shared" si="288"/>
        <v/>
      </c>
      <c r="NN46" s="134" t="str">
        <f t="shared" si="288"/>
        <v/>
      </c>
      <c r="NO46" s="134" t="str">
        <f>IF(KE46=KH46,"",IF(KG46="","",IF(KG46&gt;=KONVERSI!$A$14,'KI4'!KH46&amp;" dalam"&amp;MU46&amp;MV46&amp;MW46&amp;MX46&amp;MY46&amp;MZ46&amp;NA46&amp;NB46&amp;NC46&amp;ND46&amp;NE46&amp;NF46&amp;NG46&amp;NH46&amp;NI46&amp;NJ46&amp;NK46&amp;NL46&amp;NM46&amp;NN46,KONVERSI!$C$19&amp;" dalam"&amp;MU46&amp;MV46&amp;MW46&amp;MX46&amp;MY46&amp;MZ46&amp;NA46&amp;NB46&amp;NC46&amp;ND46&amp;NE46&amp;NF46&amp;NG46&amp;NH46&amp;NI46&amp;NJ46&amp;NK46&amp;NL46&amp;NM46&amp;NN46)))</f>
        <v/>
      </c>
      <c r="NP46" s="134" t="str">
        <f t="shared" si="188"/>
        <v/>
      </c>
      <c r="NQ46" s="236">
        <f t="shared" si="286"/>
        <v>0</v>
      </c>
      <c r="NR46" s="134" t="str">
        <f t="shared" si="189"/>
        <v/>
      </c>
    </row>
    <row r="47" ht="27.6" customHeight="1" spans="1:382">
      <c r="A47" s="136"/>
      <c r="B47" s="177">
        <v>39</v>
      </c>
      <c r="C47" s="180">
        <f>siswa!C43</f>
        <v>0</v>
      </c>
      <c r="D47" s="174">
        <f>siswa!D43</f>
        <v>0</v>
      </c>
      <c r="E47" s="181"/>
      <c r="F47" s="176"/>
      <c r="G47" s="176"/>
      <c r="H47" s="176"/>
      <c r="I47" s="176"/>
      <c r="J47" s="176"/>
      <c r="K47" s="176"/>
      <c r="L47" s="176"/>
      <c r="M47" s="194" t="str">
        <f t="shared" si="192"/>
        <v/>
      </c>
      <c r="N47" s="181"/>
      <c r="O47" s="176"/>
      <c r="P47" s="176"/>
      <c r="Q47" s="176"/>
      <c r="R47" s="176"/>
      <c r="S47" s="176"/>
      <c r="T47" s="176"/>
      <c r="U47" s="176"/>
      <c r="V47" s="194" t="str">
        <f t="shared" si="193"/>
        <v/>
      </c>
      <c r="W47" s="181"/>
      <c r="X47" s="176"/>
      <c r="Y47" s="176"/>
      <c r="Z47" s="176"/>
      <c r="AA47" s="176"/>
      <c r="AB47" s="176"/>
      <c r="AC47" s="176"/>
      <c r="AD47" s="176"/>
      <c r="AE47" s="194" t="str">
        <f t="shared" si="194"/>
        <v/>
      </c>
      <c r="AF47" s="181"/>
      <c r="AG47" s="176"/>
      <c r="AH47" s="176"/>
      <c r="AI47" s="176"/>
      <c r="AJ47" s="176"/>
      <c r="AK47" s="176"/>
      <c r="AL47" s="176"/>
      <c r="AM47" s="176"/>
      <c r="AN47" s="194" t="str">
        <f t="shared" si="195"/>
        <v/>
      </c>
      <c r="AO47" s="181"/>
      <c r="AP47" s="176"/>
      <c r="AQ47" s="176"/>
      <c r="AR47" s="176"/>
      <c r="AS47" s="176"/>
      <c r="AT47" s="176"/>
      <c r="AU47" s="176"/>
      <c r="AV47" s="176"/>
      <c r="AW47" s="194" t="str">
        <f t="shared" si="112"/>
        <v/>
      </c>
      <c r="AX47" s="181"/>
      <c r="AY47" s="176"/>
      <c r="AZ47" s="176"/>
      <c r="BA47" s="176"/>
      <c r="BB47" s="176"/>
      <c r="BC47" s="176"/>
      <c r="BD47" s="176"/>
      <c r="BE47" s="176"/>
      <c r="BF47" s="194" t="str">
        <f t="shared" si="196"/>
        <v/>
      </c>
      <c r="BG47" s="181"/>
      <c r="BH47" s="176"/>
      <c r="BI47" s="176"/>
      <c r="BJ47" s="176"/>
      <c r="BK47" s="176"/>
      <c r="BL47" s="176"/>
      <c r="BM47" s="176"/>
      <c r="BN47" s="176"/>
      <c r="BO47" s="194" t="str">
        <f t="shared" si="113"/>
        <v/>
      </c>
      <c r="BP47" s="181"/>
      <c r="BQ47" s="176"/>
      <c r="BR47" s="176"/>
      <c r="BS47" s="176"/>
      <c r="BT47" s="176"/>
      <c r="BU47" s="176"/>
      <c r="BV47" s="176"/>
      <c r="BW47" s="176"/>
      <c r="BX47" s="194" t="str">
        <f t="shared" si="114"/>
        <v/>
      </c>
      <c r="BY47" s="181"/>
      <c r="BZ47" s="176"/>
      <c r="CA47" s="176"/>
      <c r="CB47" s="176"/>
      <c r="CC47" s="176"/>
      <c r="CD47" s="176"/>
      <c r="CE47" s="176"/>
      <c r="CF47" s="176"/>
      <c r="CG47" s="194" t="str">
        <f t="shared" si="115"/>
        <v/>
      </c>
      <c r="CH47" s="181"/>
      <c r="CI47" s="176"/>
      <c r="CJ47" s="176"/>
      <c r="CK47" s="176"/>
      <c r="CL47" s="176"/>
      <c r="CM47" s="176"/>
      <c r="CN47" s="176"/>
      <c r="CO47" s="176"/>
      <c r="CP47" s="194" t="str">
        <f t="shared" si="197"/>
        <v/>
      </c>
      <c r="CQ47" s="181"/>
      <c r="CR47" s="176"/>
      <c r="CS47" s="176"/>
      <c r="CT47" s="176"/>
      <c r="CU47" s="176"/>
      <c r="CV47" s="176"/>
      <c r="CW47" s="176"/>
      <c r="CX47" s="176"/>
      <c r="CY47" s="194" t="str">
        <f t="shared" si="116"/>
        <v/>
      </c>
      <c r="CZ47" s="181"/>
      <c r="DA47" s="176"/>
      <c r="DB47" s="176"/>
      <c r="DC47" s="176"/>
      <c r="DD47" s="176"/>
      <c r="DE47" s="176"/>
      <c r="DF47" s="176"/>
      <c r="DG47" s="176"/>
      <c r="DH47" s="194" t="str">
        <f t="shared" si="198"/>
        <v/>
      </c>
      <c r="DI47" s="181"/>
      <c r="DJ47" s="176"/>
      <c r="DK47" s="176"/>
      <c r="DL47" s="176"/>
      <c r="DM47" s="176"/>
      <c r="DN47" s="176"/>
      <c r="DO47" s="176"/>
      <c r="DP47" s="176"/>
      <c r="DQ47" s="194" t="str">
        <f t="shared" si="117"/>
        <v/>
      </c>
      <c r="DR47" s="181"/>
      <c r="DS47" s="176"/>
      <c r="DT47" s="176"/>
      <c r="DU47" s="176"/>
      <c r="DV47" s="176"/>
      <c r="DW47" s="176"/>
      <c r="DX47" s="176"/>
      <c r="DY47" s="176"/>
      <c r="DZ47" s="194" t="str">
        <f t="shared" si="199"/>
        <v/>
      </c>
      <c r="EA47" s="181"/>
      <c r="EB47" s="176"/>
      <c r="EC47" s="176"/>
      <c r="ED47" s="176"/>
      <c r="EE47" s="176"/>
      <c r="EF47" s="176"/>
      <c r="EG47" s="176"/>
      <c r="EH47" s="176"/>
      <c r="EI47" s="194" t="str">
        <f t="shared" si="200"/>
        <v/>
      </c>
      <c r="EJ47" s="181"/>
      <c r="EK47" s="176"/>
      <c r="EL47" s="176"/>
      <c r="EM47" s="176"/>
      <c r="EN47" s="176"/>
      <c r="EO47" s="176"/>
      <c r="EP47" s="176"/>
      <c r="EQ47" s="176"/>
      <c r="ER47" s="194" t="str">
        <f t="shared" si="201"/>
        <v/>
      </c>
      <c r="ES47" s="181"/>
      <c r="ET47" s="176"/>
      <c r="EU47" s="176"/>
      <c r="EV47" s="176"/>
      <c r="EW47" s="176"/>
      <c r="EX47" s="176"/>
      <c r="EY47" s="176"/>
      <c r="EZ47" s="176"/>
      <c r="FA47" s="194" t="str">
        <f t="shared" si="202"/>
        <v/>
      </c>
      <c r="FB47" s="181"/>
      <c r="FC47" s="176"/>
      <c r="FD47" s="176"/>
      <c r="FE47" s="176"/>
      <c r="FF47" s="176"/>
      <c r="FG47" s="176"/>
      <c r="FH47" s="176"/>
      <c r="FI47" s="176"/>
      <c r="FJ47" s="194" t="str">
        <f t="shared" si="203"/>
        <v/>
      </c>
      <c r="FK47" s="181"/>
      <c r="FL47" s="176"/>
      <c r="FM47" s="176"/>
      <c r="FN47" s="176"/>
      <c r="FO47" s="176"/>
      <c r="FP47" s="176"/>
      <c r="FQ47" s="176"/>
      <c r="FR47" s="176"/>
      <c r="FS47" s="194" t="str">
        <f t="shared" si="204"/>
        <v/>
      </c>
      <c r="FT47" s="181"/>
      <c r="FU47" s="176"/>
      <c r="FV47" s="176"/>
      <c r="FW47" s="176"/>
      <c r="FX47" s="176"/>
      <c r="FY47" s="176"/>
      <c r="FZ47" s="176"/>
      <c r="GA47" s="176"/>
      <c r="GB47" s="194" t="str">
        <f t="shared" si="118"/>
        <v/>
      </c>
      <c r="GC47" s="194" t="str">
        <f t="shared" si="119"/>
        <v/>
      </c>
      <c r="GD47" s="194" t="str">
        <f>IF(GC47="","",IF(GC47&gt;=KONVERSI!$A$5,KONVERSI!$D$5,IF(GC47&gt;=KONVERSI!$A$6,KONVERSI!$D$6,IF(GC47&gt;=KONVERSI!$A$7,KONVERSI!$D$7,KONVERSI!$D$8))))</f>
        <v/>
      </c>
      <c r="GE47" s="194" t="str">
        <f t="shared" si="120"/>
        <v/>
      </c>
      <c r="GF47" s="222"/>
      <c r="GG47" s="223">
        <f t="shared" si="205"/>
        <v>0</v>
      </c>
      <c r="GH47" s="194">
        <f t="shared" si="206"/>
        <v>0</v>
      </c>
      <c r="GI47" s="194">
        <f t="shared" si="207"/>
        <v>0</v>
      </c>
      <c r="GJ47" s="194">
        <f t="shared" si="208"/>
        <v>0</v>
      </c>
      <c r="GK47" s="194">
        <f t="shared" si="209"/>
        <v>0</v>
      </c>
      <c r="GL47" s="194">
        <f t="shared" si="210"/>
        <v>0</v>
      </c>
      <c r="GM47" s="194">
        <f t="shared" si="211"/>
        <v>0</v>
      </c>
      <c r="GN47" s="194">
        <f t="shared" si="212"/>
        <v>0</v>
      </c>
      <c r="GO47" s="194">
        <f t="shared" si="213"/>
        <v>0</v>
      </c>
      <c r="GP47" s="194">
        <f t="shared" si="214"/>
        <v>0</v>
      </c>
      <c r="GQ47" s="194">
        <f t="shared" si="215"/>
        <v>0</v>
      </c>
      <c r="GR47" s="194">
        <f t="shared" si="216"/>
        <v>0</v>
      </c>
      <c r="GS47" s="194">
        <f t="shared" si="217"/>
        <v>0</v>
      </c>
      <c r="GT47" s="194">
        <f t="shared" si="218"/>
        <v>0</v>
      </c>
      <c r="GU47" s="194">
        <f t="shared" si="219"/>
        <v>0</v>
      </c>
      <c r="GV47" s="194">
        <f t="shared" si="220"/>
        <v>0</v>
      </c>
      <c r="GW47" s="194">
        <f t="shared" si="221"/>
        <v>0</v>
      </c>
      <c r="GX47" s="194">
        <f t="shared" si="222"/>
        <v>0</v>
      </c>
      <c r="GY47" s="194">
        <f t="shared" si="223"/>
        <v>0</v>
      </c>
      <c r="GZ47" s="194">
        <f t="shared" si="224"/>
        <v>0</v>
      </c>
      <c r="HA47" s="194">
        <f t="shared" si="225"/>
        <v>0</v>
      </c>
      <c r="HB47" s="194">
        <f t="shared" si="226"/>
        <v>0</v>
      </c>
      <c r="HC47" s="194">
        <f t="shared" si="227"/>
        <v>0</v>
      </c>
      <c r="HD47" s="194">
        <f t="shared" si="228"/>
        <v>0</v>
      </c>
      <c r="HE47" s="194">
        <f t="shared" si="229"/>
        <v>0</v>
      </c>
      <c r="HF47" s="194">
        <f t="shared" si="230"/>
        <v>0</v>
      </c>
      <c r="HG47" s="194">
        <f t="shared" si="231"/>
        <v>0</v>
      </c>
      <c r="HH47" s="194">
        <f t="shared" si="232"/>
        <v>0</v>
      </c>
      <c r="HI47" s="194">
        <f t="shared" si="233"/>
        <v>0</v>
      </c>
      <c r="HJ47" s="194">
        <f t="shared" si="234"/>
        <v>0</v>
      </c>
      <c r="HK47" s="194">
        <f t="shared" si="235"/>
        <v>0</v>
      </c>
      <c r="HL47" s="194">
        <f t="shared" si="236"/>
        <v>0</v>
      </c>
      <c r="HM47" s="194">
        <f t="shared" si="237"/>
        <v>0</v>
      </c>
      <c r="HN47" s="194">
        <f t="shared" si="238"/>
        <v>0</v>
      </c>
      <c r="HO47" s="194">
        <f t="shared" si="239"/>
        <v>0</v>
      </c>
      <c r="HP47" s="194">
        <f t="shared" si="240"/>
        <v>0</v>
      </c>
      <c r="HQ47" s="194">
        <f t="shared" si="241"/>
        <v>0</v>
      </c>
      <c r="HR47" s="194">
        <f t="shared" si="242"/>
        <v>0</v>
      </c>
      <c r="HS47" s="194">
        <f t="shared" si="243"/>
        <v>0</v>
      </c>
      <c r="HT47" s="194">
        <f t="shared" si="244"/>
        <v>0</v>
      </c>
      <c r="HU47" s="194">
        <f t="shared" si="245"/>
        <v>0</v>
      </c>
      <c r="HV47" s="194">
        <f t="shared" si="246"/>
        <v>0</v>
      </c>
      <c r="HW47" s="194">
        <f t="shared" si="247"/>
        <v>0</v>
      </c>
      <c r="HX47" s="194">
        <f t="shared" si="248"/>
        <v>0</v>
      </c>
      <c r="HY47" s="194">
        <f t="shared" si="249"/>
        <v>0</v>
      </c>
      <c r="HZ47" s="194">
        <f t="shared" si="250"/>
        <v>0</v>
      </c>
      <c r="IA47" s="194">
        <f t="shared" si="251"/>
        <v>0</v>
      </c>
      <c r="IB47" s="194">
        <f t="shared" si="252"/>
        <v>0</v>
      </c>
      <c r="IC47" s="194">
        <f t="shared" si="253"/>
        <v>0</v>
      </c>
      <c r="ID47" s="194">
        <f t="shared" si="254"/>
        <v>0</v>
      </c>
      <c r="IE47" s="194">
        <f t="shared" si="255"/>
        <v>0</v>
      </c>
      <c r="IF47" s="194">
        <f t="shared" si="256"/>
        <v>0</v>
      </c>
      <c r="IG47" s="194">
        <f t="shared" si="257"/>
        <v>0</v>
      </c>
      <c r="IH47" s="194">
        <f t="shared" si="258"/>
        <v>0</v>
      </c>
      <c r="II47" s="194">
        <f t="shared" si="259"/>
        <v>0</v>
      </c>
      <c r="IJ47" s="194">
        <f t="shared" si="260"/>
        <v>0</v>
      </c>
      <c r="IK47" s="194">
        <f t="shared" si="261"/>
        <v>0</v>
      </c>
      <c r="IL47" s="194">
        <f t="shared" si="262"/>
        <v>0</v>
      </c>
      <c r="IM47" s="194">
        <f t="shared" si="263"/>
        <v>0</v>
      </c>
      <c r="IN47" s="194">
        <f t="shared" si="264"/>
        <v>0</v>
      </c>
      <c r="IO47" s="194">
        <f t="shared" si="265"/>
        <v>0</v>
      </c>
      <c r="IP47" s="194">
        <f t="shared" si="266"/>
        <v>0</v>
      </c>
      <c r="IQ47" s="194">
        <f t="shared" si="267"/>
        <v>0</v>
      </c>
      <c r="IR47" s="194">
        <f t="shared" si="268"/>
        <v>0</v>
      </c>
      <c r="IS47" s="194">
        <f t="shared" si="269"/>
        <v>0</v>
      </c>
      <c r="IT47" s="194">
        <f t="shared" si="270"/>
        <v>0</v>
      </c>
      <c r="IU47" s="194">
        <f t="shared" si="271"/>
        <v>0</v>
      </c>
      <c r="IV47" s="194">
        <f t="shared" si="272"/>
        <v>0</v>
      </c>
      <c r="IW47" s="194">
        <f t="shared" si="273"/>
        <v>0</v>
      </c>
      <c r="IX47" s="194">
        <f t="shared" si="274"/>
        <v>0</v>
      </c>
      <c r="IY47" s="194">
        <f t="shared" si="275"/>
        <v>0</v>
      </c>
      <c r="IZ47" s="194">
        <f t="shared" si="276"/>
        <v>0</v>
      </c>
      <c r="JA47" s="194">
        <f t="shared" si="277"/>
        <v>0</v>
      </c>
      <c r="JB47" s="194">
        <f t="shared" si="278"/>
        <v>0</v>
      </c>
      <c r="JC47" s="194">
        <f t="shared" si="279"/>
        <v>0</v>
      </c>
      <c r="JD47" s="194">
        <f t="shared" si="280"/>
        <v>0</v>
      </c>
      <c r="JE47" s="194">
        <f t="shared" si="281"/>
        <v>0</v>
      </c>
      <c r="JF47" s="194">
        <f t="shared" si="282"/>
        <v>0</v>
      </c>
      <c r="JG47" s="194">
        <f t="shared" si="283"/>
        <v>0</v>
      </c>
      <c r="JH47" s="194">
        <f t="shared" si="284"/>
        <v>0</v>
      </c>
      <c r="JI47" s="228">
        <v>39</v>
      </c>
      <c r="JJ47" s="229" t="str">
        <f t="shared" si="121"/>
        <v/>
      </c>
      <c r="JK47" s="229" t="str">
        <f t="shared" si="122"/>
        <v/>
      </c>
      <c r="JL47" s="229" t="str">
        <f t="shared" si="123"/>
        <v/>
      </c>
      <c r="JM47" s="229" t="str">
        <f t="shared" si="124"/>
        <v/>
      </c>
      <c r="JN47" s="229" t="str">
        <f t="shared" si="125"/>
        <v/>
      </c>
      <c r="JO47" s="229" t="str">
        <f t="shared" si="126"/>
        <v/>
      </c>
      <c r="JP47" s="229" t="str">
        <f t="shared" si="127"/>
        <v/>
      </c>
      <c r="JQ47" s="229" t="str">
        <f t="shared" si="128"/>
        <v/>
      </c>
      <c r="JR47" s="229" t="str">
        <f t="shared" si="129"/>
        <v/>
      </c>
      <c r="JS47" s="229" t="str">
        <f t="shared" si="130"/>
        <v/>
      </c>
      <c r="JT47" s="229" t="str">
        <f t="shared" si="131"/>
        <v/>
      </c>
      <c r="JU47" s="229" t="str">
        <f t="shared" si="132"/>
        <v/>
      </c>
      <c r="JV47" s="229" t="str">
        <f t="shared" si="133"/>
        <v/>
      </c>
      <c r="JW47" s="229" t="str">
        <f t="shared" si="134"/>
        <v/>
      </c>
      <c r="JX47" s="229" t="str">
        <f t="shared" si="135"/>
        <v/>
      </c>
      <c r="JY47" s="229" t="str">
        <f t="shared" si="136"/>
        <v/>
      </c>
      <c r="JZ47" s="229" t="str">
        <f t="shared" si="137"/>
        <v/>
      </c>
      <c r="KA47" s="229" t="str">
        <f t="shared" si="138"/>
        <v/>
      </c>
      <c r="KB47" s="229" t="str">
        <f t="shared" si="139"/>
        <v/>
      </c>
      <c r="KC47" s="229" t="str">
        <f t="shared" si="140"/>
        <v/>
      </c>
      <c r="KD47" s="231" t="str">
        <f t="shared" si="141"/>
        <v/>
      </c>
      <c r="KE47" s="232" t="str">
        <f>IF(KD47="","",IF(KD47&gt;=KONVERSI!$A$5,KONVERSI!$E$12,IF(KD47&gt;=KONVERSI!$A$6,KONVERSI!$E$13,IF(KD47&gt;=KONVERSI!$A$7,KONVERSI!$E$14,KONVERSI!$E$15))))</f>
        <v/>
      </c>
      <c r="KF47" s="233" t="str">
        <f t="shared" si="142"/>
        <v/>
      </c>
      <c r="KG47" s="234" t="str">
        <f t="shared" si="143"/>
        <v/>
      </c>
      <c r="KH47" s="232" t="str">
        <f>IF(KG47="","",IF(KG47&gt;=KONVERSI!$A$5,KONVERSI!$E$12,IF(KG47&gt;=KONVERSI!$A$6,KONVERSI!$E$13,IF(KG47&gt;=KONVERSI!$A$7,KONVERSI!$E$14,KONVERSI!$E$15))))</f>
        <v/>
      </c>
      <c r="KI47" s="134" t="str">
        <f>IF(GC47="","",IF(GC47&lt;$GD$3," "&amp;KONVERSI!$C$19&amp;INDEX($JJ$8:$KC$8,MATCH(KG48,JJ48:KC48,0))&amp;".",IF(GC47=0,"",IF(KG47&lt;&gt;0,KF47&amp;KH47&amp;".",KF47&amp;"."))))</f>
        <v/>
      </c>
      <c r="KJ47" s="235" t="str">
        <f t="shared" si="144"/>
        <v/>
      </c>
      <c r="KK47" s="235" t="str">
        <f t="shared" si="145"/>
        <v/>
      </c>
      <c r="KL47" s="235" t="str">
        <f t="shared" si="146"/>
        <v/>
      </c>
      <c r="KM47" s="235" t="str">
        <f t="shared" si="147"/>
        <v/>
      </c>
      <c r="KN47" s="235" t="str">
        <f t="shared" si="148"/>
        <v/>
      </c>
      <c r="KO47" s="235" t="str">
        <f t="shared" si="149"/>
        <v/>
      </c>
      <c r="KP47" s="235" t="str">
        <f t="shared" si="150"/>
        <v/>
      </c>
      <c r="KQ47" s="235" t="str">
        <f t="shared" si="151"/>
        <v/>
      </c>
      <c r="KR47" s="235" t="str">
        <f t="shared" si="152"/>
        <v/>
      </c>
      <c r="KS47" s="235" t="str">
        <f t="shared" si="153"/>
        <v/>
      </c>
      <c r="KT47" s="235" t="str">
        <f t="shared" si="154"/>
        <v/>
      </c>
      <c r="KU47" s="235" t="str">
        <f t="shared" si="155"/>
        <v/>
      </c>
      <c r="KV47" s="235" t="str">
        <f t="shared" si="156"/>
        <v/>
      </c>
      <c r="KW47" s="235" t="str">
        <f t="shared" si="157"/>
        <v/>
      </c>
      <c r="KX47" s="235" t="str">
        <f t="shared" si="158"/>
        <v/>
      </c>
      <c r="KY47" s="235" t="str">
        <f t="shared" si="159"/>
        <v/>
      </c>
      <c r="KZ47" s="235" t="str">
        <f t="shared" si="160"/>
        <v/>
      </c>
      <c r="LA47" s="235" t="str">
        <f t="shared" si="161"/>
        <v/>
      </c>
      <c r="LB47" s="235" t="str">
        <f t="shared" si="162"/>
        <v/>
      </c>
      <c r="LC47" s="235" t="str">
        <f t="shared" si="163"/>
        <v/>
      </c>
      <c r="LD47" s="134" t="str">
        <f t="shared" si="164"/>
        <v/>
      </c>
      <c r="LE47" s="134" t="str">
        <f t="shared" si="164"/>
        <v/>
      </c>
      <c r="LF47" s="134" t="str">
        <f t="shared" si="164"/>
        <v/>
      </c>
      <c r="LG47" s="134" t="str">
        <f t="shared" si="164"/>
        <v/>
      </c>
      <c r="LH47" s="134" t="str">
        <f t="shared" si="164"/>
        <v/>
      </c>
      <c r="LI47" s="134" t="str">
        <f t="shared" si="164"/>
        <v/>
      </c>
      <c r="LJ47" s="134" t="str">
        <f t="shared" si="164"/>
        <v/>
      </c>
      <c r="LK47" s="134" t="str">
        <f t="shared" si="164"/>
        <v/>
      </c>
      <c r="LL47" s="134" t="str">
        <f t="shared" si="164"/>
        <v/>
      </c>
      <c r="LM47" s="134" t="str">
        <f t="shared" si="164"/>
        <v/>
      </c>
      <c r="LN47" s="134" t="str">
        <f t="shared" si="164"/>
        <v/>
      </c>
      <c r="LO47" s="134" t="str">
        <f t="shared" si="287"/>
        <v/>
      </c>
      <c r="LP47" s="134" t="str">
        <f t="shared" si="287"/>
        <v/>
      </c>
      <c r="LQ47" s="134" t="str">
        <f t="shared" si="287"/>
        <v/>
      </c>
      <c r="LR47" s="134" t="str">
        <f t="shared" si="287"/>
        <v/>
      </c>
      <c r="LS47" s="134" t="str">
        <f t="shared" si="287"/>
        <v/>
      </c>
      <c r="LT47" s="134" t="str">
        <f t="shared" si="287"/>
        <v/>
      </c>
      <c r="LU47" s="134" t="str">
        <f t="shared" si="287"/>
        <v/>
      </c>
      <c r="LV47" s="134" t="str">
        <f t="shared" si="287"/>
        <v/>
      </c>
      <c r="LW47" s="134" t="str">
        <f t="shared" si="287"/>
        <v/>
      </c>
      <c r="LX47" s="134" t="str">
        <f t="shared" si="165"/>
        <v/>
      </c>
      <c r="LY47" s="134" t="str">
        <f t="shared" si="166"/>
        <v>  </v>
      </c>
      <c r="LZ47" s="236">
        <f t="shared" si="285"/>
        <v>0</v>
      </c>
      <c r="MA47" s="235" t="str">
        <f t="shared" si="167"/>
        <v/>
      </c>
      <c r="MB47" s="235" t="str">
        <f t="shared" si="168"/>
        <v/>
      </c>
      <c r="MC47" s="235" t="str">
        <f t="shared" si="169"/>
        <v/>
      </c>
      <c r="MD47" s="235" t="str">
        <f t="shared" si="170"/>
        <v/>
      </c>
      <c r="ME47" s="235" t="str">
        <f t="shared" si="171"/>
        <v/>
      </c>
      <c r="MF47" s="235" t="str">
        <f t="shared" si="172"/>
        <v/>
      </c>
      <c r="MG47" s="235" t="str">
        <f t="shared" si="173"/>
        <v/>
      </c>
      <c r="MH47" s="235" t="str">
        <f t="shared" si="174"/>
        <v/>
      </c>
      <c r="MI47" s="235" t="str">
        <f t="shared" si="175"/>
        <v/>
      </c>
      <c r="MJ47" s="235" t="str">
        <f t="shared" si="176"/>
        <v/>
      </c>
      <c r="MK47" s="235" t="str">
        <f t="shared" si="177"/>
        <v/>
      </c>
      <c r="ML47" s="235" t="str">
        <f t="shared" si="178"/>
        <v/>
      </c>
      <c r="MM47" s="235" t="str">
        <f t="shared" si="179"/>
        <v/>
      </c>
      <c r="MN47" s="235" t="str">
        <f t="shared" si="180"/>
        <v/>
      </c>
      <c r="MO47" s="235" t="str">
        <f t="shared" si="181"/>
        <v/>
      </c>
      <c r="MP47" s="235" t="str">
        <f t="shared" si="182"/>
        <v/>
      </c>
      <c r="MQ47" s="235" t="str">
        <f t="shared" si="183"/>
        <v/>
      </c>
      <c r="MR47" s="235" t="str">
        <f t="shared" si="184"/>
        <v/>
      </c>
      <c r="MS47" s="235" t="str">
        <f t="shared" si="185"/>
        <v/>
      </c>
      <c r="MT47" s="235" t="str">
        <f t="shared" si="186"/>
        <v/>
      </c>
      <c r="MU47" s="134" t="str">
        <f t="shared" si="187"/>
        <v/>
      </c>
      <c r="MV47" s="134" t="str">
        <f t="shared" si="187"/>
        <v/>
      </c>
      <c r="MW47" s="134" t="str">
        <f t="shared" si="187"/>
        <v/>
      </c>
      <c r="MX47" s="134" t="str">
        <f t="shared" si="187"/>
        <v/>
      </c>
      <c r="MY47" s="134" t="str">
        <f t="shared" si="187"/>
        <v/>
      </c>
      <c r="MZ47" s="134" t="str">
        <f t="shared" si="187"/>
        <v/>
      </c>
      <c r="NA47" s="134" t="str">
        <f t="shared" si="187"/>
        <v/>
      </c>
      <c r="NB47" s="134" t="str">
        <f t="shared" si="187"/>
        <v/>
      </c>
      <c r="NC47" s="134" t="str">
        <f t="shared" si="187"/>
        <v/>
      </c>
      <c r="ND47" s="134" t="str">
        <f t="shared" si="187"/>
        <v/>
      </c>
      <c r="NE47" s="134" t="str">
        <f t="shared" si="187"/>
        <v/>
      </c>
      <c r="NF47" s="134" t="str">
        <f t="shared" si="288"/>
        <v/>
      </c>
      <c r="NG47" s="134" t="str">
        <f t="shared" si="288"/>
        <v/>
      </c>
      <c r="NH47" s="134" t="str">
        <f t="shared" si="288"/>
        <v/>
      </c>
      <c r="NI47" s="134" t="str">
        <f t="shared" si="288"/>
        <v/>
      </c>
      <c r="NJ47" s="134" t="str">
        <f t="shared" si="288"/>
        <v/>
      </c>
      <c r="NK47" s="134" t="str">
        <f t="shared" si="288"/>
        <v/>
      </c>
      <c r="NL47" s="134" t="str">
        <f t="shared" si="288"/>
        <v/>
      </c>
      <c r="NM47" s="134" t="str">
        <f t="shared" si="288"/>
        <v/>
      </c>
      <c r="NN47" s="134" t="str">
        <f t="shared" si="288"/>
        <v/>
      </c>
      <c r="NO47" s="134" t="str">
        <f>IF(KE47=KH47,"",IF(KG47="","",IF(KG47&gt;=KONVERSI!$A$14,'KI4'!KH47&amp;" dalam"&amp;MU47&amp;MV47&amp;MW47&amp;MX47&amp;MY47&amp;MZ47&amp;NA47&amp;NB47&amp;NC47&amp;ND47&amp;NE47&amp;NF47&amp;NG47&amp;NH47&amp;NI47&amp;NJ47&amp;NK47&amp;NL47&amp;NM47&amp;NN47,KONVERSI!$C$19&amp;" dalam"&amp;MU47&amp;MV47&amp;MW47&amp;MX47&amp;MY47&amp;MZ47&amp;NA47&amp;NB47&amp;NC47&amp;ND47&amp;NE47&amp;NF47&amp;NG47&amp;NH47&amp;NI47&amp;NJ47&amp;NK47&amp;NL47&amp;NM47&amp;NN47)))</f>
        <v/>
      </c>
      <c r="NP47" s="134" t="str">
        <f t="shared" si="188"/>
        <v/>
      </c>
      <c r="NQ47" s="236">
        <f t="shared" si="286"/>
        <v>0</v>
      </c>
      <c r="NR47" s="134" t="str">
        <f t="shared" si="189"/>
        <v/>
      </c>
    </row>
    <row r="48" ht="27.6" customHeight="1" spans="1:382">
      <c r="A48" s="136"/>
      <c r="B48" s="177">
        <v>40</v>
      </c>
      <c r="C48" s="180">
        <f>siswa!C44</f>
        <v>0</v>
      </c>
      <c r="D48" s="174">
        <f>siswa!D44</f>
        <v>0</v>
      </c>
      <c r="E48" s="181"/>
      <c r="F48" s="176"/>
      <c r="G48" s="176"/>
      <c r="H48" s="176"/>
      <c r="I48" s="176"/>
      <c r="J48" s="176"/>
      <c r="K48" s="176"/>
      <c r="L48" s="176"/>
      <c r="M48" s="194" t="str">
        <f t="shared" si="192"/>
        <v/>
      </c>
      <c r="N48" s="181"/>
      <c r="O48" s="176"/>
      <c r="P48" s="176"/>
      <c r="Q48" s="176"/>
      <c r="R48" s="176"/>
      <c r="S48" s="176"/>
      <c r="T48" s="176"/>
      <c r="U48" s="176"/>
      <c r="V48" s="194" t="str">
        <f t="shared" si="193"/>
        <v/>
      </c>
      <c r="W48" s="181"/>
      <c r="X48" s="176"/>
      <c r="Y48" s="176"/>
      <c r="Z48" s="176"/>
      <c r="AA48" s="176"/>
      <c r="AB48" s="176"/>
      <c r="AC48" s="176"/>
      <c r="AD48" s="176"/>
      <c r="AE48" s="194" t="str">
        <f t="shared" si="194"/>
        <v/>
      </c>
      <c r="AF48" s="181"/>
      <c r="AG48" s="176"/>
      <c r="AH48" s="176"/>
      <c r="AI48" s="176"/>
      <c r="AJ48" s="176"/>
      <c r="AK48" s="176"/>
      <c r="AL48" s="176"/>
      <c r="AM48" s="176"/>
      <c r="AN48" s="194" t="str">
        <f t="shared" si="195"/>
        <v/>
      </c>
      <c r="AO48" s="181"/>
      <c r="AP48" s="176"/>
      <c r="AQ48" s="176"/>
      <c r="AR48" s="176"/>
      <c r="AS48" s="176"/>
      <c r="AT48" s="176"/>
      <c r="AU48" s="176"/>
      <c r="AV48" s="176"/>
      <c r="AW48" s="194" t="str">
        <f t="shared" si="112"/>
        <v/>
      </c>
      <c r="AX48" s="181"/>
      <c r="AY48" s="176"/>
      <c r="AZ48" s="176"/>
      <c r="BA48" s="176"/>
      <c r="BB48" s="176"/>
      <c r="BC48" s="176"/>
      <c r="BD48" s="176"/>
      <c r="BE48" s="176"/>
      <c r="BF48" s="194" t="str">
        <f t="shared" si="196"/>
        <v/>
      </c>
      <c r="BG48" s="181"/>
      <c r="BH48" s="176"/>
      <c r="BI48" s="176"/>
      <c r="BJ48" s="176"/>
      <c r="BK48" s="176"/>
      <c r="BL48" s="176"/>
      <c r="BM48" s="176"/>
      <c r="BN48" s="176"/>
      <c r="BO48" s="194" t="str">
        <f t="shared" si="113"/>
        <v/>
      </c>
      <c r="BP48" s="181"/>
      <c r="BQ48" s="176"/>
      <c r="BR48" s="176"/>
      <c r="BS48" s="176"/>
      <c r="BT48" s="176"/>
      <c r="BU48" s="176"/>
      <c r="BV48" s="176"/>
      <c r="BW48" s="176"/>
      <c r="BX48" s="194" t="str">
        <f t="shared" si="114"/>
        <v/>
      </c>
      <c r="BY48" s="181"/>
      <c r="BZ48" s="176"/>
      <c r="CA48" s="176"/>
      <c r="CB48" s="176"/>
      <c r="CC48" s="176"/>
      <c r="CD48" s="176"/>
      <c r="CE48" s="176"/>
      <c r="CF48" s="176"/>
      <c r="CG48" s="194" t="str">
        <f t="shared" si="115"/>
        <v/>
      </c>
      <c r="CH48" s="181"/>
      <c r="CI48" s="176"/>
      <c r="CJ48" s="176"/>
      <c r="CK48" s="176"/>
      <c r="CL48" s="176"/>
      <c r="CM48" s="176"/>
      <c r="CN48" s="176"/>
      <c r="CO48" s="176"/>
      <c r="CP48" s="194" t="str">
        <f t="shared" si="197"/>
        <v/>
      </c>
      <c r="CQ48" s="181"/>
      <c r="CR48" s="176"/>
      <c r="CS48" s="176"/>
      <c r="CT48" s="176"/>
      <c r="CU48" s="176"/>
      <c r="CV48" s="176"/>
      <c r="CW48" s="176"/>
      <c r="CX48" s="176"/>
      <c r="CY48" s="194" t="str">
        <f t="shared" si="116"/>
        <v/>
      </c>
      <c r="CZ48" s="181"/>
      <c r="DA48" s="176"/>
      <c r="DB48" s="176"/>
      <c r="DC48" s="176"/>
      <c r="DD48" s="176"/>
      <c r="DE48" s="176"/>
      <c r="DF48" s="176"/>
      <c r="DG48" s="176"/>
      <c r="DH48" s="194" t="str">
        <f t="shared" si="198"/>
        <v/>
      </c>
      <c r="DI48" s="181"/>
      <c r="DJ48" s="176"/>
      <c r="DK48" s="176"/>
      <c r="DL48" s="176"/>
      <c r="DM48" s="176"/>
      <c r="DN48" s="176"/>
      <c r="DO48" s="176"/>
      <c r="DP48" s="176"/>
      <c r="DQ48" s="194" t="str">
        <f t="shared" si="117"/>
        <v/>
      </c>
      <c r="DR48" s="181"/>
      <c r="DS48" s="176"/>
      <c r="DT48" s="176"/>
      <c r="DU48" s="176"/>
      <c r="DV48" s="176"/>
      <c r="DW48" s="176"/>
      <c r="DX48" s="176"/>
      <c r="DY48" s="176"/>
      <c r="DZ48" s="194" t="str">
        <f t="shared" si="199"/>
        <v/>
      </c>
      <c r="EA48" s="181"/>
      <c r="EB48" s="176"/>
      <c r="EC48" s="176"/>
      <c r="ED48" s="176"/>
      <c r="EE48" s="176"/>
      <c r="EF48" s="176"/>
      <c r="EG48" s="176"/>
      <c r="EH48" s="176"/>
      <c r="EI48" s="194" t="str">
        <f t="shared" si="200"/>
        <v/>
      </c>
      <c r="EJ48" s="181"/>
      <c r="EK48" s="176"/>
      <c r="EL48" s="176"/>
      <c r="EM48" s="176"/>
      <c r="EN48" s="176"/>
      <c r="EO48" s="176"/>
      <c r="EP48" s="176"/>
      <c r="EQ48" s="176"/>
      <c r="ER48" s="194" t="str">
        <f t="shared" si="201"/>
        <v/>
      </c>
      <c r="ES48" s="181"/>
      <c r="ET48" s="176"/>
      <c r="EU48" s="176"/>
      <c r="EV48" s="176"/>
      <c r="EW48" s="176"/>
      <c r="EX48" s="176"/>
      <c r="EY48" s="176"/>
      <c r="EZ48" s="176"/>
      <c r="FA48" s="194" t="str">
        <f t="shared" si="202"/>
        <v/>
      </c>
      <c r="FB48" s="181"/>
      <c r="FC48" s="176"/>
      <c r="FD48" s="176"/>
      <c r="FE48" s="176"/>
      <c r="FF48" s="176"/>
      <c r="FG48" s="176"/>
      <c r="FH48" s="176"/>
      <c r="FI48" s="176"/>
      <c r="FJ48" s="194" t="str">
        <f t="shared" si="203"/>
        <v/>
      </c>
      <c r="FK48" s="181"/>
      <c r="FL48" s="176"/>
      <c r="FM48" s="176"/>
      <c r="FN48" s="176"/>
      <c r="FO48" s="176"/>
      <c r="FP48" s="176"/>
      <c r="FQ48" s="176"/>
      <c r="FR48" s="176"/>
      <c r="FS48" s="194" t="str">
        <f t="shared" si="204"/>
        <v/>
      </c>
      <c r="FT48" s="181"/>
      <c r="FU48" s="176"/>
      <c r="FV48" s="176"/>
      <c r="FW48" s="176"/>
      <c r="FX48" s="176"/>
      <c r="FY48" s="176"/>
      <c r="FZ48" s="176"/>
      <c r="GA48" s="176"/>
      <c r="GB48" s="194" t="str">
        <f t="shared" si="118"/>
        <v/>
      </c>
      <c r="GC48" s="194" t="str">
        <f t="shared" si="119"/>
        <v/>
      </c>
      <c r="GD48" s="194" t="str">
        <f>IF(GC48="","",IF(GC48&gt;=KONVERSI!$A$5,KONVERSI!$D$5,IF(GC48&gt;=KONVERSI!$A$6,KONVERSI!$D$6,IF(GC48&gt;=KONVERSI!$A$7,KONVERSI!$D$7,KONVERSI!$D$8))))</f>
        <v/>
      </c>
      <c r="GE48" s="194" t="str">
        <f t="shared" si="120"/>
        <v/>
      </c>
      <c r="GF48" s="222"/>
      <c r="GG48" s="223">
        <f t="shared" si="205"/>
        <v>0</v>
      </c>
      <c r="GH48" s="194">
        <f t="shared" si="206"/>
        <v>0</v>
      </c>
      <c r="GI48" s="194">
        <f t="shared" si="207"/>
        <v>0</v>
      </c>
      <c r="GJ48" s="194">
        <f t="shared" si="208"/>
        <v>0</v>
      </c>
      <c r="GK48" s="194">
        <f t="shared" si="209"/>
        <v>0</v>
      </c>
      <c r="GL48" s="194">
        <f t="shared" si="210"/>
        <v>0</v>
      </c>
      <c r="GM48" s="194">
        <f t="shared" si="211"/>
        <v>0</v>
      </c>
      <c r="GN48" s="194">
        <f t="shared" si="212"/>
        <v>0</v>
      </c>
      <c r="GO48" s="194">
        <f t="shared" si="213"/>
        <v>0</v>
      </c>
      <c r="GP48" s="194">
        <f t="shared" si="214"/>
        <v>0</v>
      </c>
      <c r="GQ48" s="194">
        <f t="shared" si="215"/>
        <v>0</v>
      </c>
      <c r="GR48" s="194">
        <f t="shared" si="216"/>
        <v>0</v>
      </c>
      <c r="GS48" s="194">
        <f t="shared" si="217"/>
        <v>0</v>
      </c>
      <c r="GT48" s="194">
        <f t="shared" si="218"/>
        <v>0</v>
      </c>
      <c r="GU48" s="194">
        <f t="shared" si="219"/>
        <v>0</v>
      </c>
      <c r="GV48" s="194">
        <f t="shared" si="220"/>
        <v>0</v>
      </c>
      <c r="GW48" s="194">
        <f t="shared" si="221"/>
        <v>0</v>
      </c>
      <c r="GX48" s="194">
        <f t="shared" si="222"/>
        <v>0</v>
      </c>
      <c r="GY48" s="194">
        <f t="shared" si="223"/>
        <v>0</v>
      </c>
      <c r="GZ48" s="194">
        <f t="shared" si="224"/>
        <v>0</v>
      </c>
      <c r="HA48" s="194">
        <f t="shared" si="225"/>
        <v>0</v>
      </c>
      <c r="HB48" s="194">
        <f t="shared" si="226"/>
        <v>0</v>
      </c>
      <c r="HC48" s="194">
        <f t="shared" si="227"/>
        <v>0</v>
      </c>
      <c r="HD48" s="194">
        <f t="shared" si="228"/>
        <v>0</v>
      </c>
      <c r="HE48" s="194">
        <f t="shared" si="229"/>
        <v>0</v>
      </c>
      <c r="HF48" s="194">
        <f t="shared" si="230"/>
        <v>0</v>
      </c>
      <c r="HG48" s="194">
        <f t="shared" si="231"/>
        <v>0</v>
      </c>
      <c r="HH48" s="194">
        <f t="shared" si="232"/>
        <v>0</v>
      </c>
      <c r="HI48" s="194">
        <f t="shared" si="233"/>
        <v>0</v>
      </c>
      <c r="HJ48" s="194">
        <f t="shared" si="234"/>
        <v>0</v>
      </c>
      <c r="HK48" s="194">
        <f t="shared" si="235"/>
        <v>0</v>
      </c>
      <c r="HL48" s="194">
        <f t="shared" si="236"/>
        <v>0</v>
      </c>
      <c r="HM48" s="194">
        <f t="shared" si="237"/>
        <v>0</v>
      </c>
      <c r="HN48" s="194">
        <f t="shared" si="238"/>
        <v>0</v>
      </c>
      <c r="HO48" s="194">
        <f t="shared" si="239"/>
        <v>0</v>
      </c>
      <c r="HP48" s="194">
        <f t="shared" si="240"/>
        <v>0</v>
      </c>
      <c r="HQ48" s="194">
        <f t="shared" si="241"/>
        <v>0</v>
      </c>
      <c r="HR48" s="194">
        <f t="shared" si="242"/>
        <v>0</v>
      </c>
      <c r="HS48" s="194">
        <f t="shared" si="243"/>
        <v>0</v>
      </c>
      <c r="HT48" s="194">
        <f t="shared" si="244"/>
        <v>0</v>
      </c>
      <c r="HU48" s="194">
        <f t="shared" si="245"/>
        <v>0</v>
      </c>
      <c r="HV48" s="194">
        <f t="shared" si="246"/>
        <v>0</v>
      </c>
      <c r="HW48" s="194">
        <f t="shared" si="247"/>
        <v>0</v>
      </c>
      <c r="HX48" s="194">
        <f t="shared" si="248"/>
        <v>0</v>
      </c>
      <c r="HY48" s="194">
        <f t="shared" si="249"/>
        <v>0</v>
      </c>
      <c r="HZ48" s="194">
        <f t="shared" si="250"/>
        <v>0</v>
      </c>
      <c r="IA48" s="194">
        <f t="shared" si="251"/>
        <v>0</v>
      </c>
      <c r="IB48" s="194">
        <f t="shared" si="252"/>
        <v>0</v>
      </c>
      <c r="IC48" s="194">
        <f t="shared" si="253"/>
        <v>0</v>
      </c>
      <c r="ID48" s="194">
        <f t="shared" si="254"/>
        <v>0</v>
      </c>
      <c r="IE48" s="194">
        <f t="shared" si="255"/>
        <v>0</v>
      </c>
      <c r="IF48" s="194">
        <f t="shared" si="256"/>
        <v>0</v>
      </c>
      <c r="IG48" s="194">
        <f t="shared" si="257"/>
        <v>0</v>
      </c>
      <c r="IH48" s="194">
        <f t="shared" si="258"/>
        <v>0</v>
      </c>
      <c r="II48" s="194">
        <f t="shared" si="259"/>
        <v>0</v>
      </c>
      <c r="IJ48" s="194">
        <f t="shared" si="260"/>
        <v>0</v>
      </c>
      <c r="IK48" s="194">
        <f t="shared" si="261"/>
        <v>0</v>
      </c>
      <c r="IL48" s="194">
        <f t="shared" si="262"/>
        <v>0</v>
      </c>
      <c r="IM48" s="194">
        <f t="shared" si="263"/>
        <v>0</v>
      </c>
      <c r="IN48" s="194">
        <f t="shared" si="264"/>
        <v>0</v>
      </c>
      <c r="IO48" s="194">
        <f t="shared" si="265"/>
        <v>0</v>
      </c>
      <c r="IP48" s="194">
        <f t="shared" si="266"/>
        <v>0</v>
      </c>
      <c r="IQ48" s="194">
        <f t="shared" si="267"/>
        <v>0</v>
      </c>
      <c r="IR48" s="194">
        <f t="shared" si="268"/>
        <v>0</v>
      </c>
      <c r="IS48" s="194">
        <f t="shared" si="269"/>
        <v>0</v>
      </c>
      <c r="IT48" s="194">
        <f t="shared" si="270"/>
        <v>0</v>
      </c>
      <c r="IU48" s="194">
        <f t="shared" si="271"/>
        <v>0</v>
      </c>
      <c r="IV48" s="194">
        <f t="shared" si="272"/>
        <v>0</v>
      </c>
      <c r="IW48" s="194">
        <f t="shared" si="273"/>
        <v>0</v>
      </c>
      <c r="IX48" s="194">
        <f t="shared" si="274"/>
        <v>0</v>
      </c>
      <c r="IY48" s="194">
        <f t="shared" si="275"/>
        <v>0</v>
      </c>
      <c r="IZ48" s="194">
        <f t="shared" si="276"/>
        <v>0</v>
      </c>
      <c r="JA48" s="194">
        <f t="shared" si="277"/>
        <v>0</v>
      </c>
      <c r="JB48" s="194">
        <f t="shared" si="278"/>
        <v>0</v>
      </c>
      <c r="JC48" s="194">
        <f t="shared" si="279"/>
        <v>0</v>
      </c>
      <c r="JD48" s="194">
        <f t="shared" si="280"/>
        <v>0</v>
      </c>
      <c r="JE48" s="194">
        <f t="shared" si="281"/>
        <v>0</v>
      </c>
      <c r="JF48" s="194">
        <f t="shared" si="282"/>
        <v>0</v>
      </c>
      <c r="JG48" s="194">
        <f t="shared" si="283"/>
        <v>0</v>
      </c>
      <c r="JH48" s="194">
        <f t="shared" si="284"/>
        <v>0</v>
      </c>
      <c r="JI48" s="228">
        <v>40</v>
      </c>
      <c r="JJ48" s="229" t="str">
        <f t="shared" si="121"/>
        <v/>
      </c>
      <c r="JK48" s="229" t="str">
        <f t="shared" si="122"/>
        <v/>
      </c>
      <c r="JL48" s="229" t="str">
        <f t="shared" si="123"/>
        <v/>
      </c>
      <c r="JM48" s="229" t="str">
        <f t="shared" si="124"/>
        <v/>
      </c>
      <c r="JN48" s="229" t="str">
        <f t="shared" si="125"/>
        <v/>
      </c>
      <c r="JO48" s="229" t="str">
        <f t="shared" si="126"/>
        <v/>
      </c>
      <c r="JP48" s="229" t="str">
        <f t="shared" si="127"/>
        <v/>
      </c>
      <c r="JQ48" s="229" t="str">
        <f t="shared" si="128"/>
        <v/>
      </c>
      <c r="JR48" s="229" t="str">
        <f t="shared" si="129"/>
        <v/>
      </c>
      <c r="JS48" s="229" t="str">
        <f t="shared" si="130"/>
        <v/>
      </c>
      <c r="JT48" s="229" t="str">
        <f t="shared" si="131"/>
        <v/>
      </c>
      <c r="JU48" s="229" t="str">
        <f t="shared" si="132"/>
        <v/>
      </c>
      <c r="JV48" s="229" t="str">
        <f t="shared" si="133"/>
        <v/>
      </c>
      <c r="JW48" s="229" t="str">
        <f t="shared" si="134"/>
        <v/>
      </c>
      <c r="JX48" s="229" t="str">
        <f t="shared" si="135"/>
        <v/>
      </c>
      <c r="JY48" s="229" t="str">
        <f t="shared" si="136"/>
        <v/>
      </c>
      <c r="JZ48" s="229" t="str">
        <f t="shared" si="137"/>
        <v/>
      </c>
      <c r="KA48" s="229" t="str">
        <f t="shared" si="138"/>
        <v/>
      </c>
      <c r="KB48" s="229" t="str">
        <f t="shared" si="139"/>
        <v/>
      </c>
      <c r="KC48" s="229" t="str">
        <f t="shared" si="140"/>
        <v/>
      </c>
      <c r="KD48" s="231" t="str">
        <f t="shared" si="141"/>
        <v/>
      </c>
      <c r="KE48" s="232" t="str">
        <f>IF(KD48="","",IF(KD48&gt;=KONVERSI!$A$5,KONVERSI!$E$12,IF(KD48&gt;=KONVERSI!$A$6,KONVERSI!$E$13,IF(KD48&gt;=KONVERSI!$A$7,KONVERSI!$E$14,KONVERSI!$E$15))))</f>
        <v/>
      </c>
      <c r="KF48" s="233" t="str">
        <f t="shared" si="142"/>
        <v/>
      </c>
      <c r="KG48" s="234" t="str">
        <f t="shared" si="143"/>
        <v/>
      </c>
      <c r="KH48" s="232" t="str">
        <f>IF(KG48="","",IF(KG48&gt;=KONVERSI!$A$5,KONVERSI!$E$12,IF(KG48&gt;=KONVERSI!$A$6,KONVERSI!$E$13,IF(KG48&gt;=KONVERSI!$A$7,KONVERSI!$E$14,KONVERSI!$E$15))))</f>
        <v/>
      </c>
      <c r="KI48" s="134" t="str">
        <f>IF(GC48="","",IF(GC48&lt;$GD$3," "&amp;KONVERSI!$C$19&amp;INDEX($JJ$8:$KC$8,MATCH(KG49,JJ49:KC49,0))&amp;".",IF(GC48=0,"",IF(KG48&lt;&gt;0,KF48&amp;KH48&amp;".",KF48&amp;"."))))</f>
        <v/>
      </c>
      <c r="KJ48" s="235" t="str">
        <f t="shared" si="144"/>
        <v/>
      </c>
      <c r="KK48" s="235" t="str">
        <f t="shared" si="145"/>
        <v/>
      </c>
      <c r="KL48" s="235" t="str">
        <f t="shared" si="146"/>
        <v/>
      </c>
      <c r="KM48" s="235" t="str">
        <f t="shared" si="147"/>
        <v/>
      </c>
      <c r="KN48" s="235" t="str">
        <f t="shared" si="148"/>
        <v/>
      </c>
      <c r="KO48" s="235" t="str">
        <f t="shared" si="149"/>
        <v/>
      </c>
      <c r="KP48" s="235" t="str">
        <f t="shared" si="150"/>
        <v/>
      </c>
      <c r="KQ48" s="235" t="str">
        <f t="shared" si="151"/>
        <v/>
      </c>
      <c r="KR48" s="235" t="str">
        <f t="shared" si="152"/>
        <v/>
      </c>
      <c r="KS48" s="235" t="str">
        <f t="shared" si="153"/>
        <v/>
      </c>
      <c r="KT48" s="235" t="str">
        <f t="shared" si="154"/>
        <v/>
      </c>
      <c r="KU48" s="235" t="str">
        <f t="shared" si="155"/>
        <v/>
      </c>
      <c r="KV48" s="235" t="str">
        <f t="shared" si="156"/>
        <v/>
      </c>
      <c r="KW48" s="235" t="str">
        <f t="shared" si="157"/>
        <v/>
      </c>
      <c r="KX48" s="235" t="str">
        <f t="shared" si="158"/>
        <v/>
      </c>
      <c r="KY48" s="235" t="str">
        <f t="shared" si="159"/>
        <v/>
      </c>
      <c r="KZ48" s="235" t="str">
        <f t="shared" si="160"/>
        <v/>
      </c>
      <c r="LA48" s="235" t="str">
        <f t="shared" si="161"/>
        <v/>
      </c>
      <c r="LB48" s="235" t="str">
        <f t="shared" si="162"/>
        <v/>
      </c>
      <c r="LC48" s="235" t="str">
        <f t="shared" si="163"/>
        <v/>
      </c>
      <c r="LD48" s="134" t="str">
        <f t="shared" si="164"/>
        <v/>
      </c>
      <c r="LE48" s="134" t="str">
        <f t="shared" si="164"/>
        <v/>
      </c>
      <c r="LF48" s="134" t="str">
        <f t="shared" si="164"/>
        <v/>
      </c>
      <c r="LG48" s="134" t="str">
        <f t="shared" si="164"/>
        <v/>
      </c>
      <c r="LH48" s="134" t="str">
        <f t="shared" si="164"/>
        <v/>
      </c>
      <c r="LI48" s="134" t="str">
        <f t="shared" si="164"/>
        <v/>
      </c>
      <c r="LJ48" s="134" t="str">
        <f t="shared" si="164"/>
        <v/>
      </c>
      <c r="LK48" s="134" t="str">
        <f t="shared" si="164"/>
        <v/>
      </c>
      <c r="LL48" s="134" t="str">
        <f t="shared" si="164"/>
        <v/>
      </c>
      <c r="LM48" s="134" t="str">
        <f t="shared" si="164"/>
        <v/>
      </c>
      <c r="LN48" s="134" t="str">
        <f t="shared" si="164"/>
        <v/>
      </c>
      <c r="LO48" s="134" t="str">
        <f t="shared" si="287"/>
        <v/>
      </c>
      <c r="LP48" s="134" t="str">
        <f t="shared" si="287"/>
        <v/>
      </c>
      <c r="LQ48" s="134" t="str">
        <f t="shared" si="287"/>
        <v/>
      </c>
      <c r="LR48" s="134" t="str">
        <f t="shared" si="287"/>
        <v/>
      </c>
      <c r="LS48" s="134" t="str">
        <f t="shared" si="287"/>
        <v/>
      </c>
      <c r="LT48" s="134" t="str">
        <f t="shared" si="287"/>
        <v/>
      </c>
      <c r="LU48" s="134" t="str">
        <f t="shared" si="287"/>
        <v/>
      </c>
      <c r="LV48" s="134" t="str">
        <f t="shared" si="287"/>
        <v/>
      </c>
      <c r="LW48" s="134" t="str">
        <f t="shared" si="287"/>
        <v/>
      </c>
      <c r="LX48" s="134" t="str">
        <f t="shared" si="165"/>
        <v/>
      </c>
      <c r="LY48" s="134" t="str">
        <f t="shared" si="166"/>
        <v>  </v>
      </c>
      <c r="LZ48" s="236">
        <f t="shared" si="285"/>
        <v>0</v>
      </c>
      <c r="MA48" s="235" t="str">
        <f t="shared" si="167"/>
        <v/>
      </c>
      <c r="MB48" s="235" t="str">
        <f t="shared" si="168"/>
        <v/>
      </c>
      <c r="MC48" s="235" t="str">
        <f t="shared" si="169"/>
        <v/>
      </c>
      <c r="MD48" s="235" t="str">
        <f t="shared" si="170"/>
        <v/>
      </c>
      <c r="ME48" s="235" t="str">
        <f t="shared" si="171"/>
        <v/>
      </c>
      <c r="MF48" s="235" t="str">
        <f t="shared" si="172"/>
        <v/>
      </c>
      <c r="MG48" s="235" t="str">
        <f t="shared" si="173"/>
        <v/>
      </c>
      <c r="MH48" s="235" t="str">
        <f t="shared" si="174"/>
        <v/>
      </c>
      <c r="MI48" s="235" t="str">
        <f t="shared" si="175"/>
        <v/>
      </c>
      <c r="MJ48" s="235" t="str">
        <f t="shared" si="176"/>
        <v/>
      </c>
      <c r="MK48" s="235" t="str">
        <f t="shared" si="177"/>
        <v/>
      </c>
      <c r="ML48" s="235" t="str">
        <f t="shared" si="178"/>
        <v/>
      </c>
      <c r="MM48" s="235" t="str">
        <f t="shared" si="179"/>
        <v/>
      </c>
      <c r="MN48" s="235" t="str">
        <f t="shared" si="180"/>
        <v/>
      </c>
      <c r="MO48" s="235" t="str">
        <f t="shared" si="181"/>
        <v/>
      </c>
      <c r="MP48" s="235" t="str">
        <f t="shared" si="182"/>
        <v/>
      </c>
      <c r="MQ48" s="235" t="str">
        <f t="shared" si="183"/>
        <v/>
      </c>
      <c r="MR48" s="235" t="str">
        <f t="shared" si="184"/>
        <v/>
      </c>
      <c r="MS48" s="235" t="str">
        <f t="shared" si="185"/>
        <v/>
      </c>
      <c r="MT48" s="235" t="str">
        <f t="shared" si="186"/>
        <v/>
      </c>
      <c r="MU48" s="134" t="str">
        <f t="shared" si="187"/>
        <v/>
      </c>
      <c r="MV48" s="134" t="str">
        <f t="shared" si="187"/>
        <v/>
      </c>
      <c r="MW48" s="134" t="str">
        <f t="shared" si="187"/>
        <v/>
      </c>
      <c r="MX48" s="134" t="str">
        <f t="shared" si="187"/>
        <v/>
      </c>
      <c r="MY48" s="134" t="str">
        <f t="shared" si="187"/>
        <v/>
      </c>
      <c r="MZ48" s="134" t="str">
        <f t="shared" si="187"/>
        <v/>
      </c>
      <c r="NA48" s="134" t="str">
        <f t="shared" si="187"/>
        <v/>
      </c>
      <c r="NB48" s="134" t="str">
        <f t="shared" si="187"/>
        <v/>
      </c>
      <c r="NC48" s="134" t="str">
        <f t="shared" si="187"/>
        <v/>
      </c>
      <c r="ND48" s="134" t="str">
        <f t="shared" si="187"/>
        <v/>
      </c>
      <c r="NE48" s="134" t="str">
        <f t="shared" si="187"/>
        <v/>
      </c>
      <c r="NF48" s="134" t="str">
        <f t="shared" si="288"/>
        <v/>
      </c>
      <c r="NG48" s="134" t="str">
        <f t="shared" si="288"/>
        <v/>
      </c>
      <c r="NH48" s="134" t="str">
        <f t="shared" si="288"/>
        <v/>
      </c>
      <c r="NI48" s="134" t="str">
        <f t="shared" si="288"/>
        <v/>
      </c>
      <c r="NJ48" s="134" t="str">
        <f t="shared" si="288"/>
        <v/>
      </c>
      <c r="NK48" s="134" t="str">
        <f t="shared" si="288"/>
        <v/>
      </c>
      <c r="NL48" s="134" t="str">
        <f t="shared" si="288"/>
        <v/>
      </c>
      <c r="NM48" s="134" t="str">
        <f t="shared" si="288"/>
        <v/>
      </c>
      <c r="NN48" s="134" t="str">
        <f t="shared" si="288"/>
        <v/>
      </c>
      <c r="NO48" s="134" t="str">
        <f>IF(KE48=KH48,"",IF(KG48="","",IF(KG48&gt;=KONVERSI!$A$14,'KI4'!KH48&amp;" dalam"&amp;MU48&amp;MV48&amp;MW48&amp;MX48&amp;MY48&amp;MZ48&amp;NA48&amp;NB48&amp;NC48&amp;ND48&amp;NE48&amp;NF48&amp;NG48&amp;NH48&amp;NI48&amp;NJ48&amp;NK48&amp;NL48&amp;NM48&amp;NN48,KONVERSI!$C$19&amp;" dalam"&amp;MU48&amp;MV48&amp;MW48&amp;MX48&amp;MY48&amp;MZ48&amp;NA48&amp;NB48&amp;NC48&amp;ND48&amp;NE48&amp;NF48&amp;NG48&amp;NH48&amp;NI48&amp;NJ48&amp;NK48&amp;NL48&amp;NM48&amp;NN48)))</f>
        <v/>
      </c>
      <c r="NP48" s="134" t="str">
        <f t="shared" si="188"/>
        <v/>
      </c>
      <c r="NQ48" s="236">
        <f t="shared" si="286"/>
        <v>0</v>
      </c>
      <c r="NR48" s="134" t="str">
        <f t="shared" si="189"/>
        <v/>
      </c>
    </row>
    <row r="49" ht="27.6" customHeight="1" spans="1:382">
      <c r="A49" s="136"/>
      <c r="B49" s="177">
        <v>41</v>
      </c>
      <c r="C49" s="180">
        <f>siswa!C45</f>
        <v>0</v>
      </c>
      <c r="D49" s="174">
        <f>siswa!D45</f>
        <v>0</v>
      </c>
      <c r="E49" s="181"/>
      <c r="F49" s="176"/>
      <c r="G49" s="176"/>
      <c r="H49" s="176"/>
      <c r="I49" s="176"/>
      <c r="J49" s="176"/>
      <c r="K49" s="176"/>
      <c r="L49" s="176"/>
      <c r="M49" s="194" t="str">
        <f t="shared" si="192"/>
        <v/>
      </c>
      <c r="N49" s="181"/>
      <c r="O49" s="176"/>
      <c r="P49" s="176"/>
      <c r="Q49" s="176"/>
      <c r="R49" s="176"/>
      <c r="S49" s="176"/>
      <c r="T49" s="176"/>
      <c r="U49" s="176"/>
      <c r="V49" s="194" t="str">
        <f t="shared" si="193"/>
        <v/>
      </c>
      <c r="W49" s="181"/>
      <c r="X49" s="176"/>
      <c r="Y49" s="176"/>
      <c r="Z49" s="176"/>
      <c r="AA49" s="176"/>
      <c r="AB49" s="176"/>
      <c r="AC49" s="176"/>
      <c r="AD49" s="176"/>
      <c r="AE49" s="194" t="str">
        <f t="shared" si="194"/>
        <v/>
      </c>
      <c r="AF49" s="181"/>
      <c r="AG49" s="176"/>
      <c r="AH49" s="176"/>
      <c r="AI49" s="176"/>
      <c r="AJ49" s="176"/>
      <c r="AK49" s="176"/>
      <c r="AL49" s="176"/>
      <c r="AM49" s="176"/>
      <c r="AN49" s="194" t="str">
        <f t="shared" si="195"/>
        <v/>
      </c>
      <c r="AO49" s="181"/>
      <c r="AP49" s="176"/>
      <c r="AQ49" s="176"/>
      <c r="AR49" s="176"/>
      <c r="AS49" s="176"/>
      <c r="AT49" s="176"/>
      <c r="AU49" s="176"/>
      <c r="AV49" s="176"/>
      <c r="AW49" s="194" t="str">
        <f t="shared" si="112"/>
        <v/>
      </c>
      <c r="AX49" s="181"/>
      <c r="AY49" s="176"/>
      <c r="AZ49" s="176"/>
      <c r="BA49" s="176"/>
      <c r="BB49" s="176"/>
      <c r="BC49" s="176"/>
      <c r="BD49" s="176"/>
      <c r="BE49" s="176"/>
      <c r="BF49" s="194" t="str">
        <f t="shared" si="196"/>
        <v/>
      </c>
      <c r="BG49" s="181"/>
      <c r="BH49" s="176"/>
      <c r="BI49" s="176"/>
      <c r="BJ49" s="176"/>
      <c r="BK49" s="176"/>
      <c r="BL49" s="176"/>
      <c r="BM49" s="176"/>
      <c r="BN49" s="176"/>
      <c r="BO49" s="194" t="str">
        <f t="shared" si="113"/>
        <v/>
      </c>
      <c r="BP49" s="181"/>
      <c r="BQ49" s="176"/>
      <c r="BR49" s="176"/>
      <c r="BS49" s="176"/>
      <c r="BT49" s="176"/>
      <c r="BU49" s="176"/>
      <c r="BV49" s="176"/>
      <c r="BW49" s="176"/>
      <c r="BX49" s="194" t="str">
        <f t="shared" si="114"/>
        <v/>
      </c>
      <c r="BY49" s="181"/>
      <c r="BZ49" s="176"/>
      <c r="CA49" s="176"/>
      <c r="CB49" s="176"/>
      <c r="CC49" s="176"/>
      <c r="CD49" s="176"/>
      <c r="CE49" s="176"/>
      <c r="CF49" s="176"/>
      <c r="CG49" s="194" t="str">
        <f t="shared" si="115"/>
        <v/>
      </c>
      <c r="CH49" s="181"/>
      <c r="CI49" s="176"/>
      <c r="CJ49" s="176"/>
      <c r="CK49" s="176"/>
      <c r="CL49" s="176"/>
      <c r="CM49" s="176"/>
      <c r="CN49" s="176"/>
      <c r="CO49" s="176"/>
      <c r="CP49" s="194" t="str">
        <f t="shared" si="197"/>
        <v/>
      </c>
      <c r="CQ49" s="181"/>
      <c r="CR49" s="176"/>
      <c r="CS49" s="176"/>
      <c r="CT49" s="176"/>
      <c r="CU49" s="176"/>
      <c r="CV49" s="176"/>
      <c r="CW49" s="176"/>
      <c r="CX49" s="176"/>
      <c r="CY49" s="194" t="str">
        <f t="shared" si="116"/>
        <v/>
      </c>
      <c r="CZ49" s="181"/>
      <c r="DA49" s="176"/>
      <c r="DB49" s="176"/>
      <c r="DC49" s="176"/>
      <c r="DD49" s="176"/>
      <c r="DE49" s="176"/>
      <c r="DF49" s="176"/>
      <c r="DG49" s="176"/>
      <c r="DH49" s="194" t="str">
        <f t="shared" si="198"/>
        <v/>
      </c>
      <c r="DI49" s="181"/>
      <c r="DJ49" s="176"/>
      <c r="DK49" s="176"/>
      <c r="DL49" s="176"/>
      <c r="DM49" s="176"/>
      <c r="DN49" s="176"/>
      <c r="DO49" s="176"/>
      <c r="DP49" s="176"/>
      <c r="DQ49" s="194" t="str">
        <f t="shared" si="117"/>
        <v/>
      </c>
      <c r="DR49" s="181"/>
      <c r="DS49" s="176"/>
      <c r="DT49" s="176"/>
      <c r="DU49" s="176"/>
      <c r="DV49" s="176"/>
      <c r="DW49" s="176"/>
      <c r="DX49" s="176"/>
      <c r="DY49" s="176"/>
      <c r="DZ49" s="194" t="str">
        <f t="shared" si="199"/>
        <v/>
      </c>
      <c r="EA49" s="181"/>
      <c r="EB49" s="176"/>
      <c r="EC49" s="176"/>
      <c r="ED49" s="176"/>
      <c r="EE49" s="176"/>
      <c r="EF49" s="176"/>
      <c r="EG49" s="176"/>
      <c r="EH49" s="176"/>
      <c r="EI49" s="194" t="str">
        <f t="shared" si="200"/>
        <v/>
      </c>
      <c r="EJ49" s="181"/>
      <c r="EK49" s="176"/>
      <c r="EL49" s="176"/>
      <c r="EM49" s="176"/>
      <c r="EN49" s="176"/>
      <c r="EO49" s="176"/>
      <c r="EP49" s="176"/>
      <c r="EQ49" s="176"/>
      <c r="ER49" s="194" t="str">
        <f t="shared" si="201"/>
        <v/>
      </c>
      <c r="ES49" s="181"/>
      <c r="ET49" s="176"/>
      <c r="EU49" s="176"/>
      <c r="EV49" s="176"/>
      <c r="EW49" s="176"/>
      <c r="EX49" s="176"/>
      <c r="EY49" s="176"/>
      <c r="EZ49" s="176"/>
      <c r="FA49" s="194" t="str">
        <f t="shared" si="202"/>
        <v/>
      </c>
      <c r="FB49" s="181"/>
      <c r="FC49" s="176"/>
      <c r="FD49" s="176"/>
      <c r="FE49" s="176"/>
      <c r="FF49" s="176"/>
      <c r="FG49" s="176"/>
      <c r="FH49" s="176"/>
      <c r="FI49" s="176"/>
      <c r="FJ49" s="194" t="str">
        <f t="shared" si="203"/>
        <v/>
      </c>
      <c r="FK49" s="181"/>
      <c r="FL49" s="176"/>
      <c r="FM49" s="176"/>
      <c r="FN49" s="176"/>
      <c r="FO49" s="176"/>
      <c r="FP49" s="176"/>
      <c r="FQ49" s="176"/>
      <c r="FR49" s="176"/>
      <c r="FS49" s="194" t="str">
        <f t="shared" si="204"/>
        <v/>
      </c>
      <c r="FT49" s="181"/>
      <c r="FU49" s="176"/>
      <c r="FV49" s="176"/>
      <c r="FW49" s="176"/>
      <c r="FX49" s="176"/>
      <c r="FY49" s="176"/>
      <c r="FZ49" s="176"/>
      <c r="GA49" s="176"/>
      <c r="GB49" s="194" t="str">
        <f t="shared" si="118"/>
        <v/>
      </c>
      <c r="GC49" s="194" t="str">
        <f t="shared" si="119"/>
        <v/>
      </c>
      <c r="GD49" s="194" t="str">
        <f>IF(GC49="","",IF(GC49&gt;=KONVERSI!$A$5,KONVERSI!$D$5,IF(GC49&gt;=KONVERSI!$A$6,KONVERSI!$D$6,IF(GC49&gt;=KONVERSI!$A$7,KONVERSI!$D$7,KONVERSI!$D$8))))</f>
        <v/>
      </c>
      <c r="GE49" s="194" t="str">
        <f t="shared" si="120"/>
        <v/>
      </c>
      <c r="GF49" s="222"/>
      <c r="GG49" s="223">
        <f t="shared" si="205"/>
        <v>0</v>
      </c>
      <c r="GH49" s="194">
        <f t="shared" si="206"/>
        <v>0</v>
      </c>
      <c r="GI49" s="194">
        <f t="shared" si="207"/>
        <v>0</v>
      </c>
      <c r="GJ49" s="194">
        <f t="shared" si="208"/>
        <v>0</v>
      </c>
      <c r="GK49" s="194">
        <f t="shared" si="209"/>
        <v>0</v>
      </c>
      <c r="GL49" s="194">
        <f t="shared" si="210"/>
        <v>0</v>
      </c>
      <c r="GM49" s="194">
        <f t="shared" si="211"/>
        <v>0</v>
      </c>
      <c r="GN49" s="194">
        <f t="shared" si="212"/>
        <v>0</v>
      </c>
      <c r="GO49" s="194">
        <f t="shared" si="213"/>
        <v>0</v>
      </c>
      <c r="GP49" s="194">
        <f t="shared" si="214"/>
        <v>0</v>
      </c>
      <c r="GQ49" s="194">
        <f t="shared" si="215"/>
        <v>0</v>
      </c>
      <c r="GR49" s="194">
        <f t="shared" si="216"/>
        <v>0</v>
      </c>
      <c r="GS49" s="194">
        <f t="shared" si="217"/>
        <v>0</v>
      </c>
      <c r="GT49" s="194">
        <f t="shared" si="218"/>
        <v>0</v>
      </c>
      <c r="GU49" s="194">
        <f t="shared" si="219"/>
        <v>0</v>
      </c>
      <c r="GV49" s="194">
        <f t="shared" si="220"/>
        <v>0</v>
      </c>
      <c r="GW49" s="194">
        <f t="shared" si="221"/>
        <v>0</v>
      </c>
      <c r="GX49" s="194">
        <f t="shared" si="222"/>
        <v>0</v>
      </c>
      <c r="GY49" s="194">
        <f t="shared" si="223"/>
        <v>0</v>
      </c>
      <c r="GZ49" s="194">
        <f t="shared" si="224"/>
        <v>0</v>
      </c>
      <c r="HA49" s="194">
        <f t="shared" si="225"/>
        <v>0</v>
      </c>
      <c r="HB49" s="194">
        <f t="shared" si="226"/>
        <v>0</v>
      </c>
      <c r="HC49" s="194">
        <f t="shared" si="227"/>
        <v>0</v>
      </c>
      <c r="HD49" s="194">
        <f t="shared" si="228"/>
        <v>0</v>
      </c>
      <c r="HE49" s="194">
        <f t="shared" si="229"/>
        <v>0</v>
      </c>
      <c r="HF49" s="194">
        <f t="shared" si="230"/>
        <v>0</v>
      </c>
      <c r="HG49" s="194">
        <f t="shared" si="231"/>
        <v>0</v>
      </c>
      <c r="HH49" s="194">
        <f t="shared" si="232"/>
        <v>0</v>
      </c>
      <c r="HI49" s="194">
        <f t="shared" si="233"/>
        <v>0</v>
      </c>
      <c r="HJ49" s="194">
        <f t="shared" si="234"/>
        <v>0</v>
      </c>
      <c r="HK49" s="194">
        <f t="shared" si="235"/>
        <v>0</v>
      </c>
      <c r="HL49" s="194">
        <f t="shared" si="236"/>
        <v>0</v>
      </c>
      <c r="HM49" s="194">
        <f t="shared" si="237"/>
        <v>0</v>
      </c>
      <c r="HN49" s="194">
        <f t="shared" si="238"/>
        <v>0</v>
      </c>
      <c r="HO49" s="194">
        <f t="shared" si="239"/>
        <v>0</v>
      </c>
      <c r="HP49" s="194">
        <f t="shared" si="240"/>
        <v>0</v>
      </c>
      <c r="HQ49" s="194">
        <f t="shared" si="241"/>
        <v>0</v>
      </c>
      <c r="HR49" s="194">
        <f t="shared" si="242"/>
        <v>0</v>
      </c>
      <c r="HS49" s="194">
        <f t="shared" si="243"/>
        <v>0</v>
      </c>
      <c r="HT49" s="194">
        <f t="shared" si="244"/>
        <v>0</v>
      </c>
      <c r="HU49" s="194">
        <f t="shared" si="245"/>
        <v>0</v>
      </c>
      <c r="HV49" s="194">
        <f t="shared" si="246"/>
        <v>0</v>
      </c>
      <c r="HW49" s="194">
        <f t="shared" si="247"/>
        <v>0</v>
      </c>
      <c r="HX49" s="194">
        <f t="shared" si="248"/>
        <v>0</v>
      </c>
      <c r="HY49" s="194">
        <f t="shared" si="249"/>
        <v>0</v>
      </c>
      <c r="HZ49" s="194">
        <f t="shared" si="250"/>
        <v>0</v>
      </c>
      <c r="IA49" s="194">
        <f t="shared" si="251"/>
        <v>0</v>
      </c>
      <c r="IB49" s="194">
        <f t="shared" si="252"/>
        <v>0</v>
      </c>
      <c r="IC49" s="194">
        <f t="shared" si="253"/>
        <v>0</v>
      </c>
      <c r="ID49" s="194">
        <f t="shared" si="254"/>
        <v>0</v>
      </c>
      <c r="IE49" s="194">
        <f t="shared" si="255"/>
        <v>0</v>
      </c>
      <c r="IF49" s="194">
        <f t="shared" si="256"/>
        <v>0</v>
      </c>
      <c r="IG49" s="194">
        <f t="shared" si="257"/>
        <v>0</v>
      </c>
      <c r="IH49" s="194">
        <f t="shared" si="258"/>
        <v>0</v>
      </c>
      <c r="II49" s="194">
        <f t="shared" si="259"/>
        <v>0</v>
      </c>
      <c r="IJ49" s="194">
        <f t="shared" si="260"/>
        <v>0</v>
      </c>
      <c r="IK49" s="194">
        <f t="shared" si="261"/>
        <v>0</v>
      </c>
      <c r="IL49" s="194">
        <f t="shared" si="262"/>
        <v>0</v>
      </c>
      <c r="IM49" s="194">
        <f t="shared" si="263"/>
        <v>0</v>
      </c>
      <c r="IN49" s="194">
        <f t="shared" si="264"/>
        <v>0</v>
      </c>
      <c r="IO49" s="194">
        <f t="shared" si="265"/>
        <v>0</v>
      </c>
      <c r="IP49" s="194">
        <f t="shared" si="266"/>
        <v>0</v>
      </c>
      <c r="IQ49" s="194">
        <f t="shared" si="267"/>
        <v>0</v>
      </c>
      <c r="IR49" s="194">
        <f t="shared" si="268"/>
        <v>0</v>
      </c>
      <c r="IS49" s="194">
        <f t="shared" si="269"/>
        <v>0</v>
      </c>
      <c r="IT49" s="194">
        <f t="shared" si="270"/>
        <v>0</v>
      </c>
      <c r="IU49" s="194">
        <f t="shared" si="271"/>
        <v>0</v>
      </c>
      <c r="IV49" s="194">
        <f t="shared" si="272"/>
        <v>0</v>
      </c>
      <c r="IW49" s="194">
        <f t="shared" si="273"/>
        <v>0</v>
      </c>
      <c r="IX49" s="194">
        <f t="shared" si="274"/>
        <v>0</v>
      </c>
      <c r="IY49" s="194">
        <f t="shared" si="275"/>
        <v>0</v>
      </c>
      <c r="IZ49" s="194">
        <f t="shared" si="276"/>
        <v>0</v>
      </c>
      <c r="JA49" s="194">
        <f t="shared" si="277"/>
        <v>0</v>
      </c>
      <c r="JB49" s="194">
        <f t="shared" si="278"/>
        <v>0</v>
      </c>
      <c r="JC49" s="194">
        <f t="shared" si="279"/>
        <v>0</v>
      </c>
      <c r="JD49" s="194">
        <f t="shared" si="280"/>
        <v>0</v>
      </c>
      <c r="JE49" s="194">
        <f t="shared" si="281"/>
        <v>0</v>
      </c>
      <c r="JF49" s="194">
        <f t="shared" si="282"/>
        <v>0</v>
      </c>
      <c r="JG49" s="194">
        <f t="shared" si="283"/>
        <v>0</v>
      </c>
      <c r="JH49" s="194">
        <f t="shared" si="284"/>
        <v>0</v>
      </c>
      <c r="JI49" s="228">
        <v>41</v>
      </c>
      <c r="JJ49" s="229" t="str">
        <f t="shared" si="121"/>
        <v/>
      </c>
      <c r="JK49" s="229" t="str">
        <f t="shared" si="122"/>
        <v/>
      </c>
      <c r="JL49" s="229" t="str">
        <f t="shared" si="123"/>
        <v/>
      </c>
      <c r="JM49" s="229" t="str">
        <f t="shared" si="124"/>
        <v/>
      </c>
      <c r="JN49" s="229" t="str">
        <f t="shared" si="125"/>
        <v/>
      </c>
      <c r="JO49" s="229" t="str">
        <f t="shared" si="126"/>
        <v/>
      </c>
      <c r="JP49" s="229" t="str">
        <f t="shared" si="127"/>
        <v/>
      </c>
      <c r="JQ49" s="229" t="str">
        <f t="shared" si="128"/>
        <v/>
      </c>
      <c r="JR49" s="229" t="str">
        <f t="shared" si="129"/>
        <v/>
      </c>
      <c r="JS49" s="229" t="str">
        <f t="shared" si="130"/>
        <v/>
      </c>
      <c r="JT49" s="229" t="str">
        <f t="shared" si="131"/>
        <v/>
      </c>
      <c r="JU49" s="229" t="str">
        <f t="shared" si="132"/>
        <v/>
      </c>
      <c r="JV49" s="229" t="str">
        <f t="shared" si="133"/>
        <v/>
      </c>
      <c r="JW49" s="229" t="str">
        <f t="shared" si="134"/>
        <v/>
      </c>
      <c r="JX49" s="229" t="str">
        <f t="shared" si="135"/>
        <v/>
      </c>
      <c r="JY49" s="229" t="str">
        <f t="shared" si="136"/>
        <v/>
      </c>
      <c r="JZ49" s="229" t="str">
        <f t="shared" si="137"/>
        <v/>
      </c>
      <c r="KA49" s="229" t="str">
        <f t="shared" si="138"/>
        <v/>
      </c>
      <c r="KB49" s="229" t="str">
        <f t="shared" si="139"/>
        <v/>
      </c>
      <c r="KC49" s="229" t="str">
        <f t="shared" si="140"/>
        <v/>
      </c>
      <c r="KD49" s="231" t="str">
        <f t="shared" si="141"/>
        <v/>
      </c>
      <c r="KE49" s="232" t="str">
        <f>IF(KD49="","",IF(KD49&gt;=KONVERSI!$A$5,KONVERSI!$E$12,IF(KD49&gt;=KONVERSI!$A$6,KONVERSI!$E$13,IF(KD49&gt;=KONVERSI!$A$7,KONVERSI!$E$14,KONVERSI!$E$15))))</f>
        <v/>
      </c>
      <c r="KF49" s="233" t="str">
        <f t="shared" si="142"/>
        <v/>
      </c>
      <c r="KG49" s="234" t="str">
        <f t="shared" si="143"/>
        <v/>
      </c>
      <c r="KH49" s="232" t="str">
        <f>IF(KG49="","",IF(KG49&gt;=KONVERSI!$A$5,KONVERSI!$E$12,IF(KG49&gt;=KONVERSI!$A$6,KONVERSI!$E$13,IF(KG49&gt;=KONVERSI!$A$7,KONVERSI!$E$14,KONVERSI!$E$15))))</f>
        <v/>
      </c>
      <c r="KI49" s="134" t="str">
        <f>IF(GC49="","",IF(GC49&lt;$GD$3," "&amp;KONVERSI!$C$19&amp;INDEX($JJ$8:$KC$8,MATCH(KG50,JJ50:KC50,0))&amp;".",IF(GC49=0,"",IF(KG49&lt;&gt;0,KF49&amp;KH49&amp;".",KF49&amp;"."))))</f>
        <v/>
      </c>
      <c r="KJ49" s="235" t="str">
        <f t="shared" si="144"/>
        <v/>
      </c>
      <c r="KK49" s="235" t="str">
        <f t="shared" si="145"/>
        <v/>
      </c>
      <c r="KL49" s="235" t="str">
        <f t="shared" si="146"/>
        <v/>
      </c>
      <c r="KM49" s="235" t="str">
        <f t="shared" si="147"/>
        <v/>
      </c>
      <c r="KN49" s="235" t="str">
        <f t="shared" si="148"/>
        <v/>
      </c>
      <c r="KO49" s="235" t="str">
        <f t="shared" si="149"/>
        <v/>
      </c>
      <c r="KP49" s="235" t="str">
        <f t="shared" si="150"/>
        <v/>
      </c>
      <c r="KQ49" s="235" t="str">
        <f t="shared" si="151"/>
        <v/>
      </c>
      <c r="KR49" s="235" t="str">
        <f t="shared" si="152"/>
        <v/>
      </c>
      <c r="KS49" s="235" t="str">
        <f t="shared" si="153"/>
        <v/>
      </c>
      <c r="KT49" s="235" t="str">
        <f t="shared" si="154"/>
        <v/>
      </c>
      <c r="KU49" s="235" t="str">
        <f t="shared" si="155"/>
        <v/>
      </c>
      <c r="KV49" s="235" t="str">
        <f t="shared" si="156"/>
        <v/>
      </c>
      <c r="KW49" s="235" t="str">
        <f t="shared" si="157"/>
        <v/>
      </c>
      <c r="KX49" s="235" t="str">
        <f t="shared" si="158"/>
        <v/>
      </c>
      <c r="KY49" s="235" t="str">
        <f t="shared" si="159"/>
        <v/>
      </c>
      <c r="KZ49" s="235" t="str">
        <f t="shared" si="160"/>
        <v/>
      </c>
      <c r="LA49" s="235" t="str">
        <f t="shared" si="161"/>
        <v/>
      </c>
      <c r="LB49" s="235" t="str">
        <f t="shared" si="162"/>
        <v/>
      </c>
      <c r="LC49" s="235" t="str">
        <f t="shared" si="163"/>
        <v/>
      </c>
      <c r="LD49" s="134" t="str">
        <f t="shared" si="164"/>
        <v/>
      </c>
      <c r="LE49" s="134" t="str">
        <f t="shared" si="164"/>
        <v/>
      </c>
      <c r="LF49" s="134" t="str">
        <f t="shared" ref="LF49:LN58" si="289">IF(KL49="OK",KL$8,"")</f>
        <v/>
      </c>
      <c r="LG49" s="134" t="str">
        <f t="shared" si="289"/>
        <v/>
      </c>
      <c r="LH49" s="134" t="str">
        <f t="shared" si="289"/>
        <v/>
      </c>
      <c r="LI49" s="134" t="str">
        <f t="shared" si="289"/>
        <v/>
      </c>
      <c r="LJ49" s="134" t="str">
        <f t="shared" si="289"/>
        <v/>
      </c>
      <c r="LK49" s="134" t="str">
        <f t="shared" si="289"/>
        <v/>
      </c>
      <c r="LL49" s="134" t="str">
        <f t="shared" si="289"/>
        <v/>
      </c>
      <c r="LM49" s="134" t="str">
        <f t="shared" si="289"/>
        <v/>
      </c>
      <c r="LN49" s="134" t="str">
        <f t="shared" si="289"/>
        <v/>
      </c>
      <c r="LO49" s="134" t="str">
        <f t="shared" si="287"/>
        <v/>
      </c>
      <c r="LP49" s="134" t="str">
        <f t="shared" si="287"/>
        <v/>
      </c>
      <c r="LQ49" s="134" t="str">
        <f t="shared" si="287"/>
        <v/>
      </c>
      <c r="LR49" s="134" t="str">
        <f t="shared" si="287"/>
        <v/>
      </c>
      <c r="LS49" s="134" t="str">
        <f t="shared" si="287"/>
        <v/>
      </c>
      <c r="LT49" s="134" t="str">
        <f t="shared" si="287"/>
        <v/>
      </c>
      <c r="LU49" s="134" t="str">
        <f t="shared" si="287"/>
        <v/>
      </c>
      <c r="LV49" s="134" t="str">
        <f t="shared" si="287"/>
        <v/>
      </c>
      <c r="LW49" s="134" t="str">
        <f t="shared" si="287"/>
        <v/>
      </c>
      <c r="LX49" s="134" t="str">
        <f t="shared" si="165"/>
        <v/>
      </c>
      <c r="LY49" s="134" t="str">
        <f t="shared" si="166"/>
        <v>  </v>
      </c>
      <c r="LZ49" s="236">
        <f t="shared" si="285"/>
        <v>0</v>
      </c>
      <c r="MA49" s="235" t="str">
        <f t="shared" si="167"/>
        <v/>
      </c>
      <c r="MB49" s="235" t="str">
        <f t="shared" si="168"/>
        <v/>
      </c>
      <c r="MC49" s="235" t="str">
        <f t="shared" si="169"/>
        <v/>
      </c>
      <c r="MD49" s="235" t="str">
        <f t="shared" si="170"/>
        <v/>
      </c>
      <c r="ME49" s="235" t="str">
        <f t="shared" si="171"/>
        <v/>
      </c>
      <c r="MF49" s="235" t="str">
        <f t="shared" si="172"/>
        <v/>
      </c>
      <c r="MG49" s="235" t="str">
        <f t="shared" si="173"/>
        <v/>
      </c>
      <c r="MH49" s="235" t="str">
        <f t="shared" si="174"/>
        <v/>
      </c>
      <c r="MI49" s="235" t="str">
        <f t="shared" si="175"/>
        <v/>
      </c>
      <c r="MJ49" s="235" t="str">
        <f t="shared" si="176"/>
        <v/>
      </c>
      <c r="MK49" s="235" t="str">
        <f t="shared" si="177"/>
        <v/>
      </c>
      <c r="ML49" s="235" t="str">
        <f t="shared" si="178"/>
        <v/>
      </c>
      <c r="MM49" s="235" t="str">
        <f t="shared" si="179"/>
        <v/>
      </c>
      <c r="MN49" s="235" t="str">
        <f t="shared" si="180"/>
        <v/>
      </c>
      <c r="MO49" s="235" t="str">
        <f t="shared" si="181"/>
        <v/>
      </c>
      <c r="MP49" s="235" t="str">
        <f t="shared" si="182"/>
        <v/>
      </c>
      <c r="MQ49" s="235" t="str">
        <f t="shared" si="183"/>
        <v/>
      </c>
      <c r="MR49" s="235" t="str">
        <f t="shared" si="184"/>
        <v/>
      </c>
      <c r="MS49" s="235" t="str">
        <f t="shared" si="185"/>
        <v/>
      </c>
      <c r="MT49" s="235" t="str">
        <f t="shared" si="186"/>
        <v/>
      </c>
      <c r="MU49" s="134" t="str">
        <f t="shared" si="187"/>
        <v/>
      </c>
      <c r="MV49" s="134" t="str">
        <f t="shared" si="187"/>
        <v/>
      </c>
      <c r="MW49" s="134" t="str">
        <f t="shared" ref="MW49:NE58" si="290">IF(MC49="OK",MC$8,"")</f>
        <v/>
      </c>
      <c r="MX49" s="134" t="str">
        <f t="shared" si="290"/>
        <v/>
      </c>
      <c r="MY49" s="134" t="str">
        <f t="shared" si="290"/>
        <v/>
      </c>
      <c r="MZ49" s="134" t="str">
        <f t="shared" si="290"/>
        <v/>
      </c>
      <c r="NA49" s="134" t="str">
        <f t="shared" si="290"/>
        <v/>
      </c>
      <c r="NB49" s="134" t="str">
        <f t="shared" si="290"/>
        <v/>
      </c>
      <c r="NC49" s="134" t="str">
        <f t="shared" si="290"/>
        <v/>
      </c>
      <c r="ND49" s="134" t="str">
        <f t="shared" si="290"/>
        <v/>
      </c>
      <c r="NE49" s="134" t="str">
        <f t="shared" si="290"/>
        <v/>
      </c>
      <c r="NF49" s="134" t="str">
        <f t="shared" si="288"/>
        <v/>
      </c>
      <c r="NG49" s="134" t="str">
        <f t="shared" si="288"/>
        <v/>
      </c>
      <c r="NH49" s="134" t="str">
        <f t="shared" si="288"/>
        <v/>
      </c>
      <c r="NI49" s="134" t="str">
        <f t="shared" si="288"/>
        <v/>
      </c>
      <c r="NJ49" s="134" t="str">
        <f t="shared" si="288"/>
        <v/>
      </c>
      <c r="NK49" s="134" t="str">
        <f t="shared" si="288"/>
        <v/>
      </c>
      <c r="NL49" s="134" t="str">
        <f t="shared" si="288"/>
        <v/>
      </c>
      <c r="NM49" s="134" t="str">
        <f t="shared" si="288"/>
        <v/>
      </c>
      <c r="NN49" s="134" t="str">
        <f t="shared" si="288"/>
        <v/>
      </c>
      <c r="NO49" s="134" t="str">
        <f>IF(KE49=KH49,"",IF(KG49="","",IF(KG49&gt;=KONVERSI!$A$14,'KI4'!KH49&amp;" dalam"&amp;MU49&amp;MV49&amp;MW49&amp;MX49&amp;MY49&amp;MZ49&amp;NA49&amp;NB49&amp;NC49&amp;ND49&amp;NE49&amp;NF49&amp;NG49&amp;NH49&amp;NI49&amp;NJ49&amp;NK49&amp;NL49&amp;NM49&amp;NN49,KONVERSI!$C$19&amp;" dalam"&amp;MU49&amp;MV49&amp;MW49&amp;MX49&amp;MY49&amp;MZ49&amp;NA49&amp;NB49&amp;NC49&amp;ND49&amp;NE49&amp;NF49&amp;NG49&amp;NH49&amp;NI49&amp;NJ49&amp;NK49&amp;NL49&amp;NM49&amp;NN49)))</f>
        <v/>
      </c>
      <c r="NP49" s="134" t="str">
        <f t="shared" si="188"/>
        <v/>
      </c>
      <c r="NQ49" s="236">
        <f t="shared" si="286"/>
        <v>0</v>
      </c>
      <c r="NR49" s="134" t="str">
        <f t="shared" si="189"/>
        <v/>
      </c>
    </row>
    <row r="50" ht="27.6" customHeight="1" spans="1:382">
      <c r="A50" s="136"/>
      <c r="B50" s="177">
        <v>42</v>
      </c>
      <c r="C50" s="180">
        <f>siswa!C46</f>
        <v>0</v>
      </c>
      <c r="D50" s="174">
        <f>siswa!D46</f>
        <v>0</v>
      </c>
      <c r="E50" s="181"/>
      <c r="F50" s="176"/>
      <c r="G50" s="176"/>
      <c r="H50" s="176"/>
      <c r="I50" s="176"/>
      <c r="J50" s="176"/>
      <c r="K50" s="176"/>
      <c r="L50" s="176"/>
      <c r="M50" s="194" t="str">
        <f t="shared" si="192"/>
        <v/>
      </c>
      <c r="N50" s="181"/>
      <c r="O50" s="176"/>
      <c r="P50" s="176"/>
      <c r="Q50" s="176"/>
      <c r="R50" s="176"/>
      <c r="S50" s="176"/>
      <c r="T50" s="176"/>
      <c r="U50" s="176"/>
      <c r="V50" s="194" t="str">
        <f t="shared" si="193"/>
        <v/>
      </c>
      <c r="W50" s="181"/>
      <c r="X50" s="176"/>
      <c r="Y50" s="176"/>
      <c r="Z50" s="176"/>
      <c r="AA50" s="176"/>
      <c r="AB50" s="176"/>
      <c r="AC50" s="176"/>
      <c r="AD50" s="176"/>
      <c r="AE50" s="194" t="str">
        <f t="shared" si="194"/>
        <v/>
      </c>
      <c r="AF50" s="181"/>
      <c r="AG50" s="176"/>
      <c r="AH50" s="176"/>
      <c r="AI50" s="176"/>
      <c r="AJ50" s="176"/>
      <c r="AK50" s="176"/>
      <c r="AL50" s="176"/>
      <c r="AM50" s="176"/>
      <c r="AN50" s="194" t="str">
        <f t="shared" si="195"/>
        <v/>
      </c>
      <c r="AO50" s="181"/>
      <c r="AP50" s="176"/>
      <c r="AQ50" s="176"/>
      <c r="AR50" s="176"/>
      <c r="AS50" s="176"/>
      <c r="AT50" s="176"/>
      <c r="AU50" s="176"/>
      <c r="AV50" s="176"/>
      <c r="AW50" s="194" t="str">
        <f t="shared" si="112"/>
        <v/>
      </c>
      <c r="AX50" s="181"/>
      <c r="AY50" s="176"/>
      <c r="AZ50" s="176"/>
      <c r="BA50" s="176"/>
      <c r="BB50" s="176"/>
      <c r="BC50" s="176"/>
      <c r="BD50" s="176"/>
      <c r="BE50" s="176"/>
      <c r="BF50" s="194" t="str">
        <f t="shared" si="196"/>
        <v/>
      </c>
      <c r="BG50" s="181"/>
      <c r="BH50" s="176"/>
      <c r="BI50" s="176"/>
      <c r="BJ50" s="176"/>
      <c r="BK50" s="176"/>
      <c r="BL50" s="176"/>
      <c r="BM50" s="176"/>
      <c r="BN50" s="176"/>
      <c r="BO50" s="194" t="str">
        <f t="shared" si="113"/>
        <v/>
      </c>
      <c r="BP50" s="181"/>
      <c r="BQ50" s="176"/>
      <c r="BR50" s="176"/>
      <c r="BS50" s="176"/>
      <c r="BT50" s="176"/>
      <c r="BU50" s="176"/>
      <c r="BV50" s="176"/>
      <c r="BW50" s="176"/>
      <c r="BX50" s="194" t="str">
        <f t="shared" si="114"/>
        <v/>
      </c>
      <c r="BY50" s="181"/>
      <c r="BZ50" s="176"/>
      <c r="CA50" s="176"/>
      <c r="CB50" s="176"/>
      <c r="CC50" s="176"/>
      <c r="CD50" s="176"/>
      <c r="CE50" s="176"/>
      <c r="CF50" s="176"/>
      <c r="CG50" s="194" t="str">
        <f t="shared" si="115"/>
        <v/>
      </c>
      <c r="CH50" s="181"/>
      <c r="CI50" s="176"/>
      <c r="CJ50" s="176"/>
      <c r="CK50" s="176"/>
      <c r="CL50" s="176"/>
      <c r="CM50" s="176"/>
      <c r="CN50" s="176"/>
      <c r="CO50" s="176"/>
      <c r="CP50" s="194" t="str">
        <f t="shared" si="197"/>
        <v/>
      </c>
      <c r="CQ50" s="181"/>
      <c r="CR50" s="176"/>
      <c r="CS50" s="176"/>
      <c r="CT50" s="176"/>
      <c r="CU50" s="176"/>
      <c r="CV50" s="176"/>
      <c r="CW50" s="176"/>
      <c r="CX50" s="176"/>
      <c r="CY50" s="194" t="str">
        <f t="shared" si="116"/>
        <v/>
      </c>
      <c r="CZ50" s="181"/>
      <c r="DA50" s="176"/>
      <c r="DB50" s="176"/>
      <c r="DC50" s="176"/>
      <c r="DD50" s="176"/>
      <c r="DE50" s="176"/>
      <c r="DF50" s="176"/>
      <c r="DG50" s="176"/>
      <c r="DH50" s="194" t="str">
        <f t="shared" si="198"/>
        <v/>
      </c>
      <c r="DI50" s="181"/>
      <c r="DJ50" s="176"/>
      <c r="DK50" s="176"/>
      <c r="DL50" s="176"/>
      <c r="DM50" s="176"/>
      <c r="DN50" s="176"/>
      <c r="DO50" s="176"/>
      <c r="DP50" s="176"/>
      <c r="DQ50" s="194" t="str">
        <f t="shared" si="117"/>
        <v/>
      </c>
      <c r="DR50" s="181"/>
      <c r="DS50" s="176"/>
      <c r="DT50" s="176"/>
      <c r="DU50" s="176"/>
      <c r="DV50" s="176"/>
      <c r="DW50" s="176"/>
      <c r="DX50" s="176"/>
      <c r="DY50" s="176"/>
      <c r="DZ50" s="194" t="str">
        <f t="shared" si="199"/>
        <v/>
      </c>
      <c r="EA50" s="181"/>
      <c r="EB50" s="176"/>
      <c r="EC50" s="176"/>
      <c r="ED50" s="176"/>
      <c r="EE50" s="176"/>
      <c r="EF50" s="176"/>
      <c r="EG50" s="176"/>
      <c r="EH50" s="176"/>
      <c r="EI50" s="194" t="str">
        <f t="shared" si="200"/>
        <v/>
      </c>
      <c r="EJ50" s="181"/>
      <c r="EK50" s="176"/>
      <c r="EL50" s="176"/>
      <c r="EM50" s="176"/>
      <c r="EN50" s="176"/>
      <c r="EO50" s="176"/>
      <c r="EP50" s="176"/>
      <c r="EQ50" s="176"/>
      <c r="ER50" s="194" t="str">
        <f t="shared" si="201"/>
        <v/>
      </c>
      <c r="ES50" s="181"/>
      <c r="ET50" s="176"/>
      <c r="EU50" s="176"/>
      <c r="EV50" s="176"/>
      <c r="EW50" s="176"/>
      <c r="EX50" s="176"/>
      <c r="EY50" s="176"/>
      <c r="EZ50" s="176"/>
      <c r="FA50" s="194" t="str">
        <f t="shared" si="202"/>
        <v/>
      </c>
      <c r="FB50" s="181"/>
      <c r="FC50" s="176"/>
      <c r="FD50" s="176"/>
      <c r="FE50" s="176"/>
      <c r="FF50" s="176"/>
      <c r="FG50" s="176"/>
      <c r="FH50" s="176"/>
      <c r="FI50" s="176"/>
      <c r="FJ50" s="194" t="str">
        <f t="shared" si="203"/>
        <v/>
      </c>
      <c r="FK50" s="181"/>
      <c r="FL50" s="176"/>
      <c r="FM50" s="176"/>
      <c r="FN50" s="176"/>
      <c r="FO50" s="176"/>
      <c r="FP50" s="176"/>
      <c r="FQ50" s="176"/>
      <c r="FR50" s="176"/>
      <c r="FS50" s="194" t="str">
        <f t="shared" si="204"/>
        <v/>
      </c>
      <c r="FT50" s="181"/>
      <c r="FU50" s="176"/>
      <c r="FV50" s="176"/>
      <c r="FW50" s="176"/>
      <c r="FX50" s="176"/>
      <c r="FY50" s="176"/>
      <c r="FZ50" s="176"/>
      <c r="GA50" s="176"/>
      <c r="GB50" s="194" t="str">
        <f t="shared" si="118"/>
        <v/>
      </c>
      <c r="GC50" s="194" t="str">
        <f t="shared" si="119"/>
        <v/>
      </c>
      <c r="GD50" s="194" t="str">
        <f>IF(GC50="","",IF(GC50&gt;=KONVERSI!$A$5,KONVERSI!$D$5,IF(GC50&gt;=KONVERSI!$A$6,KONVERSI!$D$6,IF(GC50&gt;=KONVERSI!$A$7,KONVERSI!$D$7,KONVERSI!$D$8))))</f>
        <v/>
      </c>
      <c r="GE50" s="194" t="str">
        <f t="shared" si="120"/>
        <v/>
      </c>
      <c r="GF50" s="222"/>
      <c r="GG50" s="223">
        <f t="shared" si="205"/>
        <v>0</v>
      </c>
      <c r="GH50" s="194">
        <f t="shared" si="206"/>
        <v>0</v>
      </c>
      <c r="GI50" s="194">
        <f t="shared" si="207"/>
        <v>0</v>
      </c>
      <c r="GJ50" s="194">
        <f t="shared" si="208"/>
        <v>0</v>
      </c>
      <c r="GK50" s="194">
        <f t="shared" si="209"/>
        <v>0</v>
      </c>
      <c r="GL50" s="194">
        <f t="shared" si="210"/>
        <v>0</v>
      </c>
      <c r="GM50" s="194">
        <f t="shared" si="211"/>
        <v>0</v>
      </c>
      <c r="GN50" s="194">
        <f t="shared" si="212"/>
        <v>0</v>
      </c>
      <c r="GO50" s="194">
        <f t="shared" si="213"/>
        <v>0</v>
      </c>
      <c r="GP50" s="194">
        <f t="shared" si="214"/>
        <v>0</v>
      </c>
      <c r="GQ50" s="194">
        <f t="shared" si="215"/>
        <v>0</v>
      </c>
      <c r="GR50" s="194">
        <f t="shared" si="216"/>
        <v>0</v>
      </c>
      <c r="GS50" s="194">
        <f t="shared" si="217"/>
        <v>0</v>
      </c>
      <c r="GT50" s="194">
        <f t="shared" si="218"/>
        <v>0</v>
      </c>
      <c r="GU50" s="194">
        <f t="shared" si="219"/>
        <v>0</v>
      </c>
      <c r="GV50" s="194">
        <f t="shared" si="220"/>
        <v>0</v>
      </c>
      <c r="GW50" s="194">
        <f t="shared" si="221"/>
        <v>0</v>
      </c>
      <c r="GX50" s="194">
        <f t="shared" si="222"/>
        <v>0</v>
      </c>
      <c r="GY50" s="194">
        <f t="shared" si="223"/>
        <v>0</v>
      </c>
      <c r="GZ50" s="194">
        <f t="shared" si="224"/>
        <v>0</v>
      </c>
      <c r="HA50" s="194">
        <f t="shared" si="225"/>
        <v>0</v>
      </c>
      <c r="HB50" s="194">
        <f t="shared" si="226"/>
        <v>0</v>
      </c>
      <c r="HC50" s="194">
        <f t="shared" si="227"/>
        <v>0</v>
      </c>
      <c r="HD50" s="194">
        <f t="shared" si="228"/>
        <v>0</v>
      </c>
      <c r="HE50" s="194">
        <f t="shared" si="229"/>
        <v>0</v>
      </c>
      <c r="HF50" s="194">
        <f t="shared" si="230"/>
        <v>0</v>
      </c>
      <c r="HG50" s="194">
        <f t="shared" si="231"/>
        <v>0</v>
      </c>
      <c r="HH50" s="194">
        <f t="shared" si="232"/>
        <v>0</v>
      </c>
      <c r="HI50" s="194">
        <f t="shared" si="233"/>
        <v>0</v>
      </c>
      <c r="HJ50" s="194">
        <f t="shared" si="234"/>
        <v>0</v>
      </c>
      <c r="HK50" s="194">
        <f t="shared" si="235"/>
        <v>0</v>
      </c>
      <c r="HL50" s="194">
        <f t="shared" si="236"/>
        <v>0</v>
      </c>
      <c r="HM50" s="194">
        <f t="shared" si="237"/>
        <v>0</v>
      </c>
      <c r="HN50" s="194">
        <f t="shared" si="238"/>
        <v>0</v>
      </c>
      <c r="HO50" s="194">
        <f t="shared" si="239"/>
        <v>0</v>
      </c>
      <c r="HP50" s="194">
        <f t="shared" si="240"/>
        <v>0</v>
      </c>
      <c r="HQ50" s="194">
        <f t="shared" si="241"/>
        <v>0</v>
      </c>
      <c r="HR50" s="194">
        <f t="shared" si="242"/>
        <v>0</v>
      </c>
      <c r="HS50" s="194">
        <f t="shared" si="243"/>
        <v>0</v>
      </c>
      <c r="HT50" s="194">
        <f t="shared" si="244"/>
        <v>0</v>
      </c>
      <c r="HU50" s="194">
        <f t="shared" si="245"/>
        <v>0</v>
      </c>
      <c r="HV50" s="194">
        <f t="shared" si="246"/>
        <v>0</v>
      </c>
      <c r="HW50" s="194">
        <f t="shared" si="247"/>
        <v>0</v>
      </c>
      <c r="HX50" s="194">
        <f t="shared" si="248"/>
        <v>0</v>
      </c>
      <c r="HY50" s="194">
        <f t="shared" si="249"/>
        <v>0</v>
      </c>
      <c r="HZ50" s="194">
        <f t="shared" si="250"/>
        <v>0</v>
      </c>
      <c r="IA50" s="194">
        <f t="shared" si="251"/>
        <v>0</v>
      </c>
      <c r="IB50" s="194">
        <f t="shared" si="252"/>
        <v>0</v>
      </c>
      <c r="IC50" s="194">
        <f t="shared" si="253"/>
        <v>0</v>
      </c>
      <c r="ID50" s="194">
        <f t="shared" si="254"/>
        <v>0</v>
      </c>
      <c r="IE50" s="194">
        <f t="shared" si="255"/>
        <v>0</v>
      </c>
      <c r="IF50" s="194">
        <f t="shared" si="256"/>
        <v>0</v>
      </c>
      <c r="IG50" s="194">
        <f t="shared" si="257"/>
        <v>0</v>
      </c>
      <c r="IH50" s="194">
        <f t="shared" si="258"/>
        <v>0</v>
      </c>
      <c r="II50" s="194">
        <f t="shared" si="259"/>
        <v>0</v>
      </c>
      <c r="IJ50" s="194">
        <f t="shared" si="260"/>
        <v>0</v>
      </c>
      <c r="IK50" s="194">
        <f t="shared" si="261"/>
        <v>0</v>
      </c>
      <c r="IL50" s="194">
        <f t="shared" si="262"/>
        <v>0</v>
      </c>
      <c r="IM50" s="194">
        <f t="shared" si="263"/>
        <v>0</v>
      </c>
      <c r="IN50" s="194">
        <f t="shared" si="264"/>
        <v>0</v>
      </c>
      <c r="IO50" s="194">
        <f t="shared" si="265"/>
        <v>0</v>
      </c>
      <c r="IP50" s="194">
        <f t="shared" si="266"/>
        <v>0</v>
      </c>
      <c r="IQ50" s="194">
        <f t="shared" si="267"/>
        <v>0</v>
      </c>
      <c r="IR50" s="194">
        <f t="shared" si="268"/>
        <v>0</v>
      </c>
      <c r="IS50" s="194">
        <f t="shared" si="269"/>
        <v>0</v>
      </c>
      <c r="IT50" s="194">
        <f t="shared" si="270"/>
        <v>0</v>
      </c>
      <c r="IU50" s="194">
        <f t="shared" si="271"/>
        <v>0</v>
      </c>
      <c r="IV50" s="194">
        <f t="shared" si="272"/>
        <v>0</v>
      </c>
      <c r="IW50" s="194">
        <f t="shared" si="273"/>
        <v>0</v>
      </c>
      <c r="IX50" s="194">
        <f t="shared" si="274"/>
        <v>0</v>
      </c>
      <c r="IY50" s="194">
        <f t="shared" si="275"/>
        <v>0</v>
      </c>
      <c r="IZ50" s="194">
        <f t="shared" si="276"/>
        <v>0</v>
      </c>
      <c r="JA50" s="194">
        <f t="shared" si="277"/>
        <v>0</v>
      </c>
      <c r="JB50" s="194">
        <f t="shared" si="278"/>
        <v>0</v>
      </c>
      <c r="JC50" s="194">
        <f t="shared" si="279"/>
        <v>0</v>
      </c>
      <c r="JD50" s="194">
        <f t="shared" si="280"/>
        <v>0</v>
      </c>
      <c r="JE50" s="194">
        <f t="shared" si="281"/>
        <v>0</v>
      </c>
      <c r="JF50" s="194">
        <f t="shared" si="282"/>
        <v>0</v>
      </c>
      <c r="JG50" s="194">
        <f t="shared" si="283"/>
        <v>0</v>
      </c>
      <c r="JH50" s="194">
        <f t="shared" si="284"/>
        <v>0</v>
      </c>
      <c r="JI50" s="228">
        <v>42</v>
      </c>
      <c r="JJ50" s="229" t="str">
        <f t="shared" si="121"/>
        <v/>
      </c>
      <c r="JK50" s="229" t="str">
        <f t="shared" si="122"/>
        <v/>
      </c>
      <c r="JL50" s="229" t="str">
        <f t="shared" si="123"/>
        <v/>
      </c>
      <c r="JM50" s="229" t="str">
        <f t="shared" si="124"/>
        <v/>
      </c>
      <c r="JN50" s="229" t="str">
        <f t="shared" si="125"/>
        <v/>
      </c>
      <c r="JO50" s="229" t="str">
        <f t="shared" si="126"/>
        <v/>
      </c>
      <c r="JP50" s="229" t="str">
        <f t="shared" si="127"/>
        <v/>
      </c>
      <c r="JQ50" s="229" t="str">
        <f t="shared" si="128"/>
        <v/>
      </c>
      <c r="JR50" s="229" t="str">
        <f t="shared" si="129"/>
        <v/>
      </c>
      <c r="JS50" s="229" t="str">
        <f t="shared" si="130"/>
        <v/>
      </c>
      <c r="JT50" s="229" t="str">
        <f t="shared" si="131"/>
        <v/>
      </c>
      <c r="JU50" s="229" t="str">
        <f t="shared" si="132"/>
        <v/>
      </c>
      <c r="JV50" s="229" t="str">
        <f t="shared" si="133"/>
        <v/>
      </c>
      <c r="JW50" s="229" t="str">
        <f t="shared" si="134"/>
        <v/>
      </c>
      <c r="JX50" s="229" t="str">
        <f t="shared" si="135"/>
        <v/>
      </c>
      <c r="JY50" s="229" t="str">
        <f t="shared" si="136"/>
        <v/>
      </c>
      <c r="JZ50" s="229" t="str">
        <f t="shared" si="137"/>
        <v/>
      </c>
      <c r="KA50" s="229" t="str">
        <f t="shared" si="138"/>
        <v/>
      </c>
      <c r="KB50" s="229" t="str">
        <f t="shared" si="139"/>
        <v/>
      </c>
      <c r="KC50" s="229" t="str">
        <f t="shared" si="140"/>
        <v/>
      </c>
      <c r="KD50" s="231" t="str">
        <f t="shared" si="141"/>
        <v/>
      </c>
      <c r="KE50" s="232" t="str">
        <f>IF(KD50="","",IF(KD50&gt;=KONVERSI!$A$5,KONVERSI!$E$12,IF(KD50&gt;=KONVERSI!$A$6,KONVERSI!$E$13,IF(KD50&gt;=KONVERSI!$A$7,KONVERSI!$E$14,KONVERSI!$E$15))))</f>
        <v/>
      </c>
      <c r="KF50" s="233" t="str">
        <f t="shared" si="142"/>
        <v/>
      </c>
      <c r="KG50" s="234" t="str">
        <f t="shared" si="143"/>
        <v/>
      </c>
      <c r="KH50" s="232" t="str">
        <f>IF(KG50="","",IF(KG50&gt;=KONVERSI!$A$5,KONVERSI!$E$12,IF(KG50&gt;=KONVERSI!$A$6,KONVERSI!$E$13,IF(KG50&gt;=KONVERSI!$A$7,KONVERSI!$E$14,KONVERSI!$E$15))))</f>
        <v/>
      </c>
      <c r="KI50" s="134" t="str">
        <f>IF(GC50="","",IF(GC50&lt;$GD$3," "&amp;KONVERSI!$C$19&amp;INDEX($JJ$8:$KC$8,MATCH(KG51,JJ51:KC51,0))&amp;".",IF(GC50=0,"",IF(KG50&lt;&gt;0,KF50&amp;KH50&amp;".",KF50&amp;"."))))</f>
        <v/>
      </c>
      <c r="KJ50" s="235" t="str">
        <f t="shared" si="144"/>
        <v/>
      </c>
      <c r="KK50" s="235" t="str">
        <f t="shared" si="145"/>
        <v/>
      </c>
      <c r="KL50" s="235" t="str">
        <f t="shared" si="146"/>
        <v/>
      </c>
      <c r="KM50" s="235" t="str">
        <f t="shared" si="147"/>
        <v/>
      </c>
      <c r="KN50" s="235" t="str">
        <f t="shared" si="148"/>
        <v/>
      </c>
      <c r="KO50" s="235" t="str">
        <f t="shared" si="149"/>
        <v/>
      </c>
      <c r="KP50" s="235" t="str">
        <f t="shared" si="150"/>
        <v/>
      </c>
      <c r="KQ50" s="235" t="str">
        <f t="shared" si="151"/>
        <v/>
      </c>
      <c r="KR50" s="235" t="str">
        <f t="shared" si="152"/>
        <v/>
      </c>
      <c r="KS50" s="235" t="str">
        <f t="shared" si="153"/>
        <v/>
      </c>
      <c r="KT50" s="235" t="str">
        <f t="shared" si="154"/>
        <v/>
      </c>
      <c r="KU50" s="235" t="str">
        <f t="shared" si="155"/>
        <v/>
      </c>
      <c r="KV50" s="235" t="str">
        <f t="shared" si="156"/>
        <v/>
      </c>
      <c r="KW50" s="235" t="str">
        <f t="shared" si="157"/>
        <v/>
      </c>
      <c r="KX50" s="235" t="str">
        <f t="shared" si="158"/>
        <v/>
      </c>
      <c r="KY50" s="235" t="str">
        <f t="shared" si="159"/>
        <v/>
      </c>
      <c r="KZ50" s="235" t="str">
        <f t="shared" si="160"/>
        <v/>
      </c>
      <c r="LA50" s="235" t="str">
        <f t="shared" si="161"/>
        <v/>
      </c>
      <c r="LB50" s="235" t="str">
        <f t="shared" si="162"/>
        <v/>
      </c>
      <c r="LC50" s="235" t="str">
        <f t="shared" si="163"/>
        <v/>
      </c>
      <c r="LD50" s="134" t="str">
        <f t="shared" ref="LD50:LE58" si="291">IF(KJ50="OK",KJ$8,"")</f>
        <v/>
      </c>
      <c r="LE50" s="134" t="str">
        <f t="shared" si="291"/>
        <v/>
      </c>
      <c r="LF50" s="134" t="str">
        <f t="shared" si="289"/>
        <v/>
      </c>
      <c r="LG50" s="134" t="str">
        <f t="shared" si="289"/>
        <v/>
      </c>
      <c r="LH50" s="134" t="str">
        <f t="shared" si="289"/>
        <v/>
      </c>
      <c r="LI50" s="134" t="str">
        <f t="shared" si="289"/>
        <v/>
      </c>
      <c r="LJ50" s="134" t="str">
        <f t="shared" si="289"/>
        <v/>
      </c>
      <c r="LK50" s="134" t="str">
        <f t="shared" si="289"/>
        <v/>
      </c>
      <c r="LL50" s="134" t="str">
        <f t="shared" si="289"/>
        <v/>
      </c>
      <c r="LM50" s="134" t="str">
        <f t="shared" si="289"/>
        <v/>
      </c>
      <c r="LN50" s="134" t="str">
        <f t="shared" si="289"/>
        <v/>
      </c>
      <c r="LO50" s="134" t="str">
        <f t="shared" si="287"/>
        <v/>
      </c>
      <c r="LP50" s="134" t="str">
        <f t="shared" si="287"/>
        <v/>
      </c>
      <c r="LQ50" s="134" t="str">
        <f t="shared" si="287"/>
        <v/>
      </c>
      <c r="LR50" s="134" t="str">
        <f t="shared" si="287"/>
        <v/>
      </c>
      <c r="LS50" s="134" t="str">
        <f t="shared" si="287"/>
        <v/>
      </c>
      <c r="LT50" s="134" t="str">
        <f t="shared" si="287"/>
        <v/>
      </c>
      <c r="LU50" s="134" t="str">
        <f t="shared" si="287"/>
        <v/>
      </c>
      <c r="LV50" s="134" t="str">
        <f t="shared" si="287"/>
        <v/>
      </c>
      <c r="LW50" s="134" t="str">
        <f t="shared" si="287"/>
        <v/>
      </c>
      <c r="LX50" s="134" t="str">
        <f t="shared" si="165"/>
        <v/>
      </c>
      <c r="LY50" s="134" t="str">
        <f t="shared" si="166"/>
        <v>  </v>
      </c>
      <c r="LZ50" s="236">
        <f t="shared" si="285"/>
        <v>0</v>
      </c>
      <c r="MA50" s="235" t="str">
        <f t="shared" si="167"/>
        <v/>
      </c>
      <c r="MB50" s="235" t="str">
        <f t="shared" si="168"/>
        <v/>
      </c>
      <c r="MC50" s="235" t="str">
        <f t="shared" si="169"/>
        <v/>
      </c>
      <c r="MD50" s="235" t="str">
        <f t="shared" si="170"/>
        <v/>
      </c>
      <c r="ME50" s="235" t="str">
        <f t="shared" si="171"/>
        <v/>
      </c>
      <c r="MF50" s="235" t="str">
        <f t="shared" si="172"/>
        <v/>
      </c>
      <c r="MG50" s="235" t="str">
        <f t="shared" si="173"/>
        <v/>
      </c>
      <c r="MH50" s="235" t="str">
        <f t="shared" si="174"/>
        <v/>
      </c>
      <c r="MI50" s="235" t="str">
        <f t="shared" si="175"/>
        <v/>
      </c>
      <c r="MJ50" s="235" t="str">
        <f t="shared" si="176"/>
        <v/>
      </c>
      <c r="MK50" s="235" t="str">
        <f t="shared" si="177"/>
        <v/>
      </c>
      <c r="ML50" s="235" t="str">
        <f t="shared" si="178"/>
        <v/>
      </c>
      <c r="MM50" s="235" t="str">
        <f t="shared" si="179"/>
        <v/>
      </c>
      <c r="MN50" s="235" t="str">
        <f t="shared" si="180"/>
        <v/>
      </c>
      <c r="MO50" s="235" t="str">
        <f t="shared" si="181"/>
        <v/>
      </c>
      <c r="MP50" s="235" t="str">
        <f t="shared" si="182"/>
        <v/>
      </c>
      <c r="MQ50" s="235" t="str">
        <f t="shared" si="183"/>
        <v/>
      </c>
      <c r="MR50" s="235" t="str">
        <f t="shared" si="184"/>
        <v/>
      </c>
      <c r="MS50" s="235" t="str">
        <f t="shared" si="185"/>
        <v/>
      </c>
      <c r="MT50" s="235" t="str">
        <f t="shared" si="186"/>
        <v/>
      </c>
      <c r="MU50" s="134" t="str">
        <f t="shared" ref="MU50:MV58" si="292">IF(MA50="OK",MA$8,"")</f>
        <v/>
      </c>
      <c r="MV50" s="134" t="str">
        <f t="shared" si="292"/>
        <v/>
      </c>
      <c r="MW50" s="134" t="str">
        <f t="shared" si="290"/>
        <v/>
      </c>
      <c r="MX50" s="134" t="str">
        <f t="shared" si="290"/>
        <v/>
      </c>
      <c r="MY50" s="134" t="str">
        <f t="shared" si="290"/>
        <v/>
      </c>
      <c r="MZ50" s="134" t="str">
        <f t="shared" si="290"/>
        <v/>
      </c>
      <c r="NA50" s="134" t="str">
        <f t="shared" si="290"/>
        <v/>
      </c>
      <c r="NB50" s="134" t="str">
        <f t="shared" si="290"/>
        <v/>
      </c>
      <c r="NC50" s="134" t="str">
        <f t="shared" si="290"/>
        <v/>
      </c>
      <c r="ND50" s="134" t="str">
        <f t="shared" si="290"/>
        <v/>
      </c>
      <c r="NE50" s="134" t="str">
        <f t="shared" si="290"/>
        <v/>
      </c>
      <c r="NF50" s="134" t="str">
        <f t="shared" si="288"/>
        <v/>
      </c>
      <c r="NG50" s="134" t="str">
        <f t="shared" si="288"/>
        <v/>
      </c>
      <c r="NH50" s="134" t="str">
        <f t="shared" si="288"/>
        <v/>
      </c>
      <c r="NI50" s="134" t="str">
        <f t="shared" si="288"/>
        <v/>
      </c>
      <c r="NJ50" s="134" t="str">
        <f t="shared" si="288"/>
        <v/>
      </c>
      <c r="NK50" s="134" t="str">
        <f t="shared" si="288"/>
        <v/>
      </c>
      <c r="NL50" s="134" t="str">
        <f t="shared" si="288"/>
        <v/>
      </c>
      <c r="NM50" s="134" t="str">
        <f t="shared" si="288"/>
        <v/>
      </c>
      <c r="NN50" s="134" t="str">
        <f t="shared" si="288"/>
        <v/>
      </c>
      <c r="NO50" s="134" t="str">
        <f>IF(KE50=KH50,"",IF(KG50="","",IF(KG50&gt;=KONVERSI!$A$14,'KI4'!KH50&amp;" dalam"&amp;MU50&amp;MV50&amp;MW50&amp;MX50&amp;MY50&amp;MZ50&amp;NA50&amp;NB50&amp;NC50&amp;ND50&amp;NE50&amp;NF50&amp;NG50&amp;NH50&amp;NI50&amp;NJ50&amp;NK50&amp;NL50&amp;NM50&amp;NN50,KONVERSI!$C$19&amp;" dalam"&amp;MU50&amp;MV50&amp;MW50&amp;MX50&amp;MY50&amp;MZ50&amp;NA50&amp;NB50&amp;NC50&amp;ND50&amp;NE50&amp;NF50&amp;NG50&amp;NH50&amp;NI50&amp;NJ50&amp;NK50&amp;NL50&amp;NM50&amp;NN50)))</f>
        <v/>
      </c>
      <c r="NP50" s="134" t="str">
        <f t="shared" si="188"/>
        <v/>
      </c>
      <c r="NQ50" s="236">
        <f t="shared" si="286"/>
        <v>0</v>
      </c>
      <c r="NR50" s="134" t="str">
        <f t="shared" si="189"/>
        <v/>
      </c>
    </row>
    <row r="51" ht="27.6" customHeight="1" spans="1:382">
      <c r="A51" s="136"/>
      <c r="B51" s="177">
        <v>43</v>
      </c>
      <c r="C51" s="180">
        <f>siswa!C47</f>
        <v>0</v>
      </c>
      <c r="D51" s="174">
        <f>siswa!D47</f>
        <v>0</v>
      </c>
      <c r="E51" s="181"/>
      <c r="F51" s="176"/>
      <c r="G51" s="176"/>
      <c r="H51" s="176"/>
      <c r="I51" s="176"/>
      <c r="J51" s="176"/>
      <c r="K51" s="176"/>
      <c r="L51" s="176"/>
      <c r="M51" s="194" t="str">
        <f t="shared" si="192"/>
        <v/>
      </c>
      <c r="N51" s="181"/>
      <c r="O51" s="176"/>
      <c r="P51" s="176"/>
      <c r="Q51" s="176"/>
      <c r="R51" s="176"/>
      <c r="S51" s="176"/>
      <c r="T51" s="176"/>
      <c r="U51" s="176"/>
      <c r="V51" s="194" t="str">
        <f t="shared" si="193"/>
        <v/>
      </c>
      <c r="W51" s="181"/>
      <c r="X51" s="176"/>
      <c r="Y51" s="176"/>
      <c r="Z51" s="176"/>
      <c r="AA51" s="176"/>
      <c r="AB51" s="176"/>
      <c r="AC51" s="176"/>
      <c r="AD51" s="176"/>
      <c r="AE51" s="194" t="str">
        <f t="shared" si="194"/>
        <v/>
      </c>
      <c r="AF51" s="181"/>
      <c r="AG51" s="176"/>
      <c r="AH51" s="176"/>
      <c r="AI51" s="176"/>
      <c r="AJ51" s="176"/>
      <c r="AK51" s="176"/>
      <c r="AL51" s="176"/>
      <c r="AM51" s="176"/>
      <c r="AN51" s="194" t="str">
        <f t="shared" si="195"/>
        <v/>
      </c>
      <c r="AO51" s="181"/>
      <c r="AP51" s="176"/>
      <c r="AQ51" s="176"/>
      <c r="AR51" s="176"/>
      <c r="AS51" s="176"/>
      <c r="AT51" s="176"/>
      <c r="AU51" s="176"/>
      <c r="AV51" s="176"/>
      <c r="AW51" s="194" t="str">
        <f t="shared" si="112"/>
        <v/>
      </c>
      <c r="AX51" s="181"/>
      <c r="AY51" s="176"/>
      <c r="AZ51" s="176"/>
      <c r="BA51" s="176"/>
      <c r="BB51" s="176"/>
      <c r="BC51" s="176"/>
      <c r="BD51" s="176"/>
      <c r="BE51" s="176"/>
      <c r="BF51" s="194" t="str">
        <f t="shared" si="196"/>
        <v/>
      </c>
      <c r="BG51" s="181"/>
      <c r="BH51" s="176"/>
      <c r="BI51" s="176"/>
      <c r="BJ51" s="176"/>
      <c r="BK51" s="176"/>
      <c r="BL51" s="176"/>
      <c r="BM51" s="176"/>
      <c r="BN51" s="176"/>
      <c r="BO51" s="194" t="str">
        <f t="shared" si="113"/>
        <v/>
      </c>
      <c r="BP51" s="181"/>
      <c r="BQ51" s="176"/>
      <c r="BR51" s="176"/>
      <c r="BS51" s="176"/>
      <c r="BT51" s="176"/>
      <c r="BU51" s="176"/>
      <c r="BV51" s="176"/>
      <c r="BW51" s="176"/>
      <c r="BX51" s="194" t="str">
        <f t="shared" si="114"/>
        <v/>
      </c>
      <c r="BY51" s="181"/>
      <c r="BZ51" s="176"/>
      <c r="CA51" s="176"/>
      <c r="CB51" s="176"/>
      <c r="CC51" s="176"/>
      <c r="CD51" s="176"/>
      <c r="CE51" s="176"/>
      <c r="CF51" s="176"/>
      <c r="CG51" s="194" t="str">
        <f t="shared" si="115"/>
        <v/>
      </c>
      <c r="CH51" s="181"/>
      <c r="CI51" s="176"/>
      <c r="CJ51" s="176"/>
      <c r="CK51" s="176"/>
      <c r="CL51" s="176"/>
      <c r="CM51" s="176"/>
      <c r="CN51" s="176"/>
      <c r="CO51" s="176"/>
      <c r="CP51" s="194" t="str">
        <f t="shared" si="197"/>
        <v/>
      </c>
      <c r="CQ51" s="181"/>
      <c r="CR51" s="176"/>
      <c r="CS51" s="176"/>
      <c r="CT51" s="176"/>
      <c r="CU51" s="176"/>
      <c r="CV51" s="176"/>
      <c r="CW51" s="176"/>
      <c r="CX51" s="176"/>
      <c r="CY51" s="194" t="str">
        <f t="shared" si="116"/>
        <v/>
      </c>
      <c r="CZ51" s="181"/>
      <c r="DA51" s="176"/>
      <c r="DB51" s="176"/>
      <c r="DC51" s="176"/>
      <c r="DD51" s="176"/>
      <c r="DE51" s="176"/>
      <c r="DF51" s="176"/>
      <c r="DG51" s="176"/>
      <c r="DH51" s="194" t="str">
        <f t="shared" si="198"/>
        <v/>
      </c>
      <c r="DI51" s="181"/>
      <c r="DJ51" s="176"/>
      <c r="DK51" s="176"/>
      <c r="DL51" s="176"/>
      <c r="DM51" s="176"/>
      <c r="DN51" s="176"/>
      <c r="DO51" s="176"/>
      <c r="DP51" s="176"/>
      <c r="DQ51" s="194" t="str">
        <f t="shared" si="117"/>
        <v/>
      </c>
      <c r="DR51" s="181"/>
      <c r="DS51" s="176"/>
      <c r="DT51" s="176"/>
      <c r="DU51" s="176"/>
      <c r="DV51" s="176"/>
      <c r="DW51" s="176"/>
      <c r="DX51" s="176"/>
      <c r="DY51" s="176"/>
      <c r="DZ51" s="194" t="str">
        <f t="shared" si="199"/>
        <v/>
      </c>
      <c r="EA51" s="181"/>
      <c r="EB51" s="176"/>
      <c r="EC51" s="176"/>
      <c r="ED51" s="176"/>
      <c r="EE51" s="176"/>
      <c r="EF51" s="176"/>
      <c r="EG51" s="176"/>
      <c r="EH51" s="176"/>
      <c r="EI51" s="194" t="str">
        <f t="shared" si="200"/>
        <v/>
      </c>
      <c r="EJ51" s="181"/>
      <c r="EK51" s="176"/>
      <c r="EL51" s="176"/>
      <c r="EM51" s="176"/>
      <c r="EN51" s="176"/>
      <c r="EO51" s="176"/>
      <c r="EP51" s="176"/>
      <c r="EQ51" s="176"/>
      <c r="ER51" s="194" t="str">
        <f t="shared" si="201"/>
        <v/>
      </c>
      <c r="ES51" s="181"/>
      <c r="ET51" s="176"/>
      <c r="EU51" s="176"/>
      <c r="EV51" s="176"/>
      <c r="EW51" s="176"/>
      <c r="EX51" s="176"/>
      <c r="EY51" s="176"/>
      <c r="EZ51" s="176"/>
      <c r="FA51" s="194" t="str">
        <f t="shared" si="202"/>
        <v/>
      </c>
      <c r="FB51" s="181"/>
      <c r="FC51" s="176"/>
      <c r="FD51" s="176"/>
      <c r="FE51" s="176"/>
      <c r="FF51" s="176"/>
      <c r="FG51" s="176"/>
      <c r="FH51" s="176"/>
      <c r="FI51" s="176"/>
      <c r="FJ51" s="194" t="str">
        <f t="shared" si="203"/>
        <v/>
      </c>
      <c r="FK51" s="181"/>
      <c r="FL51" s="176"/>
      <c r="FM51" s="176"/>
      <c r="FN51" s="176"/>
      <c r="FO51" s="176"/>
      <c r="FP51" s="176"/>
      <c r="FQ51" s="176"/>
      <c r="FR51" s="176"/>
      <c r="FS51" s="194" t="str">
        <f t="shared" si="204"/>
        <v/>
      </c>
      <c r="FT51" s="181"/>
      <c r="FU51" s="176"/>
      <c r="FV51" s="176"/>
      <c r="FW51" s="176"/>
      <c r="FX51" s="176"/>
      <c r="FY51" s="176"/>
      <c r="FZ51" s="176"/>
      <c r="GA51" s="176"/>
      <c r="GB51" s="194" t="str">
        <f t="shared" si="118"/>
        <v/>
      </c>
      <c r="GC51" s="194" t="str">
        <f t="shared" si="119"/>
        <v/>
      </c>
      <c r="GD51" s="194" t="str">
        <f>IF(GC51="","",IF(GC51&gt;=KONVERSI!$A$5,KONVERSI!$D$5,IF(GC51&gt;=KONVERSI!$A$6,KONVERSI!$D$6,IF(GC51&gt;=KONVERSI!$A$7,KONVERSI!$D$7,KONVERSI!$D$8))))</f>
        <v/>
      </c>
      <c r="GE51" s="194" t="str">
        <f t="shared" si="120"/>
        <v/>
      </c>
      <c r="GF51" s="222"/>
      <c r="GG51" s="223">
        <f t="shared" si="205"/>
        <v>0</v>
      </c>
      <c r="GH51" s="194">
        <f t="shared" si="206"/>
        <v>0</v>
      </c>
      <c r="GI51" s="194">
        <f t="shared" si="207"/>
        <v>0</v>
      </c>
      <c r="GJ51" s="194">
        <f t="shared" si="208"/>
        <v>0</v>
      </c>
      <c r="GK51" s="194">
        <f t="shared" si="209"/>
        <v>0</v>
      </c>
      <c r="GL51" s="194">
        <f t="shared" si="210"/>
        <v>0</v>
      </c>
      <c r="GM51" s="194">
        <f t="shared" si="211"/>
        <v>0</v>
      </c>
      <c r="GN51" s="194">
        <f t="shared" si="212"/>
        <v>0</v>
      </c>
      <c r="GO51" s="194">
        <f t="shared" si="213"/>
        <v>0</v>
      </c>
      <c r="GP51" s="194">
        <f t="shared" si="214"/>
        <v>0</v>
      </c>
      <c r="GQ51" s="194">
        <f t="shared" si="215"/>
        <v>0</v>
      </c>
      <c r="GR51" s="194">
        <f t="shared" si="216"/>
        <v>0</v>
      </c>
      <c r="GS51" s="194">
        <f t="shared" si="217"/>
        <v>0</v>
      </c>
      <c r="GT51" s="194">
        <f t="shared" si="218"/>
        <v>0</v>
      </c>
      <c r="GU51" s="194">
        <f t="shared" si="219"/>
        <v>0</v>
      </c>
      <c r="GV51" s="194">
        <f t="shared" si="220"/>
        <v>0</v>
      </c>
      <c r="GW51" s="194">
        <f t="shared" si="221"/>
        <v>0</v>
      </c>
      <c r="GX51" s="194">
        <f t="shared" si="222"/>
        <v>0</v>
      </c>
      <c r="GY51" s="194">
        <f t="shared" si="223"/>
        <v>0</v>
      </c>
      <c r="GZ51" s="194">
        <f t="shared" si="224"/>
        <v>0</v>
      </c>
      <c r="HA51" s="194">
        <f t="shared" si="225"/>
        <v>0</v>
      </c>
      <c r="HB51" s="194">
        <f t="shared" si="226"/>
        <v>0</v>
      </c>
      <c r="HC51" s="194">
        <f t="shared" si="227"/>
        <v>0</v>
      </c>
      <c r="HD51" s="194">
        <f t="shared" si="228"/>
        <v>0</v>
      </c>
      <c r="HE51" s="194">
        <f t="shared" si="229"/>
        <v>0</v>
      </c>
      <c r="HF51" s="194">
        <f t="shared" si="230"/>
        <v>0</v>
      </c>
      <c r="HG51" s="194">
        <f t="shared" si="231"/>
        <v>0</v>
      </c>
      <c r="HH51" s="194">
        <f t="shared" si="232"/>
        <v>0</v>
      </c>
      <c r="HI51" s="194">
        <f t="shared" si="233"/>
        <v>0</v>
      </c>
      <c r="HJ51" s="194">
        <f t="shared" si="234"/>
        <v>0</v>
      </c>
      <c r="HK51" s="194">
        <f t="shared" si="235"/>
        <v>0</v>
      </c>
      <c r="HL51" s="194">
        <f t="shared" si="236"/>
        <v>0</v>
      </c>
      <c r="HM51" s="194">
        <f t="shared" si="237"/>
        <v>0</v>
      </c>
      <c r="HN51" s="194">
        <f t="shared" si="238"/>
        <v>0</v>
      </c>
      <c r="HO51" s="194">
        <f t="shared" si="239"/>
        <v>0</v>
      </c>
      <c r="HP51" s="194">
        <f t="shared" si="240"/>
        <v>0</v>
      </c>
      <c r="HQ51" s="194">
        <f t="shared" si="241"/>
        <v>0</v>
      </c>
      <c r="HR51" s="194">
        <f t="shared" si="242"/>
        <v>0</v>
      </c>
      <c r="HS51" s="194">
        <f t="shared" si="243"/>
        <v>0</v>
      </c>
      <c r="HT51" s="194">
        <f t="shared" si="244"/>
        <v>0</v>
      </c>
      <c r="HU51" s="194">
        <f t="shared" si="245"/>
        <v>0</v>
      </c>
      <c r="HV51" s="194">
        <f t="shared" si="246"/>
        <v>0</v>
      </c>
      <c r="HW51" s="194">
        <f t="shared" si="247"/>
        <v>0</v>
      </c>
      <c r="HX51" s="194">
        <f t="shared" si="248"/>
        <v>0</v>
      </c>
      <c r="HY51" s="194">
        <f t="shared" si="249"/>
        <v>0</v>
      </c>
      <c r="HZ51" s="194">
        <f t="shared" si="250"/>
        <v>0</v>
      </c>
      <c r="IA51" s="194">
        <f t="shared" si="251"/>
        <v>0</v>
      </c>
      <c r="IB51" s="194">
        <f t="shared" si="252"/>
        <v>0</v>
      </c>
      <c r="IC51" s="194">
        <f t="shared" si="253"/>
        <v>0</v>
      </c>
      <c r="ID51" s="194">
        <f t="shared" si="254"/>
        <v>0</v>
      </c>
      <c r="IE51" s="194">
        <f t="shared" si="255"/>
        <v>0</v>
      </c>
      <c r="IF51" s="194">
        <f t="shared" si="256"/>
        <v>0</v>
      </c>
      <c r="IG51" s="194">
        <f t="shared" si="257"/>
        <v>0</v>
      </c>
      <c r="IH51" s="194">
        <f t="shared" si="258"/>
        <v>0</v>
      </c>
      <c r="II51" s="194">
        <f t="shared" si="259"/>
        <v>0</v>
      </c>
      <c r="IJ51" s="194">
        <f t="shared" si="260"/>
        <v>0</v>
      </c>
      <c r="IK51" s="194">
        <f t="shared" si="261"/>
        <v>0</v>
      </c>
      <c r="IL51" s="194">
        <f t="shared" si="262"/>
        <v>0</v>
      </c>
      <c r="IM51" s="194">
        <f t="shared" si="263"/>
        <v>0</v>
      </c>
      <c r="IN51" s="194">
        <f t="shared" si="264"/>
        <v>0</v>
      </c>
      <c r="IO51" s="194">
        <f t="shared" si="265"/>
        <v>0</v>
      </c>
      <c r="IP51" s="194">
        <f t="shared" si="266"/>
        <v>0</v>
      </c>
      <c r="IQ51" s="194">
        <f t="shared" si="267"/>
        <v>0</v>
      </c>
      <c r="IR51" s="194">
        <f t="shared" si="268"/>
        <v>0</v>
      </c>
      <c r="IS51" s="194">
        <f t="shared" si="269"/>
        <v>0</v>
      </c>
      <c r="IT51" s="194">
        <f t="shared" si="270"/>
        <v>0</v>
      </c>
      <c r="IU51" s="194">
        <f t="shared" si="271"/>
        <v>0</v>
      </c>
      <c r="IV51" s="194">
        <f t="shared" si="272"/>
        <v>0</v>
      </c>
      <c r="IW51" s="194">
        <f t="shared" si="273"/>
        <v>0</v>
      </c>
      <c r="IX51" s="194">
        <f t="shared" si="274"/>
        <v>0</v>
      </c>
      <c r="IY51" s="194">
        <f t="shared" si="275"/>
        <v>0</v>
      </c>
      <c r="IZ51" s="194">
        <f t="shared" si="276"/>
        <v>0</v>
      </c>
      <c r="JA51" s="194">
        <f t="shared" si="277"/>
        <v>0</v>
      </c>
      <c r="JB51" s="194">
        <f t="shared" si="278"/>
        <v>0</v>
      </c>
      <c r="JC51" s="194">
        <f t="shared" si="279"/>
        <v>0</v>
      </c>
      <c r="JD51" s="194">
        <f t="shared" si="280"/>
        <v>0</v>
      </c>
      <c r="JE51" s="194">
        <f t="shared" si="281"/>
        <v>0</v>
      </c>
      <c r="JF51" s="194">
        <f t="shared" si="282"/>
        <v>0</v>
      </c>
      <c r="JG51" s="194">
        <f t="shared" si="283"/>
        <v>0</v>
      </c>
      <c r="JH51" s="194">
        <f t="shared" si="284"/>
        <v>0</v>
      </c>
      <c r="JI51" s="228">
        <v>43</v>
      </c>
      <c r="JJ51" s="229" t="str">
        <f t="shared" si="121"/>
        <v/>
      </c>
      <c r="JK51" s="229" t="str">
        <f t="shared" si="122"/>
        <v/>
      </c>
      <c r="JL51" s="229" t="str">
        <f t="shared" si="123"/>
        <v/>
      </c>
      <c r="JM51" s="229" t="str">
        <f t="shared" si="124"/>
        <v/>
      </c>
      <c r="JN51" s="229" t="str">
        <f t="shared" si="125"/>
        <v/>
      </c>
      <c r="JO51" s="229" t="str">
        <f t="shared" si="126"/>
        <v/>
      </c>
      <c r="JP51" s="229" t="str">
        <f t="shared" si="127"/>
        <v/>
      </c>
      <c r="JQ51" s="229" t="str">
        <f t="shared" si="128"/>
        <v/>
      </c>
      <c r="JR51" s="229" t="str">
        <f t="shared" si="129"/>
        <v/>
      </c>
      <c r="JS51" s="229" t="str">
        <f t="shared" si="130"/>
        <v/>
      </c>
      <c r="JT51" s="229" t="str">
        <f t="shared" si="131"/>
        <v/>
      </c>
      <c r="JU51" s="229" t="str">
        <f t="shared" si="132"/>
        <v/>
      </c>
      <c r="JV51" s="229" t="str">
        <f t="shared" si="133"/>
        <v/>
      </c>
      <c r="JW51" s="229" t="str">
        <f t="shared" si="134"/>
        <v/>
      </c>
      <c r="JX51" s="229" t="str">
        <f t="shared" si="135"/>
        <v/>
      </c>
      <c r="JY51" s="229" t="str">
        <f t="shared" si="136"/>
        <v/>
      </c>
      <c r="JZ51" s="229" t="str">
        <f t="shared" si="137"/>
        <v/>
      </c>
      <c r="KA51" s="229" t="str">
        <f t="shared" si="138"/>
        <v/>
      </c>
      <c r="KB51" s="229" t="str">
        <f t="shared" si="139"/>
        <v/>
      </c>
      <c r="KC51" s="229" t="str">
        <f t="shared" si="140"/>
        <v/>
      </c>
      <c r="KD51" s="231" t="str">
        <f t="shared" si="141"/>
        <v/>
      </c>
      <c r="KE51" s="232" t="str">
        <f>IF(KD51="","",IF(KD51&gt;=KONVERSI!$A$5,KONVERSI!$E$12,IF(KD51&gt;=KONVERSI!$A$6,KONVERSI!$E$13,IF(KD51&gt;=KONVERSI!$A$7,KONVERSI!$E$14,KONVERSI!$E$15))))</f>
        <v/>
      </c>
      <c r="KF51" s="233" t="str">
        <f t="shared" si="142"/>
        <v/>
      </c>
      <c r="KG51" s="234" t="str">
        <f t="shared" si="143"/>
        <v/>
      </c>
      <c r="KH51" s="232" t="str">
        <f>IF(KG51="","",IF(KG51&gt;=KONVERSI!$A$5,KONVERSI!$E$12,IF(KG51&gt;=KONVERSI!$A$6,KONVERSI!$E$13,IF(KG51&gt;=KONVERSI!$A$7,KONVERSI!$E$14,KONVERSI!$E$15))))</f>
        <v/>
      </c>
      <c r="KI51" s="134" t="str">
        <f>IF(GC51="","",IF(GC51&lt;$GD$3," "&amp;KONVERSI!$C$19&amp;INDEX($JJ$8:$KC$8,MATCH(KG52,JJ52:KC52,0))&amp;".",IF(GC51=0,"",IF(KG51&lt;&gt;0,KF51&amp;KH51&amp;".",KF51&amp;"."))))</f>
        <v/>
      </c>
      <c r="KJ51" s="235" t="str">
        <f t="shared" si="144"/>
        <v/>
      </c>
      <c r="KK51" s="235" t="str">
        <f t="shared" si="145"/>
        <v/>
      </c>
      <c r="KL51" s="235" t="str">
        <f t="shared" si="146"/>
        <v/>
      </c>
      <c r="KM51" s="235" t="str">
        <f t="shared" si="147"/>
        <v/>
      </c>
      <c r="KN51" s="235" t="str">
        <f t="shared" si="148"/>
        <v/>
      </c>
      <c r="KO51" s="235" t="str">
        <f t="shared" si="149"/>
        <v/>
      </c>
      <c r="KP51" s="235" t="str">
        <f t="shared" si="150"/>
        <v/>
      </c>
      <c r="KQ51" s="235" t="str">
        <f t="shared" si="151"/>
        <v/>
      </c>
      <c r="KR51" s="235" t="str">
        <f t="shared" si="152"/>
        <v/>
      </c>
      <c r="KS51" s="235" t="str">
        <f t="shared" si="153"/>
        <v/>
      </c>
      <c r="KT51" s="235" t="str">
        <f t="shared" si="154"/>
        <v/>
      </c>
      <c r="KU51" s="235" t="str">
        <f t="shared" si="155"/>
        <v/>
      </c>
      <c r="KV51" s="235" t="str">
        <f t="shared" si="156"/>
        <v/>
      </c>
      <c r="KW51" s="235" t="str">
        <f t="shared" si="157"/>
        <v/>
      </c>
      <c r="KX51" s="235" t="str">
        <f t="shared" si="158"/>
        <v/>
      </c>
      <c r="KY51" s="235" t="str">
        <f t="shared" si="159"/>
        <v/>
      </c>
      <c r="KZ51" s="235" t="str">
        <f t="shared" si="160"/>
        <v/>
      </c>
      <c r="LA51" s="235" t="str">
        <f t="shared" si="161"/>
        <v/>
      </c>
      <c r="LB51" s="235" t="str">
        <f t="shared" si="162"/>
        <v/>
      </c>
      <c r="LC51" s="235" t="str">
        <f t="shared" si="163"/>
        <v/>
      </c>
      <c r="LD51" s="134" t="str">
        <f t="shared" si="291"/>
        <v/>
      </c>
      <c r="LE51" s="134" t="str">
        <f t="shared" si="291"/>
        <v/>
      </c>
      <c r="LF51" s="134" t="str">
        <f t="shared" si="289"/>
        <v/>
      </c>
      <c r="LG51" s="134" t="str">
        <f t="shared" si="289"/>
        <v/>
      </c>
      <c r="LH51" s="134" t="str">
        <f t="shared" si="289"/>
        <v/>
      </c>
      <c r="LI51" s="134" t="str">
        <f t="shared" si="289"/>
        <v/>
      </c>
      <c r="LJ51" s="134" t="str">
        <f t="shared" si="289"/>
        <v/>
      </c>
      <c r="LK51" s="134" t="str">
        <f t="shared" si="289"/>
        <v/>
      </c>
      <c r="LL51" s="134" t="str">
        <f t="shared" si="289"/>
        <v/>
      </c>
      <c r="LM51" s="134" t="str">
        <f t="shared" si="289"/>
        <v/>
      </c>
      <c r="LN51" s="134" t="str">
        <f t="shared" si="289"/>
        <v/>
      </c>
      <c r="LO51" s="134" t="str">
        <f t="shared" si="287"/>
        <v/>
      </c>
      <c r="LP51" s="134" t="str">
        <f t="shared" si="287"/>
        <v/>
      </c>
      <c r="LQ51" s="134" t="str">
        <f t="shared" si="287"/>
        <v/>
      </c>
      <c r="LR51" s="134" t="str">
        <f t="shared" si="287"/>
        <v/>
      </c>
      <c r="LS51" s="134" t="str">
        <f t="shared" si="287"/>
        <v/>
      </c>
      <c r="LT51" s="134" t="str">
        <f t="shared" si="287"/>
        <v/>
      </c>
      <c r="LU51" s="134" t="str">
        <f t="shared" si="287"/>
        <v/>
      </c>
      <c r="LV51" s="134" t="str">
        <f t="shared" si="287"/>
        <v/>
      </c>
      <c r="LW51" s="134" t="str">
        <f t="shared" si="287"/>
        <v/>
      </c>
      <c r="LX51" s="134" t="str">
        <f t="shared" si="165"/>
        <v/>
      </c>
      <c r="LY51" s="134" t="str">
        <f t="shared" si="166"/>
        <v>  </v>
      </c>
      <c r="LZ51" s="236">
        <f t="shared" si="285"/>
        <v>0</v>
      </c>
      <c r="MA51" s="235" t="str">
        <f t="shared" si="167"/>
        <v/>
      </c>
      <c r="MB51" s="235" t="str">
        <f t="shared" si="168"/>
        <v/>
      </c>
      <c r="MC51" s="235" t="str">
        <f t="shared" si="169"/>
        <v/>
      </c>
      <c r="MD51" s="235" t="str">
        <f t="shared" si="170"/>
        <v/>
      </c>
      <c r="ME51" s="235" t="str">
        <f t="shared" si="171"/>
        <v/>
      </c>
      <c r="MF51" s="235" t="str">
        <f t="shared" si="172"/>
        <v/>
      </c>
      <c r="MG51" s="235" t="str">
        <f t="shared" si="173"/>
        <v/>
      </c>
      <c r="MH51" s="235" t="str">
        <f t="shared" si="174"/>
        <v/>
      </c>
      <c r="MI51" s="235" t="str">
        <f t="shared" si="175"/>
        <v/>
      </c>
      <c r="MJ51" s="235" t="str">
        <f t="shared" si="176"/>
        <v/>
      </c>
      <c r="MK51" s="235" t="str">
        <f t="shared" si="177"/>
        <v/>
      </c>
      <c r="ML51" s="235" t="str">
        <f t="shared" si="178"/>
        <v/>
      </c>
      <c r="MM51" s="235" t="str">
        <f t="shared" si="179"/>
        <v/>
      </c>
      <c r="MN51" s="235" t="str">
        <f t="shared" si="180"/>
        <v/>
      </c>
      <c r="MO51" s="235" t="str">
        <f t="shared" si="181"/>
        <v/>
      </c>
      <c r="MP51" s="235" t="str">
        <f t="shared" si="182"/>
        <v/>
      </c>
      <c r="MQ51" s="235" t="str">
        <f t="shared" si="183"/>
        <v/>
      </c>
      <c r="MR51" s="235" t="str">
        <f t="shared" si="184"/>
        <v/>
      </c>
      <c r="MS51" s="235" t="str">
        <f t="shared" si="185"/>
        <v/>
      </c>
      <c r="MT51" s="235" t="str">
        <f t="shared" si="186"/>
        <v/>
      </c>
      <c r="MU51" s="134" t="str">
        <f t="shared" si="292"/>
        <v/>
      </c>
      <c r="MV51" s="134" t="str">
        <f t="shared" si="292"/>
        <v/>
      </c>
      <c r="MW51" s="134" t="str">
        <f t="shared" si="290"/>
        <v/>
      </c>
      <c r="MX51" s="134" t="str">
        <f t="shared" si="290"/>
        <v/>
      </c>
      <c r="MY51" s="134" t="str">
        <f t="shared" si="290"/>
        <v/>
      </c>
      <c r="MZ51" s="134" t="str">
        <f t="shared" si="290"/>
        <v/>
      </c>
      <c r="NA51" s="134" t="str">
        <f t="shared" si="290"/>
        <v/>
      </c>
      <c r="NB51" s="134" t="str">
        <f t="shared" si="290"/>
        <v/>
      </c>
      <c r="NC51" s="134" t="str">
        <f t="shared" si="290"/>
        <v/>
      </c>
      <c r="ND51" s="134" t="str">
        <f t="shared" si="290"/>
        <v/>
      </c>
      <c r="NE51" s="134" t="str">
        <f t="shared" si="290"/>
        <v/>
      </c>
      <c r="NF51" s="134" t="str">
        <f t="shared" si="288"/>
        <v/>
      </c>
      <c r="NG51" s="134" t="str">
        <f t="shared" si="288"/>
        <v/>
      </c>
      <c r="NH51" s="134" t="str">
        <f t="shared" si="288"/>
        <v/>
      </c>
      <c r="NI51" s="134" t="str">
        <f t="shared" si="288"/>
        <v/>
      </c>
      <c r="NJ51" s="134" t="str">
        <f t="shared" si="288"/>
        <v/>
      </c>
      <c r="NK51" s="134" t="str">
        <f t="shared" si="288"/>
        <v/>
      </c>
      <c r="NL51" s="134" t="str">
        <f t="shared" si="288"/>
        <v/>
      </c>
      <c r="NM51" s="134" t="str">
        <f t="shared" si="288"/>
        <v/>
      </c>
      <c r="NN51" s="134" t="str">
        <f t="shared" si="288"/>
        <v/>
      </c>
      <c r="NO51" s="134" t="str">
        <f>IF(KE51=KH51,"",IF(KG51="","",IF(KG51&gt;=KONVERSI!$A$14,'KI4'!KH51&amp;" dalam"&amp;MU51&amp;MV51&amp;MW51&amp;MX51&amp;MY51&amp;MZ51&amp;NA51&amp;NB51&amp;NC51&amp;ND51&amp;NE51&amp;NF51&amp;NG51&amp;NH51&amp;NI51&amp;NJ51&amp;NK51&amp;NL51&amp;NM51&amp;NN51,KONVERSI!$C$19&amp;" dalam"&amp;MU51&amp;MV51&amp;MW51&amp;MX51&amp;MY51&amp;MZ51&amp;NA51&amp;NB51&amp;NC51&amp;ND51&amp;NE51&amp;NF51&amp;NG51&amp;NH51&amp;NI51&amp;NJ51&amp;NK51&amp;NL51&amp;NM51&amp;NN51)))</f>
        <v/>
      </c>
      <c r="NP51" s="134" t="str">
        <f t="shared" si="188"/>
        <v/>
      </c>
      <c r="NQ51" s="236">
        <f t="shared" si="286"/>
        <v>0</v>
      </c>
      <c r="NR51" s="134" t="str">
        <f t="shared" si="189"/>
        <v/>
      </c>
    </row>
    <row r="52" ht="27.6" customHeight="1" spans="1:382">
      <c r="A52" s="136"/>
      <c r="B52" s="177">
        <v>44</v>
      </c>
      <c r="C52" s="180">
        <f>siswa!C48</f>
        <v>0</v>
      </c>
      <c r="D52" s="174">
        <f>siswa!D48</f>
        <v>0</v>
      </c>
      <c r="E52" s="181"/>
      <c r="F52" s="176"/>
      <c r="G52" s="176"/>
      <c r="H52" s="176"/>
      <c r="I52" s="176"/>
      <c r="J52" s="176"/>
      <c r="K52" s="176"/>
      <c r="L52" s="176"/>
      <c r="M52" s="194" t="str">
        <f t="shared" si="192"/>
        <v/>
      </c>
      <c r="N52" s="181"/>
      <c r="O52" s="176"/>
      <c r="P52" s="176"/>
      <c r="Q52" s="176"/>
      <c r="R52" s="176"/>
      <c r="S52" s="176"/>
      <c r="T52" s="176"/>
      <c r="U52" s="176"/>
      <c r="V52" s="194" t="str">
        <f t="shared" si="193"/>
        <v/>
      </c>
      <c r="W52" s="181"/>
      <c r="X52" s="176"/>
      <c r="Y52" s="176"/>
      <c r="Z52" s="176"/>
      <c r="AA52" s="176"/>
      <c r="AB52" s="176"/>
      <c r="AC52" s="176"/>
      <c r="AD52" s="176"/>
      <c r="AE52" s="194" t="str">
        <f t="shared" si="194"/>
        <v/>
      </c>
      <c r="AF52" s="181"/>
      <c r="AG52" s="176"/>
      <c r="AH52" s="176"/>
      <c r="AI52" s="176"/>
      <c r="AJ52" s="176"/>
      <c r="AK52" s="176"/>
      <c r="AL52" s="176"/>
      <c r="AM52" s="176"/>
      <c r="AN52" s="194" t="str">
        <f t="shared" si="195"/>
        <v/>
      </c>
      <c r="AO52" s="181"/>
      <c r="AP52" s="176"/>
      <c r="AQ52" s="176"/>
      <c r="AR52" s="176"/>
      <c r="AS52" s="176"/>
      <c r="AT52" s="176"/>
      <c r="AU52" s="176"/>
      <c r="AV52" s="176"/>
      <c r="AW52" s="194" t="str">
        <f t="shared" si="112"/>
        <v/>
      </c>
      <c r="AX52" s="181"/>
      <c r="AY52" s="176"/>
      <c r="AZ52" s="176"/>
      <c r="BA52" s="176"/>
      <c r="BB52" s="176"/>
      <c r="BC52" s="176"/>
      <c r="BD52" s="176"/>
      <c r="BE52" s="176"/>
      <c r="BF52" s="194" t="str">
        <f t="shared" si="196"/>
        <v/>
      </c>
      <c r="BG52" s="181"/>
      <c r="BH52" s="176"/>
      <c r="BI52" s="176"/>
      <c r="BJ52" s="176"/>
      <c r="BK52" s="176"/>
      <c r="BL52" s="176"/>
      <c r="BM52" s="176"/>
      <c r="BN52" s="176"/>
      <c r="BO52" s="194" t="str">
        <f t="shared" si="113"/>
        <v/>
      </c>
      <c r="BP52" s="181"/>
      <c r="BQ52" s="176"/>
      <c r="BR52" s="176"/>
      <c r="BS52" s="176"/>
      <c r="BT52" s="176"/>
      <c r="BU52" s="176"/>
      <c r="BV52" s="176"/>
      <c r="BW52" s="176"/>
      <c r="BX52" s="194" t="str">
        <f t="shared" si="114"/>
        <v/>
      </c>
      <c r="BY52" s="181"/>
      <c r="BZ52" s="176"/>
      <c r="CA52" s="176"/>
      <c r="CB52" s="176"/>
      <c r="CC52" s="176"/>
      <c r="CD52" s="176"/>
      <c r="CE52" s="176"/>
      <c r="CF52" s="176"/>
      <c r="CG52" s="194" t="str">
        <f t="shared" si="115"/>
        <v/>
      </c>
      <c r="CH52" s="181"/>
      <c r="CI52" s="176"/>
      <c r="CJ52" s="176"/>
      <c r="CK52" s="176"/>
      <c r="CL52" s="176"/>
      <c r="CM52" s="176"/>
      <c r="CN52" s="176"/>
      <c r="CO52" s="176"/>
      <c r="CP52" s="194" t="str">
        <f t="shared" si="197"/>
        <v/>
      </c>
      <c r="CQ52" s="181"/>
      <c r="CR52" s="176"/>
      <c r="CS52" s="176"/>
      <c r="CT52" s="176"/>
      <c r="CU52" s="176"/>
      <c r="CV52" s="176"/>
      <c r="CW52" s="176"/>
      <c r="CX52" s="176"/>
      <c r="CY52" s="194" t="str">
        <f t="shared" si="116"/>
        <v/>
      </c>
      <c r="CZ52" s="181"/>
      <c r="DA52" s="176"/>
      <c r="DB52" s="176"/>
      <c r="DC52" s="176"/>
      <c r="DD52" s="176"/>
      <c r="DE52" s="176"/>
      <c r="DF52" s="176"/>
      <c r="DG52" s="176"/>
      <c r="DH52" s="194" t="str">
        <f t="shared" si="198"/>
        <v/>
      </c>
      <c r="DI52" s="181"/>
      <c r="DJ52" s="176"/>
      <c r="DK52" s="176"/>
      <c r="DL52" s="176"/>
      <c r="DM52" s="176"/>
      <c r="DN52" s="176"/>
      <c r="DO52" s="176"/>
      <c r="DP52" s="176"/>
      <c r="DQ52" s="194" t="str">
        <f t="shared" si="117"/>
        <v/>
      </c>
      <c r="DR52" s="181"/>
      <c r="DS52" s="176"/>
      <c r="DT52" s="176"/>
      <c r="DU52" s="176"/>
      <c r="DV52" s="176"/>
      <c r="DW52" s="176"/>
      <c r="DX52" s="176"/>
      <c r="DY52" s="176"/>
      <c r="DZ52" s="194" t="str">
        <f t="shared" si="199"/>
        <v/>
      </c>
      <c r="EA52" s="181"/>
      <c r="EB52" s="176"/>
      <c r="EC52" s="176"/>
      <c r="ED52" s="176"/>
      <c r="EE52" s="176"/>
      <c r="EF52" s="176"/>
      <c r="EG52" s="176"/>
      <c r="EH52" s="176"/>
      <c r="EI52" s="194" t="str">
        <f t="shared" si="200"/>
        <v/>
      </c>
      <c r="EJ52" s="181"/>
      <c r="EK52" s="176"/>
      <c r="EL52" s="176"/>
      <c r="EM52" s="176"/>
      <c r="EN52" s="176"/>
      <c r="EO52" s="176"/>
      <c r="EP52" s="176"/>
      <c r="EQ52" s="176"/>
      <c r="ER52" s="194" t="str">
        <f t="shared" si="201"/>
        <v/>
      </c>
      <c r="ES52" s="181"/>
      <c r="ET52" s="176"/>
      <c r="EU52" s="176"/>
      <c r="EV52" s="176"/>
      <c r="EW52" s="176"/>
      <c r="EX52" s="176"/>
      <c r="EY52" s="176"/>
      <c r="EZ52" s="176"/>
      <c r="FA52" s="194" t="str">
        <f t="shared" si="202"/>
        <v/>
      </c>
      <c r="FB52" s="181"/>
      <c r="FC52" s="176"/>
      <c r="FD52" s="176"/>
      <c r="FE52" s="176"/>
      <c r="FF52" s="176"/>
      <c r="FG52" s="176"/>
      <c r="FH52" s="176"/>
      <c r="FI52" s="176"/>
      <c r="FJ52" s="194" t="str">
        <f t="shared" si="203"/>
        <v/>
      </c>
      <c r="FK52" s="181"/>
      <c r="FL52" s="176"/>
      <c r="FM52" s="176"/>
      <c r="FN52" s="176"/>
      <c r="FO52" s="176"/>
      <c r="FP52" s="176"/>
      <c r="FQ52" s="176"/>
      <c r="FR52" s="176"/>
      <c r="FS52" s="194" t="str">
        <f t="shared" si="204"/>
        <v/>
      </c>
      <c r="FT52" s="181"/>
      <c r="FU52" s="176"/>
      <c r="FV52" s="176"/>
      <c r="FW52" s="176"/>
      <c r="FX52" s="176"/>
      <c r="FY52" s="176"/>
      <c r="FZ52" s="176"/>
      <c r="GA52" s="176"/>
      <c r="GB52" s="194" t="str">
        <f t="shared" si="118"/>
        <v/>
      </c>
      <c r="GC52" s="194" t="str">
        <f t="shared" si="119"/>
        <v/>
      </c>
      <c r="GD52" s="194" t="str">
        <f>IF(GC52="","",IF(GC52&gt;=KONVERSI!$A$5,KONVERSI!$D$5,IF(GC52&gt;=KONVERSI!$A$6,KONVERSI!$D$6,IF(GC52&gt;=KONVERSI!$A$7,KONVERSI!$D$7,KONVERSI!$D$8))))</f>
        <v/>
      </c>
      <c r="GE52" s="194" t="str">
        <f t="shared" si="120"/>
        <v/>
      </c>
      <c r="GF52" s="222"/>
      <c r="GG52" s="223">
        <f t="shared" si="205"/>
        <v>0</v>
      </c>
      <c r="GH52" s="194">
        <f t="shared" si="206"/>
        <v>0</v>
      </c>
      <c r="GI52" s="194">
        <f t="shared" si="207"/>
        <v>0</v>
      </c>
      <c r="GJ52" s="194">
        <f t="shared" si="208"/>
        <v>0</v>
      </c>
      <c r="GK52" s="194">
        <f t="shared" si="209"/>
        <v>0</v>
      </c>
      <c r="GL52" s="194">
        <f t="shared" si="210"/>
        <v>0</v>
      </c>
      <c r="GM52" s="194">
        <f t="shared" si="211"/>
        <v>0</v>
      </c>
      <c r="GN52" s="194">
        <f t="shared" si="212"/>
        <v>0</v>
      </c>
      <c r="GO52" s="194">
        <f t="shared" si="213"/>
        <v>0</v>
      </c>
      <c r="GP52" s="194">
        <f t="shared" si="214"/>
        <v>0</v>
      </c>
      <c r="GQ52" s="194">
        <f t="shared" si="215"/>
        <v>0</v>
      </c>
      <c r="GR52" s="194">
        <f t="shared" si="216"/>
        <v>0</v>
      </c>
      <c r="GS52" s="194">
        <f t="shared" si="217"/>
        <v>0</v>
      </c>
      <c r="GT52" s="194">
        <f t="shared" si="218"/>
        <v>0</v>
      </c>
      <c r="GU52" s="194">
        <f t="shared" si="219"/>
        <v>0</v>
      </c>
      <c r="GV52" s="194">
        <f t="shared" si="220"/>
        <v>0</v>
      </c>
      <c r="GW52" s="194">
        <f t="shared" si="221"/>
        <v>0</v>
      </c>
      <c r="GX52" s="194">
        <f t="shared" si="222"/>
        <v>0</v>
      </c>
      <c r="GY52" s="194">
        <f t="shared" si="223"/>
        <v>0</v>
      </c>
      <c r="GZ52" s="194">
        <f t="shared" si="224"/>
        <v>0</v>
      </c>
      <c r="HA52" s="194">
        <f t="shared" si="225"/>
        <v>0</v>
      </c>
      <c r="HB52" s="194">
        <f t="shared" si="226"/>
        <v>0</v>
      </c>
      <c r="HC52" s="194">
        <f t="shared" si="227"/>
        <v>0</v>
      </c>
      <c r="HD52" s="194">
        <f t="shared" si="228"/>
        <v>0</v>
      </c>
      <c r="HE52" s="194">
        <f t="shared" si="229"/>
        <v>0</v>
      </c>
      <c r="HF52" s="194">
        <f t="shared" si="230"/>
        <v>0</v>
      </c>
      <c r="HG52" s="194">
        <f t="shared" si="231"/>
        <v>0</v>
      </c>
      <c r="HH52" s="194">
        <f t="shared" si="232"/>
        <v>0</v>
      </c>
      <c r="HI52" s="194">
        <f t="shared" si="233"/>
        <v>0</v>
      </c>
      <c r="HJ52" s="194">
        <f t="shared" si="234"/>
        <v>0</v>
      </c>
      <c r="HK52" s="194">
        <f t="shared" si="235"/>
        <v>0</v>
      </c>
      <c r="HL52" s="194">
        <f t="shared" si="236"/>
        <v>0</v>
      </c>
      <c r="HM52" s="194">
        <f t="shared" si="237"/>
        <v>0</v>
      </c>
      <c r="HN52" s="194">
        <f t="shared" si="238"/>
        <v>0</v>
      </c>
      <c r="HO52" s="194">
        <f t="shared" si="239"/>
        <v>0</v>
      </c>
      <c r="HP52" s="194">
        <f t="shared" si="240"/>
        <v>0</v>
      </c>
      <c r="HQ52" s="194">
        <f t="shared" si="241"/>
        <v>0</v>
      </c>
      <c r="HR52" s="194">
        <f t="shared" si="242"/>
        <v>0</v>
      </c>
      <c r="HS52" s="194">
        <f t="shared" si="243"/>
        <v>0</v>
      </c>
      <c r="HT52" s="194">
        <f t="shared" si="244"/>
        <v>0</v>
      </c>
      <c r="HU52" s="194">
        <f t="shared" si="245"/>
        <v>0</v>
      </c>
      <c r="HV52" s="194">
        <f t="shared" si="246"/>
        <v>0</v>
      </c>
      <c r="HW52" s="194">
        <f t="shared" si="247"/>
        <v>0</v>
      </c>
      <c r="HX52" s="194">
        <f t="shared" si="248"/>
        <v>0</v>
      </c>
      <c r="HY52" s="194">
        <f t="shared" si="249"/>
        <v>0</v>
      </c>
      <c r="HZ52" s="194">
        <f t="shared" si="250"/>
        <v>0</v>
      </c>
      <c r="IA52" s="194">
        <f t="shared" si="251"/>
        <v>0</v>
      </c>
      <c r="IB52" s="194">
        <f t="shared" si="252"/>
        <v>0</v>
      </c>
      <c r="IC52" s="194">
        <f t="shared" si="253"/>
        <v>0</v>
      </c>
      <c r="ID52" s="194">
        <f t="shared" si="254"/>
        <v>0</v>
      </c>
      <c r="IE52" s="194">
        <f t="shared" si="255"/>
        <v>0</v>
      </c>
      <c r="IF52" s="194">
        <f t="shared" si="256"/>
        <v>0</v>
      </c>
      <c r="IG52" s="194">
        <f t="shared" si="257"/>
        <v>0</v>
      </c>
      <c r="IH52" s="194">
        <f t="shared" si="258"/>
        <v>0</v>
      </c>
      <c r="II52" s="194">
        <f t="shared" si="259"/>
        <v>0</v>
      </c>
      <c r="IJ52" s="194">
        <f t="shared" si="260"/>
        <v>0</v>
      </c>
      <c r="IK52" s="194">
        <f t="shared" si="261"/>
        <v>0</v>
      </c>
      <c r="IL52" s="194">
        <f t="shared" si="262"/>
        <v>0</v>
      </c>
      <c r="IM52" s="194">
        <f t="shared" si="263"/>
        <v>0</v>
      </c>
      <c r="IN52" s="194">
        <f t="shared" si="264"/>
        <v>0</v>
      </c>
      <c r="IO52" s="194">
        <f t="shared" si="265"/>
        <v>0</v>
      </c>
      <c r="IP52" s="194">
        <f t="shared" si="266"/>
        <v>0</v>
      </c>
      <c r="IQ52" s="194">
        <f t="shared" si="267"/>
        <v>0</v>
      </c>
      <c r="IR52" s="194">
        <f t="shared" si="268"/>
        <v>0</v>
      </c>
      <c r="IS52" s="194">
        <f t="shared" si="269"/>
        <v>0</v>
      </c>
      <c r="IT52" s="194">
        <f t="shared" si="270"/>
        <v>0</v>
      </c>
      <c r="IU52" s="194">
        <f t="shared" si="271"/>
        <v>0</v>
      </c>
      <c r="IV52" s="194">
        <f t="shared" si="272"/>
        <v>0</v>
      </c>
      <c r="IW52" s="194">
        <f t="shared" si="273"/>
        <v>0</v>
      </c>
      <c r="IX52" s="194">
        <f t="shared" si="274"/>
        <v>0</v>
      </c>
      <c r="IY52" s="194">
        <f t="shared" si="275"/>
        <v>0</v>
      </c>
      <c r="IZ52" s="194">
        <f t="shared" si="276"/>
        <v>0</v>
      </c>
      <c r="JA52" s="194">
        <f t="shared" si="277"/>
        <v>0</v>
      </c>
      <c r="JB52" s="194">
        <f t="shared" si="278"/>
        <v>0</v>
      </c>
      <c r="JC52" s="194">
        <f t="shared" si="279"/>
        <v>0</v>
      </c>
      <c r="JD52" s="194">
        <f t="shared" si="280"/>
        <v>0</v>
      </c>
      <c r="JE52" s="194">
        <f t="shared" si="281"/>
        <v>0</v>
      </c>
      <c r="JF52" s="194">
        <f t="shared" si="282"/>
        <v>0</v>
      </c>
      <c r="JG52" s="194">
        <f t="shared" si="283"/>
        <v>0</v>
      </c>
      <c r="JH52" s="194">
        <f t="shared" si="284"/>
        <v>0</v>
      </c>
      <c r="JI52" s="228">
        <v>44</v>
      </c>
      <c r="JJ52" s="229" t="str">
        <f t="shared" si="121"/>
        <v/>
      </c>
      <c r="JK52" s="229" t="str">
        <f t="shared" si="122"/>
        <v/>
      </c>
      <c r="JL52" s="229" t="str">
        <f t="shared" si="123"/>
        <v/>
      </c>
      <c r="JM52" s="229" t="str">
        <f t="shared" si="124"/>
        <v/>
      </c>
      <c r="JN52" s="229" t="str">
        <f t="shared" si="125"/>
        <v/>
      </c>
      <c r="JO52" s="229" t="str">
        <f t="shared" si="126"/>
        <v/>
      </c>
      <c r="JP52" s="229" t="str">
        <f t="shared" si="127"/>
        <v/>
      </c>
      <c r="JQ52" s="229" t="str">
        <f t="shared" si="128"/>
        <v/>
      </c>
      <c r="JR52" s="229" t="str">
        <f t="shared" si="129"/>
        <v/>
      </c>
      <c r="JS52" s="229" t="str">
        <f t="shared" si="130"/>
        <v/>
      </c>
      <c r="JT52" s="229" t="str">
        <f t="shared" si="131"/>
        <v/>
      </c>
      <c r="JU52" s="229" t="str">
        <f t="shared" si="132"/>
        <v/>
      </c>
      <c r="JV52" s="229" t="str">
        <f t="shared" si="133"/>
        <v/>
      </c>
      <c r="JW52" s="229" t="str">
        <f t="shared" si="134"/>
        <v/>
      </c>
      <c r="JX52" s="229" t="str">
        <f t="shared" si="135"/>
        <v/>
      </c>
      <c r="JY52" s="229" t="str">
        <f t="shared" si="136"/>
        <v/>
      </c>
      <c r="JZ52" s="229" t="str">
        <f t="shared" si="137"/>
        <v/>
      </c>
      <c r="KA52" s="229" t="str">
        <f t="shared" si="138"/>
        <v/>
      </c>
      <c r="KB52" s="229" t="str">
        <f t="shared" si="139"/>
        <v/>
      </c>
      <c r="KC52" s="229" t="str">
        <f t="shared" si="140"/>
        <v/>
      </c>
      <c r="KD52" s="231" t="str">
        <f t="shared" si="141"/>
        <v/>
      </c>
      <c r="KE52" s="232" t="str">
        <f>IF(KD52="","",IF(KD52&gt;=KONVERSI!$A$5,KONVERSI!$E$12,IF(KD52&gt;=KONVERSI!$A$6,KONVERSI!$E$13,IF(KD52&gt;=KONVERSI!$A$7,KONVERSI!$E$14,KONVERSI!$E$15))))</f>
        <v/>
      </c>
      <c r="KF52" s="233" t="str">
        <f t="shared" si="142"/>
        <v/>
      </c>
      <c r="KG52" s="234" t="str">
        <f t="shared" si="143"/>
        <v/>
      </c>
      <c r="KH52" s="232" t="str">
        <f>IF(KG52="","",IF(KG52&gt;=KONVERSI!$A$5,KONVERSI!$E$12,IF(KG52&gt;=KONVERSI!$A$6,KONVERSI!$E$13,IF(KG52&gt;=KONVERSI!$A$7,KONVERSI!$E$14,KONVERSI!$E$15))))</f>
        <v/>
      </c>
      <c r="KI52" s="134" t="str">
        <f>IF(GC52="","",IF(GC52&lt;$GD$3," "&amp;KONVERSI!$C$19&amp;INDEX($JJ$8:$KC$8,MATCH(KG53,JJ53:KC53,0))&amp;".",IF(GC52=0,"",IF(KG52&lt;&gt;0,KF52&amp;KH52&amp;".",KF52&amp;"."))))</f>
        <v/>
      </c>
      <c r="KJ52" s="235" t="str">
        <f t="shared" si="144"/>
        <v/>
      </c>
      <c r="KK52" s="235" t="str">
        <f t="shared" si="145"/>
        <v/>
      </c>
      <c r="KL52" s="235" t="str">
        <f t="shared" si="146"/>
        <v/>
      </c>
      <c r="KM52" s="235" t="str">
        <f t="shared" si="147"/>
        <v/>
      </c>
      <c r="KN52" s="235" t="str">
        <f t="shared" si="148"/>
        <v/>
      </c>
      <c r="KO52" s="235" t="str">
        <f t="shared" si="149"/>
        <v/>
      </c>
      <c r="KP52" s="235" t="str">
        <f t="shared" si="150"/>
        <v/>
      </c>
      <c r="KQ52" s="235" t="str">
        <f t="shared" si="151"/>
        <v/>
      </c>
      <c r="KR52" s="235" t="str">
        <f t="shared" si="152"/>
        <v/>
      </c>
      <c r="KS52" s="235" t="str">
        <f t="shared" si="153"/>
        <v/>
      </c>
      <c r="KT52" s="235" t="str">
        <f t="shared" si="154"/>
        <v/>
      </c>
      <c r="KU52" s="235" t="str">
        <f t="shared" si="155"/>
        <v/>
      </c>
      <c r="KV52" s="235" t="str">
        <f t="shared" si="156"/>
        <v/>
      </c>
      <c r="KW52" s="235" t="str">
        <f t="shared" si="157"/>
        <v/>
      </c>
      <c r="KX52" s="235" t="str">
        <f t="shared" si="158"/>
        <v/>
      </c>
      <c r="KY52" s="235" t="str">
        <f t="shared" si="159"/>
        <v/>
      </c>
      <c r="KZ52" s="235" t="str">
        <f t="shared" si="160"/>
        <v/>
      </c>
      <c r="LA52" s="235" t="str">
        <f t="shared" si="161"/>
        <v/>
      </c>
      <c r="LB52" s="235" t="str">
        <f t="shared" si="162"/>
        <v/>
      </c>
      <c r="LC52" s="235" t="str">
        <f t="shared" si="163"/>
        <v/>
      </c>
      <c r="LD52" s="134" t="str">
        <f t="shared" si="291"/>
        <v/>
      </c>
      <c r="LE52" s="134" t="str">
        <f t="shared" si="291"/>
        <v/>
      </c>
      <c r="LF52" s="134" t="str">
        <f t="shared" si="289"/>
        <v/>
      </c>
      <c r="LG52" s="134" t="str">
        <f t="shared" si="289"/>
        <v/>
      </c>
      <c r="LH52" s="134" t="str">
        <f t="shared" si="289"/>
        <v/>
      </c>
      <c r="LI52" s="134" t="str">
        <f t="shared" si="289"/>
        <v/>
      </c>
      <c r="LJ52" s="134" t="str">
        <f t="shared" si="289"/>
        <v/>
      </c>
      <c r="LK52" s="134" t="str">
        <f t="shared" si="289"/>
        <v/>
      </c>
      <c r="LL52" s="134" t="str">
        <f t="shared" si="289"/>
        <v/>
      </c>
      <c r="LM52" s="134" t="str">
        <f t="shared" si="289"/>
        <v/>
      </c>
      <c r="LN52" s="134" t="str">
        <f t="shared" si="289"/>
        <v/>
      </c>
      <c r="LO52" s="134" t="str">
        <f t="shared" si="287"/>
        <v/>
      </c>
      <c r="LP52" s="134" t="str">
        <f t="shared" si="287"/>
        <v/>
      </c>
      <c r="LQ52" s="134" t="str">
        <f t="shared" si="287"/>
        <v/>
      </c>
      <c r="LR52" s="134" t="str">
        <f t="shared" si="287"/>
        <v/>
      </c>
      <c r="LS52" s="134" t="str">
        <f t="shared" si="287"/>
        <v/>
      </c>
      <c r="LT52" s="134" t="str">
        <f t="shared" si="287"/>
        <v/>
      </c>
      <c r="LU52" s="134" t="str">
        <f t="shared" si="287"/>
        <v/>
      </c>
      <c r="LV52" s="134" t="str">
        <f t="shared" si="287"/>
        <v/>
      </c>
      <c r="LW52" s="134" t="str">
        <f t="shared" si="287"/>
        <v/>
      </c>
      <c r="LX52" s="134" t="str">
        <f t="shared" si="165"/>
        <v/>
      </c>
      <c r="LY52" s="134" t="str">
        <f t="shared" si="166"/>
        <v>  </v>
      </c>
      <c r="LZ52" s="236">
        <f t="shared" si="285"/>
        <v>0</v>
      </c>
      <c r="MA52" s="235" t="str">
        <f t="shared" si="167"/>
        <v/>
      </c>
      <c r="MB52" s="235" t="str">
        <f t="shared" si="168"/>
        <v/>
      </c>
      <c r="MC52" s="235" t="str">
        <f t="shared" si="169"/>
        <v/>
      </c>
      <c r="MD52" s="235" t="str">
        <f t="shared" si="170"/>
        <v/>
      </c>
      <c r="ME52" s="235" t="str">
        <f t="shared" si="171"/>
        <v/>
      </c>
      <c r="MF52" s="235" t="str">
        <f t="shared" si="172"/>
        <v/>
      </c>
      <c r="MG52" s="235" t="str">
        <f t="shared" si="173"/>
        <v/>
      </c>
      <c r="MH52" s="235" t="str">
        <f t="shared" si="174"/>
        <v/>
      </c>
      <c r="MI52" s="235" t="str">
        <f t="shared" si="175"/>
        <v/>
      </c>
      <c r="MJ52" s="235" t="str">
        <f t="shared" si="176"/>
        <v/>
      </c>
      <c r="MK52" s="235" t="str">
        <f t="shared" si="177"/>
        <v/>
      </c>
      <c r="ML52" s="235" t="str">
        <f t="shared" si="178"/>
        <v/>
      </c>
      <c r="MM52" s="235" t="str">
        <f t="shared" si="179"/>
        <v/>
      </c>
      <c r="MN52" s="235" t="str">
        <f t="shared" si="180"/>
        <v/>
      </c>
      <c r="MO52" s="235" t="str">
        <f t="shared" si="181"/>
        <v/>
      </c>
      <c r="MP52" s="235" t="str">
        <f t="shared" si="182"/>
        <v/>
      </c>
      <c r="MQ52" s="235" t="str">
        <f t="shared" si="183"/>
        <v/>
      </c>
      <c r="MR52" s="235" t="str">
        <f t="shared" si="184"/>
        <v/>
      </c>
      <c r="MS52" s="235" t="str">
        <f t="shared" si="185"/>
        <v/>
      </c>
      <c r="MT52" s="235" t="str">
        <f t="shared" si="186"/>
        <v/>
      </c>
      <c r="MU52" s="134" t="str">
        <f t="shared" si="292"/>
        <v/>
      </c>
      <c r="MV52" s="134" t="str">
        <f t="shared" si="292"/>
        <v/>
      </c>
      <c r="MW52" s="134" t="str">
        <f t="shared" si="290"/>
        <v/>
      </c>
      <c r="MX52" s="134" t="str">
        <f t="shared" si="290"/>
        <v/>
      </c>
      <c r="MY52" s="134" t="str">
        <f t="shared" si="290"/>
        <v/>
      </c>
      <c r="MZ52" s="134" t="str">
        <f t="shared" si="290"/>
        <v/>
      </c>
      <c r="NA52" s="134" t="str">
        <f t="shared" si="290"/>
        <v/>
      </c>
      <c r="NB52" s="134" t="str">
        <f t="shared" si="290"/>
        <v/>
      </c>
      <c r="NC52" s="134" t="str">
        <f t="shared" si="290"/>
        <v/>
      </c>
      <c r="ND52" s="134" t="str">
        <f t="shared" si="290"/>
        <v/>
      </c>
      <c r="NE52" s="134" t="str">
        <f t="shared" si="290"/>
        <v/>
      </c>
      <c r="NF52" s="134" t="str">
        <f t="shared" si="288"/>
        <v/>
      </c>
      <c r="NG52" s="134" t="str">
        <f t="shared" si="288"/>
        <v/>
      </c>
      <c r="NH52" s="134" t="str">
        <f t="shared" si="288"/>
        <v/>
      </c>
      <c r="NI52" s="134" t="str">
        <f t="shared" si="288"/>
        <v/>
      </c>
      <c r="NJ52" s="134" t="str">
        <f t="shared" si="288"/>
        <v/>
      </c>
      <c r="NK52" s="134" t="str">
        <f t="shared" si="288"/>
        <v/>
      </c>
      <c r="NL52" s="134" t="str">
        <f t="shared" si="288"/>
        <v/>
      </c>
      <c r="NM52" s="134" t="str">
        <f t="shared" si="288"/>
        <v/>
      </c>
      <c r="NN52" s="134" t="str">
        <f t="shared" si="288"/>
        <v/>
      </c>
      <c r="NO52" s="134" t="str">
        <f>IF(KE52=KH52,"",IF(KG52="","",IF(KG52&gt;=KONVERSI!$A$14,'KI4'!KH52&amp;" dalam"&amp;MU52&amp;MV52&amp;MW52&amp;MX52&amp;MY52&amp;MZ52&amp;NA52&amp;NB52&amp;NC52&amp;ND52&amp;NE52&amp;NF52&amp;NG52&amp;NH52&amp;NI52&amp;NJ52&amp;NK52&amp;NL52&amp;NM52&amp;NN52,KONVERSI!$C$19&amp;" dalam"&amp;MU52&amp;MV52&amp;MW52&amp;MX52&amp;MY52&amp;MZ52&amp;NA52&amp;NB52&amp;NC52&amp;ND52&amp;NE52&amp;NF52&amp;NG52&amp;NH52&amp;NI52&amp;NJ52&amp;NK52&amp;NL52&amp;NM52&amp;NN52)))</f>
        <v/>
      </c>
      <c r="NP52" s="134" t="str">
        <f t="shared" si="188"/>
        <v/>
      </c>
      <c r="NQ52" s="236">
        <f t="shared" si="286"/>
        <v>0</v>
      </c>
      <c r="NR52" s="134" t="str">
        <f t="shared" si="189"/>
        <v/>
      </c>
    </row>
    <row r="53" ht="27.6" customHeight="1" spans="1:382">
      <c r="A53" s="136"/>
      <c r="B53" s="177">
        <v>45</v>
      </c>
      <c r="C53" s="180">
        <f>siswa!C49</f>
        <v>0</v>
      </c>
      <c r="D53" s="174">
        <f>siswa!D49</f>
        <v>0</v>
      </c>
      <c r="E53" s="181"/>
      <c r="F53" s="176"/>
      <c r="G53" s="176"/>
      <c r="H53" s="176"/>
      <c r="I53" s="176"/>
      <c r="J53" s="176"/>
      <c r="K53" s="176"/>
      <c r="L53" s="176"/>
      <c r="M53" s="194" t="str">
        <f t="shared" si="192"/>
        <v/>
      </c>
      <c r="N53" s="181"/>
      <c r="O53" s="176"/>
      <c r="P53" s="176"/>
      <c r="Q53" s="176"/>
      <c r="R53" s="176"/>
      <c r="S53" s="176"/>
      <c r="T53" s="176"/>
      <c r="U53" s="176"/>
      <c r="V53" s="194" t="str">
        <f t="shared" si="193"/>
        <v/>
      </c>
      <c r="W53" s="181"/>
      <c r="X53" s="176"/>
      <c r="Y53" s="176"/>
      <c r="Z53" s="176"/>
      <c r="AA53" s="176"/>
      <c r="AB53" s="176"/>
      <c r="AC53" s="176"/>
      <c r="AD53" s="176"/>
      <c r="AE53" s="194" t="str">
        <f t="shared" si="194"/>
        <v/>
      </c>
      <c r="AF53" s="181"/>
      <c r="AG53" s="176"/>
      <c r="AH53" s="176"/>
      <c r="AI53" s="176"/>
      <c r="AJ53" s="176"/>
      <c r="AK53" s="176"/>
      <c r="AL53" s="176"/>
      <c r="AM53" s="176"/>
      <c r="AN53" s="194" t="str">
        <f t="shared" si="195"/>
        <v/>
      </c>
      <c r="AO53" s="181"/>
      <c r="AP53" s="176"/>
      <c r="AQ53" s="176"/>
      <c r="AR53" s="176"/>
      <c r="AS53" s="176"/>
      <c r="AT53" s="176"/>
      <c r="AU53" s="176"/>
      <c r="AV53" s="176"/>
      <c r="AW53" s="194" t="str">
        <f t="shared" si="112"/>
        <v/>
      </c>
      <c r="AX53" s="181"/>
      <c r="AY53" s="176"/>
      <c r="AZ53" s="176"/>
      <c r="BA53" s="176"/>
      <c r="BB53" s="176"/>
      <c r="BC53" s="176"/>
      <c r="BD53" s="176"/>
      <c r="BE53" s="176"/>
      <c r="BF53" s="194" t="str">
        <f t="shared" si="196"/>
        <v/>
      </c>
      <c r="BG53" s="181"/>
      <c r="BH53" s="176"/>
      <c r="BI53" s="176"/>
      <c r="BJ53" s="176"/>
      <c r="BK53" s="176"/>
      <c r="BL53" s="176"/>
      <c r="BM53" s="176"/>
      <c r="BN53" s="176"/>
      <c r="BO53" s="194" t="str">
        <f t="shared" si="113"/>
        <v/>
      </c>
      <c r="BP53" s="181"/>
      <c r="BQ53" s="176"/>
      <c r="BR53" s="176"/>
      <c r="BS53" s="176"/>
      <c r="BT53" s="176"/>
      <c r="BU53" s="176"/>
      <c r="BV53" s="176"/>
      <c r="BW53" s="176"/>
      <c r="BX53" s="194" t="str">
        <f t="shared" si="114"/>
        <v/>
      </c>
      <c r="BY53" s="181"/>
      <c r="BZ53" s="176"/>
      <c r="CA53" s="176"/>
      <c r="CB53" s="176"/>
      <c r="CC53" s="176"/>
      <c r="CD53" s="176"/>
      <c r="CE53" s="176"/>
      <c r="CF53" s="176"/>
      <c r="CG53" s="194" t="str">
        <f t="shared" si="115"/>
        <v/>
      </c>
      <c r="CH53" s="181"/>
      <c r="CI53" s="176"/>
      <c r="CJ53" s="176"/>
      <c r="CK53" s="176"/>
      <c r="CL53" s="176"/>
      <c r="CM53" s="176"/>
      <c r="CN53" s="176"/>
      <c r="CO53" s="176"/>
      <c r="CP53" s="194" t="str">
        <f t="shared" si="197"/>
        <v/>
      </c>
      <c r="CQ53" s="181"/>
      <c r="CR53" s="176"/>
      <c r="CS53" s="176"/>
      <c r="CT53" s="176"/>
      <c r="CU53" s="176"/>
      <c r="CV53" s="176"/>
      <c r="CW53" s="176"/>
      <c r="CX53" s="176"/>
      <c r="CY53" s="194" t="str">
        <f t="shared" si="116"/>
        <v/>
      </c>
      <c r="CZ53" s="181"/>
      <c r="DA53" s="176"/>
      <c r="DB53" s="176"/>
      <c r="DC53" s="176"/>
      <c r="DD53" s="176"/>
      <c r="DE53" s="176"/>
      <c r="DF53" s="176"/>
      <c r="DG53" s="176"/>
      <c r="DH53" s="194" t="str">
        <f t="shared" si="198"/>
        <v/>
      </c>
      <c r="DI53" s="181"/>
      <c r="DJ53" s="176"/>
      <c r="DK53" s="176"/>
      <c r="DL53" s="176"/>
      <c r="DM53" s="176"/>
      <c r="DN53" s="176"/>
      <c r="DO53" s="176"/>
      <c r="DP53" s="176"/>
      <c r="DQ53" s="194" t="str">
        <f t="shared" si="117"/>
        <v/>
      </c>
      <c r="DR53" s="181"/>
      <c r="DS53" s="176"/>
      <c r="DT53" s="176"/>
      <c r="DU53" s="176"/>
      <c r="DV53" s="176"/>
      <c r="DW53" s="176"/>
      <c r="DX53" s="176"/>
      <c r="DY53" s="176"/>
      <c r="DZ53" s="194" t="str">
        <f t="shared" si="199"/>
        <v/>
      </c>
      <c r="EA53" s="181"/>
      <c r="EB53" s="176"/>
      <c r="EC53" s="176"/>
      <c r="ED53" s="176"/>
      <c r="EE53" s="176"/>
      <c r="EF53" s="176"/>
      <c r="EG53" s="176"/>
      <c r="EH53" s="176"/>
      <c r="EI53" s="194" t="str">
        <f t="shared" si="200"/>
        <v/>
      </c>
      <c r="EJ53" s="181"/>
      <c r="EK53" s="176"/>
      <c r="EL53" s="176"/>
      <c r="EM53" s="176"/>
      <c r="EN53" s="176"/>
      <c r="EO53" s="176"/>
      <c r="EP53" s="176"/>
      <c r="EQ53" s="176"/>
      <c r="ER53" s="194" t="str">
        <f t="shared" si="201"/>
        <v/>
      </c>
      <c r="ES53" s="181"/>
      <c r="ET53" s="176"/>
      <c r="EU53" s="176"/>
      <c r="EV53" s="176"/>
      <c r="EW53" s="176"/>
      <c r="EX53" s="176"/>
      <c r="EY53" s="176"/>
      <c r="EZ53" s="176"/>
      <c r="FA53" s="194" t="str">
        <f t="shared" si="202"/>
        <v/>
      </c>
      <c r="FB53" s="181"/>
      <c r="FC53" s="176"/>
      <c r="FD53" s="176"/>
      <c r="FE53" s="176"/>
      <c r="FF53" s="176"/>
      <c r="FG53" s="176"/>
      <c r="FH53" s="176"/>
      <c r="FI53" s="176"/>
      <c r="FJ53" s="194" t="str">
        <f t="shared" si="203"/>
        <v/>
      </c>
      <c r="FK53" s="181"/>
      <c r="FL53" s="176"/>
      <c r="FM53" s="176"/>
      <c r="FN53" s="176"/>
      <c r="FO53" s="176"/>
      <c r="FP53" s="176"/>
      <c r="FQ53" s="176"/>
      <c r="FR53" s="176"/>
      <c r="FS53" s="194" t="str">
        <f t="shared" si="204"/>
        <v/>
      </c>
      <c r="FT53" s="181"/>
      <c r="FU53" s="176"/>
      <c r="FV53" s="176"/>
      <c r="FW53" s="176"/>
      <c r="FX53" s="176"/>
      <c r="FY53" s="176"/>
      <c r="FZ53" s="176"/>
      <c r="GA53" s="176"/>
      <c r="GB53" s="194" t="str">
        <f t="shared" si="118"/>
        <v/>
      </c>
      <c r="GC53" s="194" t="str">
        <f t="shared" si="119"/>
        <v/>
      </c>
      <c r="GD53" s="194" t="str">
        <f>IF(GC53="","",IF(GC53&gt;=KONVERSI!$A$5,KONVERSI!$D$5,IF(GC53&gt;=KONVERSI!$A$6,KONVERSI!$D$6,IF(GC53&gt;=KONVERSI!$A$7,KONVERSI!$D$7,KONVERSI!$D$8))))</f>
        <v/>
      </c>
      <c r="GE53" s="194" t="str">
        <f t="shared" si="120"/>
        <v/>
      </c>
      <c r="GF53" s="222"/>
      <c r="GG53" s="223">
        <f t="shared" si="205"/>
        <v>0</v>
      </c>
      <c r="GH53" s="194">
        <f t="shared" si="206"/>
        <v>0</v>
      </c>
      <c r="GI53" s="194">
        <f t="shared" si="207"/>
        <v>0</v>
      </c>
      <c r="GJ53" s="194">
        <f t="shared" si="208"/>
        <v>0</v>
      </c>
      <c r="GK53" s="194">
        <f t="shared" si="209"/>
        <v>0</v>
      </c>
      <c r="GL53" s="194">
        <f t="shared" si="210"/>
        <v>0</v>
      </c>
      <c r="GM53" s="194">
        <f t="shared" si="211"/>
        <v>0</v>
      </c>
      <c r="GN53" s="194">
        <f t="shared" si="212"/>
        <v>0</v>
      </c>
      <c r="GO53" s="194">
        <f t="shared" si="213"/>
        <v>0</v>
      </c>
      <c r="GP53" s="194">
        <f t="shared" si="214"/>
        <v>0</v>
      </c>
      <c r="GQ53" s="194">
        <f t="shared" si="215"/>
        <v>0</v>
      </c>
      <c r="GR53" s="194">
        <f t="shared" si="216"/>
        <v>0</v>
      </c>
      <c r="GS53" s="194">
        <f t="shared" si="217"/>
        <v>0</v>
      </c>
      <c r="GT53" s="194">
        <f t="shared" si="218"/>
        <v>0</v>
      </c>
      <c r="GU53" s="194">
        <f t="shared" si="219"/>
        <v>0</v>
      </c>
      <c r="GV53" s="194">
        <f t="shared" si="220"/>
        <v>0</v>
      </c>
      <c r="GW53" s="194">
        <f t="shared" si="221"/>
        <v>0</v>
      </c>
      <c r="GX53" s="194">
        <f t="shared" si="222"/>
        <v>0</v>
      </c>
      <c r="GY53" s="194">
        <f t="shared" si="223"/>
        <v>0</v>
      </c>
      <c r="GZ53" s="194">
        <f t="shared" si="224"/>
        <v>0</v>
      </c>
      <c r="HA53" s="194">
        <f t="shared" si="225"/>
        <v>0</v>
      </c>
      <c r="HB53" s="194">
        <f t="shared" si="226"/>
        <v>0</v>
      </c>
      <c r="HC53" s="194">
        <f t="shared" si="227"/>
        <v>0</v>
      </c>
      <c r="HD53" s="194">
        <f t="shared" si="228"/>
        <v>0</v>
      </c>
      <c r="HE53" s="194">
        <f t="shared" si="229"/>
        <v>0</v>
      </c>
      <c r="HF53" s="194">
        <f t="shared" si="230"/>
        <v>0</v>
      </c>
      <c r="HG53" s="194">
        <f t="shared" si="231"/>
        <v>0</v>
      </c>
      <c r="HH53" s="194">
        <f t="shared" si="232"/>
        <v>0</v>
      </c>
      <c r="HI53" s="194">
        <f t="shared" si="233"/>
        <v>0</v>
      </c>
      <c r="HJ53" s="194">
        <f t="shared" si="234"/>
        <v>0</v>
      </c>
      <c r="HK53" s="194">
        <f t="shared" si="235"/>
        <v>0</v>
      </c>
      <c r="HL53" s="194">
        <f t="shared" si="236"/>
        <v>0</v>
      </c>
      <c r="HM53" s="194">
        <f t="shared" si="237"/>
        <v>0</v>
      </c>
      <c r="HN53" s="194">
        <f t="shared" si="238"/>
        <v>0</v>
      </c>
      <c r="HO53" s="194">
        <f t="shared" si="239"/>
        <v>0</v>
      </c>
      <c r="HP53" s="194">
        <f t="shared" si="240"/>
        <v>0</v>
      </c>
      <c r="HQ53" s="194">
        <f t="shared" si="241"/>
        <v>0</v>
      </c>
      <c r="HR53" s="194">
        <f t="shared" si="242"/>
        <v>0</v>
      </c>
      <c r="HS53" s="194">
        <f t="shared" si="243"/>
        <v>0</v>
      </c>
      <c r="HT53" s="194">
        <f t="shared" si="244"/>
        <v>0</v>
      </c>
      <c r="HU53" s="194">
        <f t="shared" si="245"/>
        <v>0</v>
      </c>
      <c r="HV53" s="194">
        <f t="shared" si="246"/>
        <v>0</v>
      </c>
      <c r="HW53" s="194">
        <f t="shared" si="247"/>
        <v>0</v>
      </c>
      <c r="HX53" s="194">
        <f t="shared" si="248"/>
        <v>0</v>
      </c>
      <c r="HY53" s="194">
        <f t="shared" si="249"/>
        <v>0</v>
      </c>
      <c r="HZ53" s="194">
        <f t="shared" si="250"/>
        <v>0</v>
      </c>
      <c r="IA53" s="194">
        <f t="shared" si="251"/>
        <v>0</v>
      </c>
      <c r="IB53" s="194">
        <f t="shared" si="252"/>
        <v>0</v>
      </c>
      <c r="IC53" s="194">
        <f t="shared" si="253"/>
        <v>0</v>
      </c>
      <c r="ID53" s="194">
        <f t="shared" si="254"/>
        <v>0</v>
      </c>
      <c r="IE53" s="194">
        <f t="shared" si="255"/>
        <v>0</v>
      </c>
      <c r="IF53" s="194">
        <f t="shared" si="256"/>
        <v>0</v>
      </c>
      <c r="IG53" s="194">
        <f t="shared" si="257"/>
        <v>0</v>
      </c>
      <c r="IH53" s="194">
        <f t="shared" si="258"/>
        <v>0</v>
      </c>
      <c r="II53" s="194">
        <f t="shared" si="259"/>
        <v>0</v>
      </c>
      <c r="IJ53" s="194">
        <f t="shared" si="260"/>
        <v>0</v>
      </c>
      <c r="IK53" s="194">
        <f t="shared" si="261"/>
        <v>0</v>
      </c>
      <c r="IL53" s="194">
        <f t="shared" si="262"/>
        <v>0</v>
      </c>
      <c r="IM53" s="194">
        <f t="shared" si="263"/>
        <v>0</v>
      </c>
      <c r="IN53" s="194">
        <f t="shared" si="264"/>
        <v>0</v>
      </c>
      <c r="IO53" s="194">
        <f t="shared" si="265"/>
        <v>0</v>
      </c>
      <c r="IP53" s="194">
        <f t="shared" si="266"/>
        <v>0</v>
      </c>
      <c r="IQ53" s="194">
        <f t="shared" si="267"/>
        <v>0</v>
      </c>
      <c r="IR53" s="194">
        <f t="shared" si="268"/>
        <v>0</v>
      </c>
      <c r="IS53" s="194">
        <f t="shared" si="269"/>
        <v>0</v>
      </c>
      <c r="IT53" s="194">
        <f t="shared" si="270"/>
        <v>0</v>
      </c>
      <c r="IU53" s="194">
        <f t="shared" si="271"/>
        <v>0</v>
      </c>
      <c r="IV53" s="194">
        <f t="shared" si="272"/>
        <v>0</v>
      </c>
      <c r="IW53" s="194">
        <f t="shared" si="273"/>
        <v>0</v>
      </c>
      <c r="IX53" s="194">
        <f t="shared" si="274"/>
        <v>0</v>
      </c>
      <c r="IY53" s="194">
        <f t="shared" si="275"/>
        <v>0</v>
      </c>
      <c r="IZ53" s="194">
        <f t="shared" si="276"/>
        <v>0</v>
      </c>
      <c r="JA53" s="194">
        <f t="shared" si="277"/>
        <v>0</v>
      </c>
      <c r="JB53" s="194">
        <f t="shared" si="278"/>
        <v>0</v>
      </c>
      <c r="JC53" s="194">
        <f t="shared" si="279"/>
        <v>0</v>
      </c>
      <c r="JD53" s="194">
        <f t="shared" si="280"/>
        <v>0</v>
      </c>
      <c r="JE53" s="194">
        <f t="shared" si="281"/>
        <v>0</v>
      </c>
      <c r="JF53" s="194">
        <f t="shared" si="282"/>
        <v>0</v>
      </c>
      <c r="JG53" s="194">
        <f t="shared" si="283"/>
        <v>0</v>
      </c>
      <c r="JH53" s="194">
        <f t="shared" si="284"/>
        <v>0</v>
      </c>
      <c r="JI53" s="228">
        <v>45</v>
      </c>
      <c r="JJ53" s="229" t="str">
        <f t="shared" si="121"/>
        <v/>
      </c>
      <c r="JK53" s="229" t="str">
        <f t="shared" si="122"/>
        <v/>
      </c>
      <c r="JL53" s="229" t="str">
        <f t="shared" si="123"/>
        <v/>
      </c>
      <c r="JM53" s="229" t="str">
        <f t="shared" si="124"/>
        <v/>
      </c>
      <c r="JN53" s="229" t="str">
        <f t="shared" si="125"/>
        <v/>
      </c>
      <c r="JO53" s="229" t="str">
        <f t="shared" si="126"/>
        <v/>
      </c>
      <c r="JP53" s="229" t="str">
        <f t="shared" si="127"/>
        <v/>
      </c>
      <c r="JQ53" s="229" t="str">
        <f t="shared" si="128"/>
        <v/>
      </c>
      <c r="JR53" s="229" t="str">
        <f t="shared" si="129"/>
        <v/>
      </c>
      <c r="JS53" s="229" t="str">
        <f t="shared" si="130"/>
        <v/>
      </c>
      <c r="JT53" s="229" t="str">
        <f t="shared" si="131"/>
        <v/>
      </c>
      <c r="JU53" s="229" t="str">
        <f t="shared" si="132"/>
        <v/>
      </c>
      <c r="JV53" s="229" t="str">
        <f t="shared" si="133"/>
        <v/>
      </c>
      <c r="JW53" s="229" t="str">
        <f t="shared" si="134"/>
        <v/>
      </c>
      <c r="JX53" s="229" t="str">
        <f t="shared" si="135"/>
        <v/>
      </c>
      <c r="JY53" s="229" t="str">
        <f t="shared" si="136"/>
        <v/>
      </c>
      <c r="JZ53" s="229" t="str">
        <f t="shared" si="137"/>
        <v/>
      </c>
      <c r="KA53" s="229" t="str">
        <f t="shared" si="138"/>
        <v/>
      </c>
      <c r="KB53" s="229" t="str">
        <f t="shared" si="139"/>
        <v/>
      </c>
      <c r="KC53" s="229" t="str">
        <f t="shared" si="140"/>
        <v/>
      </c>
      <c r="KD53" s="231" t="str">
        <f t="shared" si="141"/>
        <v/>
      </c>
      <c r="KE53" s="232" t="str">
        <f>IF(KD53="","",IF(KD53&gt;=KONVERSI!$A$5,KONVERSI!$E$12,IF(KD53&gt;=KONVERSI!$A$6,KONVERSI!$E$13,IF(KD53&gt;=KONVERSI!$A$7,KONVERSI!$E$14,KONVERSI!$E$15))))</f>
        <v/>
      </c>
      <c r="KF53" s="233" t="str">
        <f t="shared" si="142"/>
        <v/>
      </c>
      <c r="KG53" s="234" t="str">
        <f t="shared" si="143"/>
        <v/>
      </c>
      <c r="KH53" s="232" t="str">
        <f>IF(KG53="","",IF(KG53&gt;=KONVERSI!$A$5,KONVERSI!$E$12,IF(KG53&gt;=KONVERSI!$A$6,KONVERSI!$E$13,IF(KG53&gt;=KONVERSI!$A$7,KONVERSI!$E$14,KONVERSI!$E$15))))</f>
        <v/>
      </c>
      <c r="KI53" s="134" t="str">
        <f>IF(GC53="","",IF(GC53&lt;$GD$3," "&amp;KONVERSI!$C$19&amp;INDEX($JJ$8:$KC$8,MATCH(KG54,JJ54:KC54,0))&amp;".",IF(GC53=0,"",IF(KG53&lt;&gt;0,KF53&amp;KH53&amp;".",KF53&amp;"."))))</f>
        <v/>
      </c>
      <c r="KJ53" s="235" t="str">
        <f t="shared" si="144"/>
        <v/>
      </c>
      <c r="KK53" s="235" t="str">
        <f t="shared" si="145"/>
        <v/>
      </c>
      <c r="KL53" s="235" t="str">
        <f t="shared" si="146"/>
        <v/>
      </c>
      <c r="KM53" s="235" t="str">
        <f t="shared" si="147"/>
        <v/>
      </c>
      <c r="KN53" s="235" t="str">
        <f t="shared" si="148"/>
        <v/>
      </c>
      <c r="KO53" s="235" t="str">
        <f t="shared" si="149"/>
        <v/>
      </c>
      <c r="KP53" s="235" t="str">
        <f t="shared" si="150"/>
        <v/>
      </c>
      <c r="KQ53" s="235" t="str">
        <f t="shared" si="151"/>
        <v/>
      </c>
      <c r="KR53" s="235" t="str">
        <f t="shared" si="152"/>
        <v/>
      </c>
      <c r="KS53" s="235" t="str">
        <f t="shared" si="153"/>
        <v/>
      </c>
      <c r="KT53" s="235" t="str">
        <f t="shared" si="154"/>
        <v/>
      </c>
      <c r="KU53" s="235" t="str">
        <f t="shared" si="155"/>
        <v/>
      </c>
      <c r="KV53" s="235" t="str">
        <f t="shared" si="156"/>
        <v/>
      </c>
      <c r="KW53" s="235" t="str">
        <f t="shared" si="157"/>
        <v/>
      </c>
      <c r="KX53" s="235" t="str">
        <f t="shared" si="158"/>
        <v/>
      </c>
      <c r="KY53" s="235" t="str">
        <f t="shared" si="159"/>
        <v/>
      </c>
      <c r="KZ53" s="235" t="str">
        <f t="shared" si="160"/>
        <v/>
      </c>
      <c r="LA53" s="235" t="str">
        <f t="shared" si="161"/>
        <v/>
      </c>
      <c r="LB53" s="235" t="str">
        <f t="shared" si="162"/>
        <v/>
      </c>
      <c r="LC53" s="235" t="str">
        <f t="shared" si="163"/>
        <v/>
      </c>
      <c r="LD53" s="134" t="str">
        <f t="shared" si="291"/>
        <v/>
      </c>
      <c r="LE53" s="134" t="str">
        <f t="shared" si="291"/>
        <v/>
      </c>
      <c r="LF53" s="134" t="str">
        <f t="shared" si="289"/>
        <v/>
      </c>
      <c r="LG53" s="134" t="str">
        <f t="shared" si="289"/>
        <v/>
      </c>
      <c r="LH53" s="134" t="str">
        <f t="shared" si="289"/>
        <v/>
      </c>
      <c r="LI53" s="134" t="str">
        <f t="shared" si="289"/>
        <v/>
      </c>
      <c r="LJ53" s="134" t="str">
        <f t="shared" si="289"/>
        <v/>
      </c>
      <c r="LK53" s="134" t="str">
        <f t="shared" si="289"/>
        <v/>
      </c>
      <c r="LL53" s="134" t="str">
        <f t="shared" si="289"/>
        <v/>
      </c>
      <c r="LM53" s="134" t="str">
        <f t="shared" si="289"/>
        <v/>
      </c>
      <c r="LN53" s="134" t="str">
        <f t="shared" si="289"/>
        <v/>
      </c>
      <c r="LO53" s="134" t="str">
        <f t="shared" si="287"/>
        <v/>
      </c>
      <c r="LP53" s="134" t="str">
        <f t="shared" si="287"/>
        <v/>
      </c>
      <c r="LQ53" s="134" t="str">
        <f t="shared" si="287"/>
        <v/>
      </c>
      <c r="LR53" s="134" t="str">
        <f t="shared" si="287"/>
        <v/>
      </c>
      <c r="LS53" s="134" t="str">
        <f t="shared" si="287"/>
        <v/>
      </c>
      <c r="LT53" s="134" t="str">
        <f t="shared" si="287"/>
        <v/>
      </c>
      <c r="LU53" s="134" t="str">
        <f t="shared" si="287"/>
        <v/>
      </c>
      <c r="LV53" s="134" t="str">
        <f t="shared" si="287"/>
        <v/>
      </c>
      <c r="LW53" s="134" t="str">
        <f t="shared" si="287"/>
        <v/>
      </c>
      <c r="LX53" s="134" t="str">
        <f t="shared" si="165"/>
        <v/>
      </c>
      <c r="LY53" s="134" t="str">
        <f t="shared" si="166"/>
        <v>  </v>
      </c>
      <c r="LZ53" s="236">
        <f t="shared" si="285"/>
        <v>0</v>
      </c>
      <c r="MA53" s="235" t="str">
        <f t="shared" si="167"/>
        <v/>
      </c>
      <c r="MB53" s="235" t="str">
        <f t="shared" si="168"/>
        <v/>
      </c>
      <c r="MC53" s="235" t="str">
        <f t="shared" si="169"/>
        <v/>
      </c>
      <c r="MD53" s="235" t="str">
        <f t="shared" si="170"/>
        <v/>
      </c>
      <c r="ME53" s="235" t="str">
        <f t="shared" si="171"/>
        <v/>
      </c>
      <c r="MF53" s="235" t="str">
        <f t="shared" si="172"/>
        <v/>
      </c>
      <c r="MG53" s="235" t="str">
        <f t="shared" si="173"/>
        <v/>
      </c>
      <c r="MH53" s="235" t="str">
        <f t="shared" si="174"/>
        <v/>
      </c>
      <c r="MI53" s="235" t="str">
        <f t="shared" si="175"/>
        <v/>
      </c>
      <c r="MJ53" s="235" t="str">
        <f t="shared" si="176"/>
        <v/>
      </c>
      <c r="MK53" s="235" t="str">
        <f t="shared" si="177"/>
        <v/>
      </c>
      <c r="ML53" s="235" t="str">
        <f t="shared" si="178"/>
        <v/>
      </c>
      <c r="MM53" s="235" t="str">
        <f t="shared" si="179"/>
        <v/>
      </c>
      <c r="MN53" s="235" t="str">
        <f t="shared" si="180"/>
        <v/>
      </c>
      <c r="MO53" s="235" t="str">
        <f t="shared" si="181"/>
        <v/>
      </c>
      <c r="MP53" s="235" t="str">
        <f t="shared" si="182"/>
        <v/>
      </c>
      <c r="MQ53" s="235" t="str">
        <f t="shared" si="183"/>
        <v/>
      </c>
      <c r="MR53" s="235" t="str">
        <f t="shared" si="184"/>
        <v/>
      </c>
      <c r="MS53" s="235" t="str">
        <f t="shared" si="185"/>
        <v/>
      </c>
      <c r="MT53" s="235" t="str">
        <f t="shared" si="186"/>
        <v/>
      </c>
      <c r="MU53" s="134" t="str">
        <f t="shared" si="292"/>
        <v/>
      </c>
      <c r="MV53" s="134" t="str">
        <f t="shared" si="292"/>
        <v/>
      </c>
      <c r="MW53" s="134" t="str">
        <f t="shared" si="290"/>
        <v/>
      </c>
      <c r="MX53" s="134" t="str">
        <f t="shared" si="290"/>
        <v/>
      </c>
      <c r="MY53" s="134" t="str">
        <f t="shared" si="290"/>
        <v/>
      </c>
      <c r="MZ53" s="134" t="str">
        <f t="shared" si="290"/>
        <v/>
      </c>
      <c r="NA53" s="134" t="str">
        <f t="shared" si="290"/>
        <v/>
      </c>
      <c r="NB53" s="134" t="str">
        <f t="shared" si="290"/>
        <v/>
      </c>
      <c r="NC53" s="134" t="str">
        <f t="shared" si="290"/>
        <v/>
      </c>
      <c r="ND53" s="134" t="str">
        <f t="shared" si="290"/>
        <v/>
      </c>
      <c r="NE53" s="134" t="str">
        <f t="shared" si="290"/>
        <v/>
      </c>
      <c r="NF53" s="134" t="str">
        <f t="shared" si="288"/>
        <v/>
      </c>
      <c r="NG53" s="134" t="str">
        <f t="shared" si="288"/>
        <v/>
      </c>
      <c r="NH53" s="134" t="str">
        <f t="shared" si="288"/>
        <v/>
      </c>
      <c r="NI53" s="134" t="str">
        <f t="shared" si="288"/>
        <v/>
      </c>
      <c r="NJ53" s="134" t="str">
        <f t="shared" si="288"/>
        <v/>
      </c>
      <c r="NK53" s="134" t="str">
        <f t="shared" si="288"/>
        <v/>
      </c>
      <c r="NL53" s="134" t="str">
        <f t="shared" si="288"/>
        <v/>
      </c>
      <c r="NM53" s="134" t="str">
        <f t="shared" si="288"/>
        <v/>
      </c>
      <c r="NN53" s="134" t="str">
        <f t="shared" si="288"/>
        <v/>
      </c>
      <c r="NO53" s="134" t="str">
        <f>IF(KE53=KH53,"",IF(KG53="","",IF(KG53&gt;=KONVERSI!$A$14,'KI4'!KH53&amp;" dalam"&amp;MU53&amp;MV53&amp;MW53&amp;MX53&amp;MY53&amp;MZ53&amp;NA53&amp;NB53&amp;NC53&amp;ND53&amp;NE53&amp;NF53&amp;NG53&amp;NH53&amp;NI53&amp;NJ53&amp;NK53&amp;NL53&amp;NM53&amp;NN53,KONVERSI!$C$19&amp;" dalam"&amp;MU53&amp;MV53&amp;MW53&amp;MX53&amp;MY53&amp;MZ53&amp;NA53&amp;NB53&amp;NC53&amp;ND53&amp;NE53&amp;NF53&amp;NG53&amp;NH53&amp;NI53&amp;NJ53&amp;NK53&amp;NL53&amp;NM53&amp;NN53)))</f>
        <v/>
      </c>
      <c r="NP53" s="134" t="str">
        <f t="shared" si="188"/>
        <v/>
      </c>
      <c r="NQ53" s="236">
        <f t="shared" si="286"/>
        <v>0</v>
      </c>
      <c r="NR53" s="134" t="str">
        <f t="shared" si="189"/>
        <v/>
      </c>
    </row>
    <row r="54" ht="27.6" customHeight="1" spans="1:382">
      <c r="A54" s="136"/>
      <c r="B54" s="177">
        <v>46</v>
      </c>
      <c r="C54" s="180">
        <f>siswa!C50</f>
        <v>0</v>
      </c>
      <c r="D54" s="174">
        <f>siswa!D50</f>
        <v>0</v>
      </c>
      <c r="E54" s="181"/>
      <c r="F54" s="176"/>
      <c r="G54" s="176"/>
      <c r="H54" s="176"/>
      <c r="I54" s="176"/>
      <c r="J54" s="176"/>
      <c r="K54" s="176"/>
      <c r="L54" s="176"/>
      <c r="M54" s="194" t="str">
        <f t="shared" si="192"/>
        <v/>
      </c>
      <c r="N54" s="181"/>
      <c r="O54" s="176"/>
      <c r="P54" s="176"/>
      <c r="Q54" s="176"/>
      <c r="R54" s="176"/>
      <c r="S54" s="176"/>
      <c r="T54" s="176"/>
      <c r="U54" s="176"/>
      <c r="V54" s="194" t="str">
        <f t="shared" si="193"/>
        <v/>
      </c>
      <c r="W54" s="181"/>
      <c r="X54" s="176"/>
      <c r="Y54" s="176"/>
      <c r="Z54" s="176"/>
      <c r="AA54" s="176"/>
      <c r="AB54" s="176"/>
      <c r="AC54" s="176"/>
      <c r="AD54" s="176"/>
      <c r="AE54" s="194" t="str">
        <f t="shared" si="194"/>
        <v/>
      </c>
      <c r="AF54" s="181"/>
      <c r="AG54" s="176"/>
      <c r="AH54" s="176"/>
      <c r="AI54" s="176"/>
      <c r="AJ54" s="176"/>
      <c r="AK54" s="176"/>
      <c r="AL54" s="176"/>
      <c r="AM54" s="176"/>
      <c r="AN54" s="194" t="str">
        <f t="shared" si="195"/>
        <v/>
      </c>
      <c r="AO54" s="181"/>
      <c r="AP54" s="176"/>
      <c r="AQ54" s="176"/>
      <c r="AR54" s="176"/>
      <c r="AS54" s="176"/>
      <c r="AT54" s="176"/>
      <c r="AU54" s="176"/>
      <c r="AV54" s="176"/>
      <c r="AW54" s="194" t="str">
        <f t="shared" si="112"/>
        <v/>
      </c>
      <c r="AX54" s="181"/>
      <c r="AY54" s="176"/>
      <c r="AZ54" s="176"/>
      <c r="BA54" s="176"/>
      <c r="BB54" s="176"/>
      <c r="BC54" s="176"/>
      <c r="BD54" s="176"/>
      <c r="BE54" s="176"/>
      <c r="BF54" s="194" t="str">
        <f t="shared" si="196"/>
        <v/>
      </c>
      <c r="BG54" s="181"/>
      <c r="BH54" s="176"/>
      <c r="BI54" s="176"/>
      <c r="BJ54" s="176"/>
      <c r="BK54" s="176"/>
      <c r="BL54" s="176"/>
      <c r="BM54" s="176"/>
      <c r="BN54" s="176"/>
      <c r="BO54" s="194" t="str">
        <f t="shared" si="113"/>
        <v/>
      </c>
      <c r="BP54" s="181"/>
      <c r="BQ54" s="176"/>
      <c r="BR54" s="176"/>
      <c r="BS54" s="176"/>
      <c r="BT54" s="176"/>
      <c r="BU54" s="176"/>
      <c r="BV54" s="176"/>
      <c r="BW54" s="176"/>
      <c r="BX54" s="194" t="str">
        <f t="shared" si="114"/>
        <v/>
      </c>
      <c r="BY54" s="181"/>
      <c r="BZ54" s="176"/>
      <c r="CA54" s="176"/>
      <c r="CB54" s="176"/>
      <c r="CC54" s="176"/>
      <c r="CD54" s="176"/>
      <c r="CE54" s="176"/>
      <c r="CF54" s="176"/>
      <c r="CG54" s="194" t="str">
        <f t="shared" si="115"/>
        <v/>
      </c>
      <c r="CH54" s="181"/>
      <c r="CI54" s="176"/>
      <c r="CJ54" s="176"/>
      <c r="CK54" s="176"/>
      <c r="CL54" s="176"/>
      <c r="CM54" s="176"/>
      <c r="CN54" s="176"/>
      <c r="CO54" s="176"/>
      <c r="CP54" s="194" t="str">
        <f t="shared" si="197"/>
        <v/>
      </c>
      <c r="CQ54" s="181"/>
      <c r="CR54" s="176"/>
      <c r="CS54" s="176"/>
      <c r="CT54" s="176"/>
      <c r="CU54" s="176"/>
      <c r="CV54" s="176"/>
      <c r="CW54" s="176"/>
      <c r="CX54" s="176"/>
      <c r="CY54" s="194" t="str">
        <f t="shared" si="116"/>
        <v/>
      </c>
      <c r="CZ54" s="181"/>
      <c r="DA54" s="176"/>
      <c r="DB54" s="176"/>
      <c r="DC54" s="176"/>
      <c r="DD54" s="176"/>
      <c r="DE54" s="176"/>
      <c r="DF54" s="176"/>
      <c r="DG54" s="176"/>
      <c r="DH54" s="194" t="str">
        <f t="shared" si="198"/>
        <v/>
      </c>
      <c r="DI54" s="181"/>
      <c r="DJ54" s="176"/>
      <c r="DK54" s="176"/>
      <c r="DL54" s="176"/>
      <c r="DM54" s="176"/>
      <c r="DN54" s="176"/>
      <c r="DO54" s="176"/>
      <c r="DP54" s="176"/>
      <c r="DQ54" s="194" t="str">
        <f t="shared" si="117"/>
        <v/>
      </c>
      <c r="DR54" s="181"/>
      <c r="DS54" s="176"/>
      <c r="DT54" s="176"/>
      <c r="DU54" s="176"/>
      <c r="DV54" s="176"/>
      <c r="DW54" s="176"/>
      <c r="DX54" s="176"/>
      <c r="DY54" s="176"/>
      <c r="DZ54" s="194" t="str">
        <f t="shared" si="199"/>
        <v/>
      </c>
      <c r="EA54" s="181"/>
      <c r="EB54" s="176"/>
      <c r="EC54" s="176"/>
      <c r="ED54" s="176"/>
      <c r="EE54" s="176"/>
      <c r="EF54" s="176"/>
      <c r="EG54" s="176"/>
      <c r="EH54" s="176"/>
      <c r="EI54" s="194" t="str">
        <f t="shared" si="200"/>
        <v/>
      </c>
      <c r="EJ54" s="181"/>
      <c r="EK54" s="176"/>
      <c r="EL54" s="176"/>
      <c r="EM54" s="176"/>
      <c r="EN54" s="176"/>
      <c r="EO54" s="176"/>
      <c r="EP54" s="176"/>
      <c r="EQ54" s="176"/>
      <c r="ER54" s="194" t="str">
        <f t="shared" si="201"/>
        <v/>
      </c>
      <c r="ES54" s="181"/>
      <c r="ET54" s="176"/>
      <c r="EU54" s="176"/>
      <c r="EV54" s="176"/>
      <c r="EW54" s="176"/>
      <c r="EX54" s="176"/>
      <c r="EY54" s="176"/>
      <c r="EZ54" s="176"/>
      <c r="FA54" s="194" t="str">
        <f t="shared" si="202"/>
        <v/>
      </c>
      <c r="FB54" s="181"/>
      <c r="FC54" s="176"/>
      <c r="FD54" s="176"/>
      <c r="FE54" s="176"/>
      <c r="FF54" s="176"/>
      <c r="FG54" s="176"/>
      <c r="FH54" s="176"/>
      <c r="FI54" s="176"/>
      <c r="FJ54" s="194" t="str">
        <f t="shared" si="203"/>
        <v/>
      </c>
      <c r="FK54" s="181"/>
      <c r="FL54" s="176"/>
      <c r="FM54" s="176"/>
      <c r="FN54" s="176"/>
      <c r="FO54" s="176"/>
      <c r="FP54" s="176"/>
      <c r="FQ54" s="176"/>
      <c r="FR54" s="176"/>
      <c r="FS54" s="194" t="str">
        <f t="shared" si="204"/>
        <v/>
      </c>
      <c r="FT54" s="181"/>
      <c r="FU54" s="176"/>
      <c r="FV54" s="176"/>
      <c r="FW54" s="176"/>
      <c r="FX54" s="176"/>
      <c r="FY54" s="176"/>
      <c r="FZ54" s="176"/>
      <c r="GA54" s="176"/>
      <c r="GB54" s="194" t="str">
        <f t="shared" si="118"/>
        <v/>
      </c>
      <c r="GC54" s="194" t="str">
        <f t="shared" si="119"/>
        <v/>
      </c>
      <c r="GD54" s="194" t="str">
        <f>IF(GC54="","",IF(GC54&gt;=KONVERSI!$A$5,KONVERSI!$D$5,IF(GC54&gt;=KONVERSI!$A$6,KONVERSI!$D$6,IF(GC54&gt;=KONVERSI!$A$7,KONVERSI!$D$7,KONVERSI!$D$8))))</f>
        <v/>
      </c>
      <c r="GE54" s="194" t="str">
        <f t="shared" si="120"/>
        <v/>
      </c>
      <c r="GF54" s="222"/>
      <c r="GG54" s="223">
        <f t="shared" si="205"/>
        <v>0</v>
      </c>
      <c r="GH54" s="194">
        <f t="shared" si="206"/>
        <v>0</v>
      </c>
      <c r="GI54" s="194">
        <f t="shared" si="207"/>
        <v>0</v>
      </c>
      <c r="GJ54" s="194">
        <f t="shared" si="208"/>
        <v>0</v>
      </c>
      <c r="GK54" s="194">
        <f t="shared" si="209"/>
        <v>0</v>
      </c>
      <c r="GL54" s="194">
        <f t="shared" si="210"/>
        <v>0</v>
      </c>
      <c r="GM54" s="194">
        <f t="shared" si="211"/>
        <v>0</v>
      </c>
      <c r="GN54" s="194">
        <f t="shared" si="212"/>
        <v>0</v>
      </c>
      <c r="GO54" s="194">
        <f t="shared" si="213"/>
        <v>0</v>
      </c>
      <c r="GP54" s="194">
        <f t="shared" si="214"/>
        <v>0</v>
      </c>
      <c r="GQ54" s="194">
        <f t="shared" si="215"/>
        <v>0</v>
      </c>
      <c r="GR54" s="194">
        <f t="shared" si="216"/>
        <v>0</v>
      </c>
      <c r="GS54" s="194">
        <f t="shared" si="217"/>
        <v>0</v>
      </c>
      <c r="GT54" s="194">
        <f t="shared" si="218"/>
        <v>0</v>
      </c>
      <c r="GU54" s="194">
        <f t="shared" si="219"/>
        <v>0</v>
      </c>
      <c r="GV54" s="194">
        <f t="shared" si="220"/>
        <v>0</v>
      </c>
      <c r="GW54" s="194">
        <f t="shared" si="221"/>
        <v>0</v>
      </c>
      <c r="GX54" s="194">
        <f t="shared" si="222"/>
        <v>0</v>
      </c>
      <c r="GY54" s="194">
        <f t="shared" si="223"/>
        <v>0</v>
      </c>
      <c r="GZ54" s="194">
        <f t="shared" si="224"/>
        <v>0</v>
      </c>
      <c r="HA54" s="194">
        <f t="shared" si="225"/>
        <v>0</v>
      </c>
      <c r="HB54" s="194">
        <f t="shared" si="226"/>
        <v>0</v>
      </c>
      <c r="HC54" s="194">
        <f t="shared" si="227"/>
        <v>0</v>
      </c>
      <c r="HD54" s="194">
        <f t="shared" si="228"/>
        <v>0</v>
      </c>
      <c r="HE54" s="194">
        <f t="shared" si="229"/>
        <v>0</v>
      </c>
      <c r="HF54" s="194">
        <f t="shared" si="230"/>
        <v>0</v>
      </c>
      <c r="HG54" s="194">
        <f t="shared" si="231"/>
        <v>0</v>
      </c>
      <c r="HH54" s="194">
        <f t="shared" si="232"/>
        <v>0</v>
      </c>
      <c r="HI54" s="194">
        <f t="shared" si="233"/>
        <v>0</v>
      </c>
      <c r="HJ54" s="194">
        <f t="shared" si="234"/>
        <v>0</v>
      </c>
      <c r="HK54" s="194">
        <f t="shared" si="235"/>
        <v>0</v>
      </c>
      <c r="HL54" s="194">
        <f t="shared" si="236"/>
        <v>0</v>
      </c>
      <c r="HM54" s="194">
        <f t="shared" si="237"/>
        <v>0</v>
      </c>
      <c r="HN54" s="194">
        <f t="shared" si="238"/>
        <v>0</v>
      </c>
      <c r="HO54" s="194">
        <f t="shared" si="239"/>
        <v>0</v>
      </c>
      <c r="HP54" s="194">
        <f t="shared" si="240"/>
        <v>0</v>
      </c>
      <c r="HQ54" s="194">
        <f t="shared" si="241"/>
        <v>0</v>
      </c>
      <c r="HR54" s="194">
        <f t="shared" si="242"/>
        <v>0</v>
      </c>
      <c r="HS54" s="194">
        <f t="shared" si="243"/>
        <v>0</v>
      </c>
      <c r="HT54" s="194">
        <f t="shared" si="244"/>
        <v>0</v>
      </c>
      <c r="HU54" s="194">
        <f t="shared" si="245"/>
        <v>0</v>
      </c>
      <c r="HV54" s="194">
        <f t="shared" si="246"/>
        <v>0</v>
      </c>
      <c r="HW54" s="194">
        <f t="shared" si="247"/>
        <v>0</v>
      </c>
      <c r="HX54" s="194">
        <f t="shared" si="248"/>
        <v>0</v>
      </c>
      <c r="HY54" s="194">
        <f t="shared" si="249"/>
        <v>0</v>
      </c>
      <c r="HZ54" s="194">
        <f t="shared" si="250"/>
        <v>0</v>
      </c>
      <c r="IA54" s="194">
        <f t="shared" si="251"/>
        <v>0</v>
      </c>
      <c r="IB54" s="194">
        <f t="shared" si="252"/>
        <v>0</v>
      </c>
      <c r="IC54" s="194">
        <f t="shared" si="253"/>
        <v>0</v>
      </c>
      <c r="ID54" s="194">
        <f t="shared" si="254"/>
        <v>0</v>
      </c>
      <c r="IE54" s="194">
        <f t="shared" si="255"/>
        <v>0</v>
      </c>
      <c r="IF54" s="194">
        <f t="shared" si="256"/>
        <v>0</v>
      </c>
      <c r="IG54" s="194">
        <f t="shared" si="257"/>
        <v>0</v>
      </c>
      <c r="IH54" s="194">
        <f t="shared" si="258"/>
        <v>0</v>
      </c>
      <c r="II54" s="194">
        <f t="shared" si="259"/>
        <v>0</v>
      </c>
      <c r="IJ54" s="194">
        <f t="shared" si="260"/>
        <v>0</v>
      </c>
      <c r="IK54" s="194">
        <f t="shared" si="261"/>
        <v>0</v>
      </c>
      <c r="IL54" s="194">
        <f t="shared" si="262"/>
        <v>0</v>
      </c>
      <c r="IM54" s="194">
        <f t="shared" si="263"/>
        <v>0</v>
      </c>
      <c r="IN54" s="194">
        <f t="shared" si="264"/>
        <v>0</v>
      </c>
      <c r="IO54" s="194">
        <f t="shared" si="265"/>
        <v>0</v>
      </c>
      <c r="IP54" s="194">
        <f t="shared" si="266"/>
        <v>0</v>
      </c>
      <c r="IQ54" s="194">
        <f t="shared" si="267"/>
        <v>0</v>
      </c>
      <c r="IR54" s="194">
        <f t="shared" si="268"/>
        <v>0</v>
      </c>
      <c r="IS54" s="194">
        <f t="shared" si="269"/>
        <v>0</v>
      </c>
      <c r="IT54" s="194">
        <f t="shared" si="270"/>
        <v>0</v>
      </c>
      <c r="IU54" s="194">
        <f t="shared" si="271"/>
        <v>0</v>
      </c>
      <c r="IV54" s="194">
        <f t="shared" si="272"/>
        <v>0</v>
      </c>
      <c r="IW54" s="194">
        <f t="shared" si="273"/>
        <v>0</v>
      </c>
      <c r="IX54" s="194">
        <f t="shared" si="274"/>
        <v>0</v>
      </c>
      <c r="IY54" s="194">
        <f t="shared" si="275"/>
        <v>0</v>
      </c>
      <c r="IZ54" s="194">
        <f t="shared" si="276"/>
        <v>0</v>
      </c>
      <c r="JA54" s="194">
        <f t="shared" si="277"/>
        <v>0</v>
      </c>
      <c r="JB54" s="194">
        <f t="shared" si="278"/>
        <v>0</v>
      </c>
      <c r="JC54" s="194">
        <f t="shared" si="279"/>
        <v>0</v>
      </c>
      <c r="JD54" s="194">
        <f t="shared" si="280"/>
        <v>0</v>
      </c>
      <c r="JE54" s="194">
        <f t="shared" si="281"/>
        <v>0</v>
      </c>
      <c r="JF54" s="194">
        <f t="shared" si="282"/>
        <v>0</v>
      </c>
      <c r="JG54" s="194">
        <f t="shared" si="283"/>
        <v>0</v>
      </c>
      <c r="JH54" s="194">
        <f t="shared" si="284"/>
        <v>0</v>
      </c>
      <c r="JI54" s="228">
        <v>46</v>
      </c>
      <c r="JJ54" s="229" t="str">
        <f t="shared" si="121"/>
        <v/>
      </c>
      <c r="JK54" s="229" t="str">
        <f t="shared" si="122"/>
        <v/>
      </c>
      <c r="JL54" s="229" t="str">
        <f t="shared" si="123"/>
        <v/>
      </c>
      <c r="JM54" s="229" t="str">
        <f t="shared" si="124"/>
        <v/>
      </c>
      <c r="JN54" s="229" t="str">
        <f t="shared" si="125"/>
        <v/>
      </c>
      <c r="JO54" s="229" t="str">
        <f t="shared" si="126"/>
        <v/>
      </c>
      <c r="JP54" s="229" t="str">
        <f t="shared" si="127"/>
        <v/>
      </c>
      <c r="JQ54" s="229" t="str">
        <f t="shared" si="128"/>
        <v/>
      </c>
      <c r="JR54" s="229" t="str">
        <f t="shared" si="129"/>
        <v/>
      </c>
      <c r="JS54" s="229" t="str">
        <f t="shared" si="130"/>
        <v/>
      </c>
      <c r="JT54" s="229" t="str">
        <f t="shared" si="131"/>
        <v/>
      </c>
      <c r="JU54" s="229" t="str">
        <f t="shared" si="132"/>
        <v/>
      </c>
      <c r="JV54" s="229" t="str">
        <f t="shared" si="133"/>
        <v/>
      </c>
      <c r="JW54" s="229" t="str">
        <f t="shared" si="134"/>
        <v/>
      </c>
      <c r="JX54" s="229" t="str">
        <f t="shared" si="135"/>
        <v/>
      </c>
      <c r="JY54" s="229" t="str">
        <f t="shared" si="136"/>
        <v/>
      </c>
      <c r="JZ54" s="229" t="str">
        <f t="shared" si="137"/>
        <v/>
      </c>
      <c r="KA54" s="229" t="str">
        <f t="shared" si="138"/>
        <v/>
      </c>
      <c r="KB54" s="229" t="str">
        <f t="shared" si="139"/>
        <v/>
      </c>
      <c r="KC54" s="229" t="str">
        <f t="shared" si="140"/>
        <v/>
      </c>
      <c r="KD54" s="231" t="str">
        <f t="shared" si="141"/>
        <v/>
      </c>
      <c r="KE54" s="232" t="str">
        <f>IF(KD54="","",IF(KD54&gt;=KONVERSI!$A$5,KONVERSI!$E$12,IF(KD54&gt;=KONVERSI!$A$6,KONVERSI!$E$13,IF(KD54&gt;=KONVERSI!$A$7,KONVERSI!$E$14,KONVERSI!$E$15))))</f>
        <v/>
      </c>
      <c r="KF54" s="233" t="str">
        <f t="shared" si="142"/>
        <v/>
      </c>
      <c r="KG54" s="234" t="str">
        <f t="shared" si="143"/>
        <v/>
      </c>
      <c r="KH54" s="232" t="str">
        <f>IF(KG54="","",IF(KG54&gt;=KONVERSI!$A$5,KONVERSI!$E$12,IF(KG54&gt;=KONVERSI!$A$6,KONVERSI!$E$13,IF(KG54&gt;=KONVERSI!$A$7,KONVERSI!$E$14,KONVERSI!$E$15))))</f>
        <v/>
      </c>
      <c r="KI54" s="134" t="str">
        <f>IF(GC54="","",IF(GC54&lt;$GD$3," "&amp;KONVERSI!$C$19&amp;INDEX($JJ$8:$KC$8,MATCH(KG55,JJ55:KC55,0))&amp;".",IF(GC54=0,"",IF(KG54&lt;&gt;0,KF54&amp;KH54&amp;".",KF54&amp;"."))))</f>
        <v/>
      </c>
      <c r="KJ54" s="235" t="str">
        <f t="shared" si="144"/>
        <v/>
      </c>
      <c r="KK54" s="235" t="str">
        <f t="shared" si="145"/>
        <v/>
      </c>
      <c r="KL54" s="235" t="str">
        <f t="shared" si="146"/>
        <v/>
      </c>
      <c r="KM54" s="235" t="str">
        <f t="shared" si="147"/>
        <v/>
      </c>
      <c r="KN54" s="235" t="str">
        <f t="shared" si="148"/>
        <v/>
      </c>
      <c r="KO54" s="235" t="str">
        <f t="shared" si="149"/>
        <v/>
      </c>
      <c r="KP54" s="235" t="str">
        <f t="shared" si="150"/>
        <v/>
      </c>
      <c r="KQ54" s="235" t="str">
        <f t="shared" si="151"/>
        <v/>
      </c>
      <c r="KR54" s="235" t="str">
        <f t="shared" si="152"/>
        <v/>
      </c>
      <c r="KS54" s="235" t="str">
        <f t="shared" si="153"/>
        <v/>
      </c>
      <c r="KT54" s="235" t="str">
        <f t="shared" si="154"/>
        <v/>
      </c>
      <c r="KU54" s="235" t="str">
        <f t="shared" si="155"/>
        <v/>
      </c>
      <c r="KV54" s="235" t="str">
        <f t="shared" si="156"/>
        <v/>
      </c>
      <c r="KW54" s="235" t="str">
        <f t="shared" si="157"/>
        <v/>
      </c>
      <c r="KX54" s="235" t="str">
        <f t="shared" si="158"/>
        <v/>
      </c>
      <c r="KY54" s="235" t="str">
        <f t="shared" si="159"/>
        <v/>
      </c>
      <c r="KZ54" s="235" t="str">
        <f t="shared" si="160"/>
        <v/>
      </c>
      <c r="LA54" s="235" t="str">
        <f t="shared" si="161"/>
        <v/>
      </c>
      <c r="LB54" s="235" t="str">
        <f t="shared" si="162"/>
        <v/>
      </c>
      <c r="LC54" s="235" t="str">
        <f t="shared" si="163"/>
        <v/>
      </c>
      <c r="LD54" s="134" t="str">
        <f t="shared" si="291"/>
        <v/>
      </c>
      <c r="LE54" s="134" t="str">
        <f t="shared" si="291"/>
        <v/>
      </c>
      <c r="LF54" s="134" t="str">
        <f t="shared" si="289"/>
        <v/>
      </c>
      <c r="LG54" s="134" t="str">
        <f t="shared" si="289"/>
        <v/>
      </c>
      <c r="LH54" s="134" t="str">
        <f t="shared" si="289"/>
        <v/>
      </c>
      <c r="LI54" s="134" t="str">
        <f t="shared" si="289"/>
        <v/>
      </c>
      <c r="LJ54" s="134" t="str">
        <f t="shared" si="289"/>
        <v/>
      </c>
      <c r="LK54" s="134" t="str">
        <f t="shared" si="289"/>
        <v/>
      </c>
      <c r="LL54" s="134" t="str">
        <f t="shared" si="289"/>
        <v/>
      </c>
      <c r="LM54" s="134" t="str">
        <f t="shared" si="289"/>
        <v/>
      </c>
      <c r="LN54" s="134" t="str">
        <f t="shared" si="289"/>
        <v/>
      </c>
      <c r="LO54" s="134" t="str">
        <f t="shared" si="287"/>
        <v/>
      </c>
      <c r="LP54" s="134" t="str">
        <f t="shared" si="287"/>
        <v/>
      </c>
      <c r="LQ54" s="134" t="str">
        <f t="shared" si="287"/>
        <v/>
      </c>
      <c r="LR54" s="134" t="str">
        <f t="shared" si="287"/>
        <v/>
      </c>
      <c r="LS54" s="134" t="str">
        <f t="shared" si="287"/>
        <v/>
      </c>
      <c r="LT54" s="134" t="str">
        <f t="shared" si="287"/>
        <v/>
      </c>
      <c r="LU54" s="134" t="str">
        <f t="shared" si="287"/>
        <v/>
      </c>
      <c r="LV54" s="134" t="str">
        <f t="shared" si="287"/>
        <v/>
      </c>
      <c r="LW54" s="134" t="str">
        <f t="shared" si="287"/>
        <v/>
      </c>
      <c r="LX54" s="134" t="str">
        <f t="shared" si="165"/>
        <v/>
      </c>
      <c r="LY54" s="134" t="str">
        <f t="shared" si="166"/>
        <v>  </v>
      </c>
      <c r="LZ54" s="236">
        <f t="shared" si="285"/>
        <v>0</v>
      </c>
      <c r="MA54" s="235" t="str">
        <f t="shared" si="167"/>
        <v/>
      </c>
      <c r="MB54" s="235" t="str">
        <f t="shared" si="168"/>
        <v/>
      </c>
      <c r="MC54" s="235" t="str">
        <f t="shared" si="169"/>
        <v/>
      </c>
      <c r="MD54" s="235" t="str">
        <f t="shared" si="170"/>
        <v/>
      </c>
      <c r="ME54" s="235" t="str">
        <f t="shared" si="171"/>
        <v/>
      </c>
      <c r="MF54" s="235" t="str">
        <f t="shared" si="172"/>
        <v/>
      </c>
      <c r="MG54" s="235" t="str">
        <f t="shared" si="173"/>
        <v/>
      </c>
      <c r="MH54" s="235" t="str">
        <f t="shared" si="174"/>
        <v/>
      </c>
      <c r="MI54" s="235" t="str">
        <f t="shared" si="175"/>
        <v/>
      </c>
      <c r="MJ54" s="235" t="str">
        <f t="shared" si="176"/>
        <v/>
      </c>
      <c r="MK54" s="235" t="str">
        <f t="shared" si="177"/>
        <v/>
      </c>
      <c r="ML54" s="235" t="str">
        <f t="shared" si="178"/>
        <v/>
      </c>
      <c r="MM54" s="235" t="str">
        <f t="shared" si="179"/>
        <v/>
      </c>
      <c r="MN54" s="235" t="str">
        <f t="shared" si="180"/>
        <v/>
      </c>
      <c r="MO54" s="235" t="str">
        <f t="shared" si="181"/>
        <v/>
      </c>
      <c r="MP54" s="235" t="str">
        <f t="shared" si="182"/>
        <v/>
      </c>
      <c r="MQ54" s="235" t="str">
        <f t="shared" si="183"/>
        <v/>
      </c>
      <c r="MR54" s="235" t="str">
        <f t="shared" si="184"/>
        <v/>
      </c>
      <c r="MS54" s="235" t="str">
        <f t="shared" si="185"/>
        <v/>
      </c>
      <c r="MT54" s="235" t="str">
        <f t="shared" si="186"/>
        <v/>
      </c>
      <c r="MU54" s="134" t="str">
        <f t="shared" si="292"/>
        <v/>
      </c>
      <c r="MV54" s="134" t="str">
        <f t="shared" si="292"/>
        <v/>
      </c>
      <c r="MW54" s="134" t="str">
        <f t="shared" si="290"/>
        <v/>
      </c>
      <c r="MX54" s="134" t="str">
        <f t="shared" si="290"/>
        <v/>
      </c>
      <c r="MY54" s="134" t="str">
        <f t="shared" si="290"/>
        <v/>
      </c>
      <c r="MZ54" s="134" t="str">
        <f t="shared" si="290"/>
        <v/>
      </c>
      <c r="NA54" s="134" t="str">
        <f t="shared" si="290"/>
        <v/>
      </c>
      <c r="NB54" s="134" t="str">
        <f t="shared" si="290"/>
        <v/>
      </c>
      <c r="NC54" s="134" t="str">
        <f t="shared" si="290"/>
        <v/>
      </c>
      <c r="ND54" s="134" t="str">
        <f t="shared" si="290"/>
        <v/>
      </c>
      <c r="NE54" s="134" t="str">
        <f t="shared" si="290"/>
        <v/>
      </c>
      <c r="NF54" s="134" t="str">
        <f t="shared" si="288"/>
        <v/>
      </c>
      <c r="NG54" s="134" t="str">
        <f t="shared" si="288"/>
        <v/>
      </c>
      <c r="NH54" s="134" t="str">
        <f t="shared" si="288"/>
        <v/>
      </c>
      <c r="NI54" s="134" t="str">
        <f t="shared" si="288"/>
        <v/>
      </c>
      <c r="NJ54" s="134" t="str">
        <f t="shared" si="288"/>
        <v/>
      </c>
      <c r="NK54" s="134" t="str">
        <f t="shared" si="288"/>
        <v/>
      </c>
      <c r="NL54" s="134" t="str">
        <f t="shared" si="288"/>
        <v/>
      </c>
      <c r="NM54" s="134" t="str">
        <f t="shared" si="288"/>
        <v/>
      </c>
      <c r="NN54" s="134" t="str">
        <f t="shared" si="288"/>
        <v/>
      </c>
      <c r="NO54" s="134" t="str">
        <f>IF(KE54=KH54,"",IF(KG54="","",IF(KG54&gt;=KONVERSI!$A$14,'KI4'!KH54&amp;" dalam"&amp;MU54&amp;MV54&amp;MW54&amp;MX54&amp;MY54&amp;MZ54&amp;NA54&amp;NB54&amp;NC54&amp;ND54&amp;NE54&amp;NF54&amp;NG54&amp;NH54&amp;NI54&amp;NJ54&amp;NK54&amp;NL54&amp;NM54&amp;NN54,KONVERSI!$C$19&amp;" dalam"&amp;MU54&amp;MV54&amp;MW54&amp;MX54&amp;MY54&amp;MZ54&amp;NA54&amp;NB54&amp;NC54&amp;ND54&amp;NE54&amp;NF54&amp;NG54&amp;NH54&amp;NI54&amp;NJ54&amp;NK54&amp;NL54&amp;NM54&amp;NN54)))</f>
        <v/>
      </c>
      <c r="NP54" s="134" t="str">
        <f t="shared" si="188"/>
        <v/>
      </c>
      <c r="NQ54" s="236">
        <f t="shared" si="286"/>
        <v>0</v>
      </c>
      <c r="NR54" s="134" t="str">
        <f t="shared" si="189"/>
        <v/>
      </c>
    </row>
    <row r="55" ht="27.6" customHeight="1" spans="1:382">
      <c r="A55" s="136"/>
      <c r="B55" s="177">
        <v>47</v>
      </c>
      <c r="C55" s="180">
        <f>siswa!C51</f>
        <v>0</v>
      </c>
      <c r="D55" s="174">
        <f>siswa!D51</f>
        <v>0</v>
      </c>
      <c r="E55" s="181"/>
      <c r="F55" s="176"/>
      <c r="G55" s="176"/>
      <c r="H55" s="176"/>
      <c r="I55" s="176"/>
      <c r="J55" s="176"/>
      <c r="K55" s="176"/>
      <c r="L55" s="176"/>
      <c r="M55" s="194" t="str">
        <f t="shared" si="192"/>
        <v/>
      </c>
      <c r="N55" s="181"/>
      <c r="O55" s="176"/>
      <c r="P55" s="176"/>
      <c r="Q55" s="176"/>
      <c r="R55" s="176"/>
      <c r="S55" s="176"/>
      <c r="T55" s="176"/>
      <c r="U55" s="176"/>
      <c r="V55" s="194" t="str">
        <f t="shared" si="193"/>
        <v/>
      </c>
      <c r="W55" s="181"/>
      <c r="X55" s="176"/>
      <c r="Y55" s="176"/>
      <c r="Z55" s="176"/>
      <c r="AA55" s="176"/>
      <c r="AB55" s="176"/>
      <c r="AC55" s="176"/>
      <c r="AD55" s="176"/>
      <c r="AE55" s="194" t="str">
        <f t="shared" si="194"/>
        <v/>
      </c>
      <c r="AF55" s="181"/>
      <c r="AG55" s="176"/>
      <c r="AH55" s="176"/>
      <c r="AI55" s="176"/>
      <c r="AJ55" s="176"/>
      <c r="AK55" s="176"/>
      <c r="AL55" s="176"/>
      <c r="AM55" s="176"/>
      <c r="AN55" s="194" t="str">
        <f t="shared" si="195"/>
        <v/>
      </c>
      <c r="AO55" s="181"/>
      <c r="AP55" s="176"/>
      <c r="AQ55" s="176"/>
      <c r="AR55" s="176"/>
      <c r="AS55" s="176"/>
      <c r="AT55" s="176"/>
      <c r="AU55" s="176"/>
      <c r="AV55" s="176"/>
      <c r="AW55" s="194" t="str">
        <f t="shared" si="112"/>
        <v/>
      </c>
      <c r="AX55" s="181"/>
      <c r="AY55" s="176"/>
      <c r="AZ55" s="176"/>
      <c r="BA55" s="176"/>
      <c r="BB55" s="176"/>
      <c r="BC55" s="176"/>
      <c r="BD55" s="176"/>
      <c r="BE55" s="176"/>
      <c r="BF55" s="194" t="str">
        <f t="shared" si="196"/>
        <v/>
      </c>
      <c r="BG55" s="181"/>
      <c r="BH55" s="176"/>
      <c r="BI55" s="176"/>
      <c r="BJ55" s="176"/>
      <c r="BK55" s="176"/>
      <c r="BL55" s="176"/>
      <c r="BM55" s="176"/>
      <c r="BN55" s="176"/>
      <c r="BO55" s="194" t="str">
        <f t="shared" si="113"/>
        <v/>
      </c>
      <c r="BP55" s="181"/>
      <c r="BQ55" s="176"/>
      <c r="BR55" s="176"/>
      <c r="BS55" s="176"/>
      <c r="BT55" s="176"/>
      <c r="BU55" s="176"/>
      <c r="BV55" s="176"/>
      <c r="BW55" s="176"/>
      <c r="BX55" s="194" t="str">
        <f t="shared" si="114"/>
        <v/>
      </c>
      <c r="BY55" s="181"/>
      <c r="BZ55" s="176"/>
      <c r="CA55" s="176"/>
      <c r="CB55" s="176"/>
      <c r="CC55" s="176"/>
      <c r="CD55" s="176"/>
      <c r="CE55" s="176"/>
      <c r="CF55" s="176"/>
      <c r="CG55" s="194" t="str">
        <f t="shared" si="115"/>
        <v/>
      </c>
      <c r="CH55" s="181"/>
      <c r="CI55" s="176"/>
      <c r="CJ55" s="176"/>
      <c r="CK55" s="176"/>
      <c r="CL55" s="176"/>
      <c r="CM55" s="176"/>
      <c r="CN55" s="176"/>
      <c r="CO55" s="176"/>
      <c r="CP55" s="194" t="str">
        <f t="shared" si="197"/>
        <v/>
      </c>
      <c r="CQ55" s="181"/>
      <c r="CR55" s="176"/>
      <c r="CS55" s="176"/>
      <c r="CT55" s="176"/>
      <c r="CU55" s="176"/>
      <c r="CV55" s="176"/>
      <c r="CW55" s="176"/>
      <c r="CX55" s="176"/>
      <c r="CY55" s="194" t="str">
        <f t="shared" si="116"/>
        <v/>
      </c>
      <c r="CZ55" s="181"/>
      <c r="DA55" s="176"/>
      <c r="DB55" s="176"/>
      <c r="DC55" s="176"/>
      <c r="DD55" s="176"/>
      <c r="DE55" s="176"/>
      <c r="DF55" s="176"/>
      <c r="DG55" s="176"/>
      <c r="DH55" s="194" t="str">
        <f t="shared" si="198"/>
        <v/>
      </c>
      <c r="DI55" s="181"/>
      <c r="DJ55" s="176"/>
      <c r="DK55" s="176"/>
      <c r="DL55" s="176"/>
      <c r="DM55" s="176"/>
      <c r="DN55" s="176"/>
      <c r="DO55" s="176"/>
      <c r="DP55" s="176"/>
      <c r="DQ55" s="194" t="str">
        <f t="shared" si="117"/>
        <v/>
      </c>
      <c r="DR55" s="181"/>
      <c r="DS55" s="176"/>
      <c r="DT55" s="176"/>
      <c r="DU55" s="176"/>
      <c r="DV55" s="176"/>
      <c r="DW55" s="176"/>
      <c r="DX55" s="176"/>
      <c r="DY55" s="176"/>
      <c r="DZ55" s="194" t="str">
        <f t="shared" si="199"/>
        <v/>
      </c>
      <c r="EA55" s="181"/>
      <c r="EB55" s="176"/>
      <c r="EC55" s="176"/>
      <c r="ED55" s="176"/>
      <c r="EE55" s="176"/>
      <c r="EF55" s="176"/>
      <c r="EG55" s="176"/>
      <c r="EH55" s="176"/>
      <c r="EI55" s="194" t="str">
        <f t="shared" si="200"/>
        <v/>
      </c>
      <c r="EJ55" s="181"/>
      <c r="EK55" s="176"/>
      <c r="EL55" s="176"/>
      <c r="EM55" s="176"/>
      <c r="EN55" s="176"/>
      <c r="EO55" s="176"/>
      <c r="EP55" s="176"/>
      <c r="EQ55" s="176"/>
      <c r="ER55" s="194" t="str">
        <f t="shared" si="201"/>
        <v/>
      </c>
      <c r="ES55" s="181"/>
      <c r="ET55" s="176"/>
      <c r="EU55" s="176"/>
      <c r="EV55" s="176"/>
      <c r="EW55" s="176"/>
      <c r="EX55" s="176"/>
      <c r="EY55" s="176"/>
      <c r="EZ55" s="176"/>
      <c r="FA55" s="194" t="str">
        <f t="shared" si="202"/>
        <v/>
      </c>
      <c r="FB55" s="181"/>
      <c r="FC55" s="176"/>
      <c r="FD55" s="176"/>
      <c r="FE55" s="176"/>
      <c r="FF55" s="176"/>
      <c r="FG55" s="176"/>
      <c r="FH55" s="176"/>
      <c r="FI55" s="176"/>
      <c r="FJ55" s="194" t="str">
        <f t="shared" si="203"/>
        <v/>
      </c>
      <c r="FK55" s="181"/>
      <c r="FL55" s="176"/>
      <c r="FM55" s="176"/>
      <c r="FN55" s="176"/>
      <c r="FO55" s="176"/>
      <c r="FP55" s="176"/>
      <c r="FQ55" s="176"/>
      <c r="FR55" s="176"/>
      <c r="FS55" s="194" t="str">
        <f t="shared" si="204"/>
        <v/>
      </c>
      <c r="FT55" s="181"/>
      <c r="FU55" s="176"/>
      <c r="FV55" s="176"/>
      <c r="FW55" s="176"/>
      <c r="FX55" s="176"/>
      <c r="FY55" s="176"/>
      <c r="FZ55" s="176"/>
      <c r="GA55" s="176"/>
      <c r="GB55" s="194" t="str">
        <f t="shared" si="118"/>
        <v/>
      </c>
      <c r="GC55" s="194" t="str">
        <f t="shared" si="119"/>
        <v/>
      </c>
      <c r="GD55" s="194" t="str">
        <f>IF(GC55="","",IF(GC55&gt;=KONVERSI!$A$5,KONVERSI!$D$5,IF(GC55&gt;=KONVERSI!$A$6,KONVERSI!$D$6,IF(GC55&gt;=KONVERSI!$A$7,KONVERSI!$D$7,KONVERSI!$D$8))))</f>
        <v/>
      </c>
      <c r="GE55" s="194" t="str">
        <f t="shared" si="120"/>
        <v/>
      </c>
      <c r="GF55" s="222"/>
      <c r="GG55" s="223">
        <f t="shared" si="205"/>
        <v>0</v>
      </c>
      <c r="GH55" s="194">
        <f t="shared" si="206"/>
        <v>0</v>
      </c>
      <c r="GI55" s="194">
        <f t="shared" si="207"/>
        <v>0</v>
      </c>
      <c r="GJ55" s="194">
        <f t="shared" si="208"/>
        <v>0</v>
      </c>
      <c r="GK55" s="194">
        <f t="shared" si="209"/>
        <v>0</v>
      </c>
      <c r="GL55" s="194">
        <f t="shared" si="210"/>
        <v>0</v>
      </c>
      <c r="GM55" s="194">
        <f t="shared" si="211"/>
        <v>0</v>
      </c>
      <c r="GN55" s="194">
        <f t="shared" si="212"/>
        <v>0</v>
      </c>
      <c r="GO55" s="194">
        <f t="shared" si="213"/>
        <v>0</v>
      </c>
      <c r="GP55" s="194">
        <f t="shared" si="214"/>
        <v>0</v>
      </c>
      <c r="GQ55" s="194">
        <f t="shared" si="215"/>
        <v>0</v>
      </c>
      <c r="GR55" s="194">
        <f t="shared" si="216"/>
        <v>0</v>
      </c>
      <c r="GS55" s="194">
        <f t="shared" si="217"/>
        <v>0</v>
      </c>
      <c r="GT55" s="194">
        <f t="shared" si="218"/>
        <v>0</v>
      </c>
      <c r="GU55" s="194">
        <f t="shared" si="219"/>
        <v>0</v>
      </c>
      <c r="GV55" s="194">
        <f t="shared" si="220"/>
        <v>0</v>
      </c>
      <c r="GW55" s="194">
        <f t="shared" si="221"/>
        <v>0</v>
      </c>
      <c r="GX55" s="194">
        <f t="shared" si="222"/>
        <v>0</v>
      </c>
      <c r="GY55" s="194">
        <f t="shared" si="223"/>
        <v>0</v>
      </c>
      <c r="GZ55" s="194">
        <f t="shared" si="224"/>
        <v>0</v>
      </c>
      <c r="HA55" s="194">
        <f t="shared" si="225"/>
        <v>0</v>
      </c>
      <c r="HB55" s="194">
        <f t="shared" si="226"/>
        <v>0</v>
      </c>
      <c r="HC55" s="194">
        <f t="shared" si="227"/>
        <v>0</v>
      </c>
      <c r="HD55" s="194">
        <f t="shared" si="228"/>
        <v>0</v>
      </c>
      <c r="HE55" s="194">
        <f t="shared" si="229"/>
        <v>0</v>
      </c>
      <c r="HF55" s="194">
        <f t="shared" si="230"/>
        <v>0</v>
      </c>
      <c r="HG55" s="194">
        <f t="shared" si="231"/>
        <v>0</v>
      </c>
      <c r="HH55" s="194">
        <f t="shared" si="232"/>
        <v>0</v>
      </c>
      <c r="HI55" s="194">
        <f t="shared" si="233"/>
        <v>0</v>
      </c>
      <c r="HJ55" s="194">
        <f t="shared" si="234"/>
        <v>0</v>
      </c>
      <c r="HK55" s="194">
        <f t="shared" si="235"/>
        <v>0</v>
      </c>
      <c r="HL55" s="194">
        <f t="shared" si="236"/>
        <v>0</v>
      </c>
      <c r="HM55" s="194">
        <f t="shared" si="237"/>
        <v>0</v>
      </c>
      <c r="HN55" s="194">
        <f t="shared" si="238"/>
        <v>0</v>
      </c>
      <c r="HO55" s="194">
        <f t="shared" si="239"/>
        <v>0</v>
      </c>
      <c r="HP55" s="194">
        <f t="shared" si="240"/>
        <v>0</v>
      </c>
      <c r="HQ55" s="194">
        <f t="shared" si="241"/>
        <v>0</v>
      </c>
      <c r="HR55" s="194">
        <f t="shared" si="242"/>
        <v>0</v>
      </c>
      <c r="HS55" s="194">
        <f t="shared" si="243"/>
        <v>0</v>
      </c>
      <c r="HT55" s="194">
        <f t="shared" si="244"/>
        <v>0</v>
      </c>
      <c r="HU55" s="194">
        <f t="shared" si="245"/>
        <v>0</v>
      </c>
      <c r="HV55" s="194">
        <f t="shared" si="246"/>
        <v>0</v>
      </c>
      <c r="HW55" s="194">
        <f t="shared" si="247"/>
        <v>0</v>
      </c>
      <c r="HX55" s="194">
        <f t="shared" si="248"/>
        <v>0</v>
      </c>
      <c r="HY55" s="194">
        <f t="shared" si="249"/>
        <v>0</v>
      </c>
      <c r="HZ55" s="194">
        <f t="shared" si="250"/>
        <v>0</v>
      </c>
      <c r="IA55" s="194">
        <f t="shared" si="251"/>
        <v>0</v>
      </c>
      <c r="IB55" s="194">
        <f t="shared" si="252"/>
        <v>0</v>
      </c>
      <c r="IC55" s="194">
        <f t="shared" si="253"/>
        <v>0</v>
      </c>
      <c r="ID55" s="194">
        <f t="shared" si="254"/>
        <v>0</v>
      </c>
      <c r="IE55" s="194">
        <f t="shared" si="255"/>
        <v>0</v>
      </c>
      <c r="IF55" s="194">
        <f t="shared" si="256"/>
        <v>0</v>
      </c>
      <c r="IG55" s="194">
        <f t="shared" si="257"/>
        <v>0</v>
      </c>
      <c r="IH55" s="194">
        <f t="shared" si="258"/>
        <v>0</v>
      </c>
      <c r="II55" s="194">
        <f t="shared" si="259"/>
        <v>0</v>
      </c>
      <c r="IJ55" s="194">
        <f t="shared" si="260"/>
        <v>0</v>
      </c>
      <c r="IK55" s="194">
        <f t="shared" si="261"/>
        <v>0</v>
      </c>
      <c r="IL55" s="194">
        <f t="shared" si="262"/>
        <v>0</v>
      </c>
      <c r="IM55" s="194">
        <f t="shared" si="263"/>
        <v>0</v>
      </c>
      <c r="IN55" s="194">
        <f t="shared" si="264"/>
        <v>0</v>
      </c>
      <c r="IO55" s="194">
        <f t="shared" si="265"/>
        <v>0</v>
      </c>
      <c r="IP55" s="194">
        <f t="shared" si="266"/>
        <v>0</v>
      </c>
      <c r="IQ55" s="194">
        <f t="shared" si="267"/>
        <v>0</v>
      </c>
      <c r="IR55" s="194">
        <f t="shared" si="268"/>
        <v>0</v>
      </c>
      <c r="IS55" s="194">
        <f t="shared" si="269"/>
        <v>0</v>
      </c>
      <c r="IT55" s="194">
        <f t="shared" si="270"/>
        <v>0</v>
      </c>
      <c r="IU55" s="194">
        <f t="shared" si="271"/>
        <v>0</v>
      </c>
      <c r="IV55" s="194">
        <f t="shared" si="272"/>
        <v>0</v>
      </c>
      <c r="IW55" s="194">
        <f t="shared" si="273"/>
        <v>0</v>
      </c>
      <c r="IX55" s="194">
        <f t="shared" si="274"/>
        <v>0</v>
      </c>
      <c r="IY55" s="194">
        <f t="shared" si="275"/>
        <v>0</v>
      </c>
      <c r="IZ55" s="194">
        <f t="shared" si="276"/>
        <v>0</v>
      </c>
      <c r="JA55" s="194">
        <f t="shared" si="277"/>
        <v>0</v>
      </c>
      <c r="JB55" s="194">
        <f t="shared" si="278"/>
        <v>0</v>
      </c>
      <c r="JC55" s="194">
        <f t="shared" si="279"/>
        <v>0</v>
      </c>
      <c r="JD55" s="194">
        <f t="shared" si="280"/>
        <v>0</v>
      </c>
      <c r="JE55" s="194">
        <f t="shared" si="281"/>
        <v>0</v>
      </c>
      <c r="JF55" s="194">
        <f t="shared" si="282"/>
        <v>0</v>
      </c>
      <c r="JG55" s="194">
        <f t="shared" si="283"/>
        <v>0</v>
      </c>
      <c r="JH55" s="194">
        <f t="shared" si="284"/>
        <v>0</v>
      </c>
      <c r="JI55" s="228">
        <v>47</v>
      </c>
      <c r="JJ55" s="229" t="str">
        <f t="shared" si="121"/>
        <v/>
      </c>
      <c r="JK55" s="229" t="str">
        <f t="shared" si="122"/>
        <v/>
      </c>
      <c r="JL55" s="229" t="str">
        <f t="shared" si="123"/>
        <v/>
      </c>
      <c r="JM55" s="229" t="str">
        <f t="shared" si="124"/>
        <v/>
      </c>
      <c r="JN55" s="229" t="str">
        <f t="shared" si="125"/>
        <v/>
      </c>
      <c r="JO55" s="229" t="str">
        <f t="shared" si="126"/>
        <v/>
      </c>
      <c r="JP55" s="229" t="str">
        <f t="shared" si="127"/>
        <v/>
      </c>
      <c r="JQ55" s="229" t="str">
        <f t="shared" si="128"/>
        <v/>
      </c>
      <c r="JR55" s="229" t="str">
        <f t="shared" si="129"/>
        <v/>
      </c>
      <c r="JS55" s="229" t="str">
        <f t="shared" si="130"/>
        <v/>
      </c>
      <c r="JT55" s="229" t="str">
        <f t="shared" si="131"/>
        <v/>
      </c>
      <c r="JU55" s="229" t="str">
        <f t="shared" si="132"/>
        <v/>
      </c>
      <c r="JV55" s="229" t="str">
        <f t="shared" si="133"/>
        <v/>
      </c>
      <c r="JW55" s="229" t="str">
        <f t="shared" si="134"/>
        <v/>
      </c>
      <c r="JX55" s="229" t="str">
        <f t="shared" si="135"/>
        <v/>
      </c>
      <c r="JY55" s="229" t="str">
        <f t="shared" si="136"/>
        <v/>
      </c>
      <c r="JZ55" s="229" t="str">
        <f t="shared" si="137"/>
        <v/>
      </c>
      <c r="KA55" s="229" t="str">
        <f t="shared" si="138"/>
        <v/>
      </c>
      <c r="KB55" s="229" t="str">
        <f t="shared" si="139"/>
        <v/>
      </c>
      <c r="KC55" s="229" t="str">
        <f t="shared" si="140"/>
        <v/>
      </c>
      <c r="KD55" s="231" t="str">
        <f t="shared" si="141"/>
        <v/>
      </c>
      <c r="KE55" s="232" t="str">
        <f>IF(KD55="","",IF(KD55&gt;=KONVERSI!$A$5,KONVERSI!$E$12,IF(KD55&gt;=KONVERSI!$A$6,KONVERSI!$E$13,IF(KD55&gt;=KONVERSI!$A$7,KONVERSI!$E$14,KONVERSI!$E$15))))</f>
        <v/>
      </c>
      <c r="KF55" s="233" t="str">
        <f t="shared" si="142"/>
        <v/>
      </c>
      <c r="KG55" s="234" t="str">
        <f t="shared" si="143"/>
        <v/>
      </c>
      <c r="KH55" s="232" t="str">
        <f>IF(KG55="","",IF(KG55&gt;=KONVERSI!$A$5,KONVERSI!$E$12,IF(KG55&gt;=KONVERSI!$A$6,KONVERSI!$E$13,IF(KG55&gt;=KONVERSI!$A$7,KONVERSI!$E$14,KONVERSI!$E$15))))</f>
        <v/>
      </c>
      <c r="KI55" s="134" t="str">
        <f>IF(GC55="","",IF(GC55&lt;$GD$3," "&amp;KONVERSI!$C$19&amp;INDEX($JJ$8:$KC$8,MATCH(KG56,JJ56:KC56,0))&amp;".",IF(GC55=0,"",IF(KG55&lt;&gt;0,KF55&amp;KH55&amp;".",KF55&amp;"."))))</f>
        <v/>
      </c>
      <c r="KJ55" s="235" t="str">
        <f t="shared" si="144"/>
        <v/>
      </c>
      <c r="KK55" s="235" t="str">
        <f t="shared" si="145"/>
        <v/>
      </c>
      <c r="KL55" s="235" t="str">
        <f t="shared" si="146"/>
        <v/>
      </c>
      <c r="KM55" s="235" t="str">
        <f t="shared" si="147"/>
        <v/>
      </c>
      <c r="KN55" s="235" t="str">
        <f t="shared" si="148"/>
        <v/>
      </c>
      <c r="KO55" s="235" t="str">
        <f t="shared" si="149"/>
        <v/>
      </c>
      <c r="KP55" s="235" t="str">
        <f t="shared" si="150"/>
        <v/>
      </c>
      <c r="KQ55" s="235" t="str">
        <f t="shared" si="151"/>
        <v/>
      </c>
      <c r="KR55" s="235" t="str">
        <f t="shared" si="152"/>
        <v/>
      </c>
      <c r="KS55" s="235" t="str">
        <f t="shared" si="153"/>
        <v/>
      </c>
      <c r="KT55" s="235" t="str">
        <f t="shared" si="154"/>
        <v/>
      </c>
      <c r="KU55" s="235" t="str">
        <f t="shared" si="155"/>
        <v/>
      </c>
      <c r="KV55" s="235" t="str">
        <f t="shared" si="156"/>
        <v/>
      </c>
      <c r="KW55" s="235" t="str">
        <f t="shared" si="157"/>
        <v/>
      </c>
      <c r="KX55" s="235" t="str">
        <f t="shared" si="158"/>
        <v/>
      </c>
      <c r="KY55" s="235" t="str">
        <f t="shared" si="159"/>
        <v/>
      </c>
      <c r="KZ55" s="235" t="str">
        <f t="shared" si="160"/>
        <v/>
      </c>
      <c r="LA55" s="235" t="str">
        <f t="shared" si="161"/>
        <v/>
      </c>
      <c r="LB55" s="235" t="str">
        <f t="shared" si="162"/>
        <v/>
      </c>
      <c r="LC55" s="235" t="str">
        <f t="shared" si="163"/>
        <v/>
      </c>
      <c r="LD55" s="134" t="str">
        <f t="shared" si="291"/>
        <v/>
      </c>
      <c r="LE55" s="134" t="str">
        <f t="shared" si="291"/>
        <v/>
      </c>
      <c r="LF55" s="134" t="str">
        <f t="shared" si="289"/>
        <v/>
      </c>
      <c r="LG55" s="134" t="str">
        <f t="shared" si="289"/>
        <v/>
      </c>
      <c r="LH55" s="134" t="str">
        <f t="shared" si="289"/>
        <v/>
      </c>
      <c r="LI55" s="134" t="str">
        <f t="shared" si="289"/>
        <v/>
      </c>
      <c r="LJ55" s="134" t="str">
        <f t="shared" si="289"/>
        <v/>
      </c>
      <c r="LK55" s="134" t="str">
        <f t="shared" si="289"/>
        <v/>
      </c>
      <c r="LL55" s="134" t="str">
        <f t="shared" si="289"/>
        <v/>
      </c>
      <c r="LM55" s="134" t="str">
        <f t="shared" si="289"/>
        <v/>
      </c>
      <c r="LN55" s="134" t="str">
        <f t="shared" si="289"/>
        <v/>
      </c>
      <c r="LO55" s="134" t="str">
        <f t="shared" si="287"/>
        <v/>
      </c>
      <c r="LP55" s="134" t="str">
        <f t="shared" si="287"/>
        <v/>
      </c>
      <c r="LQ55" s="134" t="str">
        <f t="shared" si="287"/>
        <v/>
      </c>
      <c r="LR55" s="134" t="str">
        <f t="shared" si="287"/>
        <v/>
      </c>
      <c r="LS55" s="134" t="str">
        <f t="shared" si="287"/>
        <v/>
      </c>
      <c r="LT55" s="134" t="str">
        <f t="shared" si="287"/>
        <v/>
      </c>
      <c r="LU55" s="134" t="str">
        <f t="shared" si="287"/>
        <v/>
      </c>
      <c r="LV55" s="134" t="str">
        <f t="shared" si="287"/>
        <v/>
      </c>
      <c r="LW55" s="134" t="str">
        <f t="shared" si="287"/>
        <v/>
      </c>
      <c r="LX55" s="134" t="str">
        <f t="shared" si="165"/>
        <v/>
      </c>
      <c r="LY55" s="134" t="str">
        <f t="shared" si="166"/>
        <v>  </v>
      </c>
      <c r="LZ55" s="236">
        <f t="shared" si="285"/>
        <v>0</v>
      </c>
      <c r="MA55" s="235" t="str">
        <f t="shared" si="167"/>
        <v/>
      </c>
      <c r="MB55" s="235" t="str">
        <f t="shared" si="168"/>
        <v/>
      </c>
      <c r="MC55" s="235" t="str">
        <f t="shared" si="169"/>
        <v/>
      </c>
      <c r="MD55" s="235" t="str">
        <f t="shared" si="170"/>
        <v/>
      </c>
      <c r="ME55" s="235" t="str">
        <f t="shared" si="171"/>
        <v/>
      </c>
      <c r="MF55" s="235" t="str">
        <f t="shared" si="172"/>
        <v/>
      </c>
      <c r="MG55" s="235" t="str">
        <f t="shared" si="173"/>
        <v/>
      </c>
      <c r="MH55" s="235" t="str">
        <f t="shared" si="174"/>
        <v/>
      </c>
      <c r="MI55" s="235" t="str">
        <f t="shared" si="175"/>
        <v/>
      </c>
      <c r="MJ55" s="235" t="str">
        <f t="shared" si="176"/>
        <v/>
      </c>
      <c r="MK55" s="235" t="str">
        <f t="shared" si="177"/>
        <v/>
      </c>
      <c r="ML55" s="235" t="str">
        <f t="shared" si="178"/>
        <v/>
      </c>
      <c r="MM55" s="235" t="str">
        <f t="shared" si="179"/>
        <v/>
      </c>
      <c r="MN55" s="235" t="str">
        <f t="shared" si="180"/>
        <v/>
      </c>
      <c r="MO55" s="235" t="str">
        <f t="shared" si="181"/>
        <v/>
      </c>
      <c r="MP55" s="235" t="str">
        <f t="shared" si="182"/>
        <v/>
      </c>
      <c r="MQ55" s="235" t="str">
        <f t="shared" si="183"/>
        <v/>
      </c>
      <c r="MR55" s="235" t="str">
        <f t="shared" si="184"/>
        <v/>
      </c>
      <c r="MS55" s="235" t="str">
        <f t="shared" si="185"/>
        <v/>
      </c>
      <c r="MT55" s="235" t="str">
        <f t="shared" si="186"/>
        <v/>
      </c>
      <c r="MU55" s="134" t="str">
        <f t="shared" si="292"/>
        <v/>
      </c>
      <c r="MV55" s="134" t="str">
        <f t="shared" si="292"/>
        <v/>
      </c>
      <c r="MW55" s="134" t="str">
        <f t="shared" si="290"/>
        <v/>
      </c>
      <c r="MX55" s="134" t="str">
        <f t="shared" si="290"/>
        <v/>
      </c>
      <c r="MY55" s="134" t="str">
        <f t="shared" si="290"/>
        <v/>
      </c>
      <c r="MZ55" s="134" t="str">
        <f t="shared" si="290"/>
        <v/>
      </c>
      <c r="NA55" s="134" t="str">
        <f t="shared" si="290"/>
        <v/>
      </c>
      <c r="NB55" s="134" t="str">
        <f t="shared" si="290"/>
        <v/>
      </c>
      <c r="NC55" s="134" t="str">
        <f t="shared" si="290"/>
        <v/>
      </c>
      <c r="ND55" s="134" t="str">
        <f t="shared" si="290"/>
        <v/>
      </c>
      <c r="NE55" s="134" t="str">
        <f t="shared" si="290"/>
        <v/>
      </c>
      <c r="NF55" s="134" t="str">
        <f t="shared" si="288"/>
        <v/>
      </c>
      <c r="NG55" s="134" t="str">
        <f t="shared" si="288"/>
        <v/>
      </c>
      <c r="NH55" s="134" t="str">
        <f t="shared" si="288"/>
        <v/>
      </c>
      <c r="NI55" s="134" t="str">
        <f t="shared" si="288"/>
        <v/>
      </c>
      <c r="NJ55" s="134" t="str">
        <f t="shared" si="288"/>
        <v/>
      </c>
      <c r="NK55" s="134" t="str">
        <f t="shared" si="288"/>
        <v/>
      </c>
      <c r="NL55" s="134" t="str">
        <f t="shared" si="288"/>
        <v/>
      </c>
      <c r="NM55" s="134" t="str">
        <f t="shared" si="288"/>
        <v/>
      </c>
      <c r="NN55" s="134" t="str">
        <f t="shared" si="288"/>
        <v/>
      </c>
      <c r="NO55" s="134" t="str">
        <f>IF(KE55=KH55,"",IF(KG55="","",IF(KG55&gt;=KONVERSI!$A$14,'KI4'!KH55&amp;" dalam"&amp;MU55&amp;MV55&amp;MW55&amp;MX55&amp;MY55&amp;MZ55&amp;NA55&amp;NB55&amp;NC55&amp;ND55&amp;NE55&amp;NF55&amp;NG55&amp;NH55&amp;NI55&amp;NJ55&amp;NK55&amp;NL55&amp;NM55&amp;NN55,KONVERSI!$C$19&amp;" dalam"&amp;MU55&amp;MV55&amp;MW55&amp;MX55&amp;MY55&amp;MZ55&amp;NA55&amp;NB55&amp;NC55&amp;ND55&amp;NE55&amp;NF55&amp;NG55&amp;NH55&amp;NI55&amp;NJ55&amp;NK55&amp;NL55&amp;NM55&amp;NN55)))</f>
        <v/>
      </c>
      <c r="NP55" s="134" t="str">
        <f t="shared" si="188"/>
        <v/>
      </c>
      <c r="NQ55" s="236">
        <f t="shared" si="286"/>
        <v>0</v>
      </c>
      <c r="NR55" s="134" t="str">
        <f t="shared" si="189"/>
        <v/>
      </c>
    </row>
    <row r="56" ht="27.6" customHeight="1" spans="1:382">
      <c r="A56" s="136"/>
      <c r="B56" s="177">
        <v>48</v>
      </c>
      <c r="C56" s="180">
        <f>siswa!C52</f>
        <v>0</v>
      </c>
      <c r="D56" s="174">
        <f>siswa!D52</f>
        <v>0</v>
      </c>
      <c r="E56" s="181"/>
      <c r="F56" s="176"/>
      <c r="G56" s="176"/>
      <c r="H56" s="176"/>
      <c r="I56" s="176"/>
      <c r="J56" s="176"/>
      <c r="K56" s="176"/>
      <c r="L56" s="176"/>
      <c r="M56" s="194" t="str">
        <f t="shared" si="192"/>
        <v/>
      </c>
      <c r="N56" s="181"/>
      <c r="O56" s="176"/>
      <c r="P56" s="176"/>
      <c r="Q56" s="176"/>
      <c r="R56" s="176"/>
      <c r="S56" s="176"/>
      <c r="T56" s="176"/>
      <c r="U56" s="176"/>
      <c r="V56" s="194" t="str">
        <f t="shared" si="193"/>
        <v/>
      </c>
      <c r="W56" s="181"/>
      <c r="X56" s="176"/>
      <c r="Y56" s="176"/>
      <c r="Z56" s="176"/>
      <c r="AA56" s="176"/>
      <c r="AB56" s="176"/>
      <c r="AC56" s="176"/>
      <c r="AD56" s="176"/>
      <c r="AE56" s="194" t="str">
        <f t="shared" si="194"/>
        <v/>
      </c>
      <c r="AF56" s="181"/>
      <c r="AG56" s="176"/>
      <c r="AH56" s="176"/>
      <c r="AI56" s="176"/>
      <c r="AJ56" s="176"/>
      <c r="AK56" s="176"/>
      <c r="AL56" s="176"/>
      <c r="AM56" s="176"/>
      <c r="AN56" s="194" t="str">
        <f t="shared" si="195"/>
        <v/>
      </c>
      <c r="AO56" s="181"/>
      <c r="AP56" s="176"/>
      <c r="AQ56" s="176"/>
      <c r="AR56" s="176"/>
      <c r="AS56" s="176"/>
      <c r="AT56" s="176"/>
      <c r="AU56" s="176"/>
      <c r="AV56" s="176"/>
      <c r="AW56" s="194" t="str">
        <f t="shared" si="112"/>
        <v/>
      </c>
      <c r="AX56" s="181"/>
      <c r="AY56" s="176"/>
      <c r="AZ56" s="176"/>
      <c r="BA56" s="176"/>
      <c r="BB56" s="176"/>
      <c r="BC56" s="176"/>
      <c r="BD56" s="176"/>
      <c r="BE56" s="176"/>
      <c r="BF56" s="194" t="str">
        <f t="shared" si="196"/>
        <v/>
      </c>
      <c r="BG56" s="181"/>
      <c r="BH56" s="176"/>
      <c r="BI56" s="176"/>
      <c r="BJ56" s="176"/>
      <c r="BK56" s="176"/>
      <c r="BL56" s="176"/>
      <c r="BM56" s="176"/>
      <c r="BN56" s="176"/>
      <c r="BO56" s="194" t="str">
        <f t="shared" si="113"/>
        <v/>
      </c>
      <c r="BP56" s="181"/>
      <c r="BQ56" s="176"/>
      <c r="BR56" s="176"/>
      <c r="BS56" s="176"/>
      <c r="BT56" s="176"/>
      <c r="BU56" s="176"/>
      <c r="BV56" s="176"/>
      <c r="BW56" s="176"/>
      <c r="BX56" s="194" t="str">
        <f t="shared" si="114"/>
        <v/>
      </c>
      <c r="BY56" s="181"/>
      <c r="BZ56" s="176"/>
      <c r="CA56" s="176"/>
      <c r="CB56" s="176"/>
      <c r="CC56" s="176"/>
      <c r="CD56" s="176"/>
      <c r="CE56" s="176"/>
      <c r="CF56" s="176"/>
      <c r="CG56" s="194" t="str">
        <f t="shared" si="115"/>
        <v/>
      </c>
      <c r="CH56" s="181"/>
      <c r="CI56" s="176"/>
      <c r="CJ56" s="176"/>
      <c r="CK56" s="176"/>
      <c r="CL56" s="176"/>
      <c r="CM56" s="176"/>
      <c r="CN56" s="176"/>
      <c r="CO56" s="176"/>
      <c r="CP56" s="194" t="str">
        <f t="shared" si="197"/>
        <v/>
      </c>
      <c r="CQ56" s="181"/>
      <c r="CR56" s="176"/>
      <c r="CS56" s="176"/>
      <c r="CT56" s="176"/>
      <c r="CU56" s="176"/>
      <c r="CV56" s="176"/>
      <c r="CW56" s="176"/>
      <c r="CX56" s="176"/>
      <c r="CY56" s="194" t="str">
        <f t="shared" si="116"/>
        <v/>
      </c>
      <c r="CZ56" s="181"/>
      <c r="DA56" s="176"/>
      <c r="DB56" s="176"/>
      <c r="DC56" s="176"/>
      <c r="DD56" s="176"/>
      <c r="DE56" s="176"/>
      <c r="DF56" s="176"/>
      <c r="DG56" s="176"/>
      <c r="DH56" s="194" t="str">
        <f t="shared" si="198"/>
        <v/>
      </c>
      <c r="DI56" s="181"/>
      <c r="DJ56" s="176"/>
      <c r="DK56" s="176"/>
      <c r="DL56" s="176"/>
      <c r="DM56" s="176"/>
      <c r="DN56" s="176"/>
      <c r="DO56" s="176"/>
      <c r="DP56" s="176"/>
      <c r="DQ56" s="194" t="str">
        <f t="shared" si="117"/>
        <v/>
      </c>
      <c r="DR56" s="181"/>
      <c r="DS56" s="176"/>
      <c r="DT56" s="176"/>
      <c r="DU56" s="176"/>
      <c r="DV56" s="176"/>
      <c r="DW56" s="176"/>
      <c r="DX56" s="176"/>
      <c r="DY56" s="176"/>
      <c r="DZ56" s="194" t="str">
        <f t="shared" si="199"/>
        <v/>
      </c>
      <c r="EA56" s="181"/>
      <c r="EB56" s="176"/>
      <c r="EC56" s="176"/>
      <c r="ED56" s="176"/>
      <c r="EE56" s="176"/>
      <c r="EF56" s="176"/>
      <c r="EG56" s="176"/>
      <c r="EH56" s="176"/>
      <c r="EI56" s="194" t="str">
        <f t="shared" si="200"/>
        <v/>
      </c>
      <c r="EJ56" s="181"/>
      <c r="EK56" s="176"/>
      <c r="EL56" s="176"/>
      <c r="EM56" s="176"/>
      <c r="EN56" s="176"/>
      <c r="EO56" s="176"/>
      <c r="EP56" s="176"/>
      <c r="EQ56" s="176"/>
      <c r="ER56" s="194" t="str">
        <f t="shared" si="201"/>
        <v/>
      </c>
      <c r="ES56" s="181"/>
      <c r="ET56" s="176"/>
      <c r="EU56" s="176"/>
      <c r="EV56" s="176"/>
      <c r="EW56" s="176"/>
      <c r="EX56" s="176"/>
      <c r="EY56" s="176"/>
      <c r="EZ56" s="176"/>
      <c r="FA56" s="194" t="str">
        <f t="shared" si="202"/>
        <v/>
      </c>
      <c r="FB56" s="181"/>
      <c r="FC56" s="176"/>
      <c r="FD56" s="176"/>
      <c r="FE56" s="176"/>
      <c r="FF56" s="176"/>
      <c r="FG56" s="176"/>
      <c r="FH56" s="176"/>
      <c r="FI56" s="176"/>
      <c r="FJ56" s="194" t="str">
        <f t="shared" si="203"/>
        <v/>
      </c>
      <c r="FK56" s="181"/>
      <c r="FL56" s="176"/>
      <c r="FM56" s="176"/>
      <c r="FN56" s="176"/>
      <c r="FO56" s="176"/>
      <c r="FP56" s="176"/>
      <c r="FQ56" s="176"/>
      <c r="FR56" s="176"/>
      <c r="FS56" s="194" t="str">
        <f t="shared" si="204"/>
        <v/>
      </c>
      <c r="FT56" s="181"/>
      <c r="FU56" s="176"/>
      <c r="FV56" s="176"/>
      <c r="FW56" s="176"/>
      <c r="FX56" s="176"/>
      <c r="FY56" s="176"/>
      <c r="FZ56" s="176"/>
      <c r="GA56" s="176"/>
      <c r="GB56" s="194" t="str">
        <f t="shared" si="118"/>
        <v/>
      </c>
      <c r="GC56" s="194" t="str">
        <f t="shared" si="119"/>
        <v/>
      </c>
      <c r="GD56" s="194" t="str">
        <f>IF(GC56="","",IF(GC56&gt;=KONVERSI!$A$5,KONVERSI!$D$5,IF(GC56&gt;=KONVERSI!$A$6,KONVERSI!$D$6,IF(GC56&gt;=KONVERSI!$A$7,KONVERSI!$D$7,KONVERSI!$D$8))))</f>
        <v/>
      </c>
      <c r="GE56" s="194" t="str">
        <f t="shared" si="120"/>
        <v/>
      </c>
      <c r="GF56" s="222"/>
      <c r="GG56" s="223">
        <f t="shared" si="205"/>
        <v>0</v>
      </c>
      <c r="GH56" s="194">
        <f t="shared" si="206"/>
        <v>0</v>
      </c>
      <c r="GI56" s="194">
        <f t="shared" si="207"/>
        <v>0</v>
      </c>
      <c r="GJ56" s="194">
        <f t="shared" si="208"/>
        <v>0</v>
      </c>
      <c r="GK56" s="194">
        <f t="shared" si="209"/>
        <v>0</v>
      </c>
      <c r="GL56" s="194">
        <f t="shared" si="210"/>
        <v>0</v>
      </c>
      <c r="GM56" s="194">
        <f t="shared" si="211"/>
        <v>0</v>
      </c>
      <c r="GN56" s="194">
        <f t="shared" si="212"/>
        <v>0</v>
      </c>
      <c r="GO56" s="194">
        <f t="shared" si="213"/>
        <v>0</v>
      </c>
      <c r="GP56" s="194">
        <f t="shared" si="214"/>
        <v>0</v>
      </c>
      <c r="GQ56" s="194">
        <f t="shared" si="215"/>
        <v>0</v>
      </c>
      <c r="GR56" s="194">
        <f t="shared" si="216"/>
        <v>0</v>
      </c>
      <c r="GS56" s="194">
        <f t="shared" si="217"/>
        <v>0</v>
      </c>
      <c r="GT56" s="194">
        <f t="shared" si="218"/>
        <v>0</v>
      </c>
      <c r="GU56" s="194">
        <f t="shared" si="219"/>
        <v>0</v>
      </c>
      <c r="GV56" s="194">
        <f t="shared" si="220"/>
        <v>0</v>
      </c>
      <c r="GW56" s="194">
        <f t="shared" si="221"/>
        <v>0</v>
      </c>
      <c r="GX56" s="194">
        <f t="shared" si="222"/>
        <v>0</v>
      </c>
      <c r="GY56" s="194">
        <f t="shared" si="223"/>
        <v>0</v>
      </c>
      <c r="GZ56" s="194">
        <f t="shared" si="224"/>
        <v>0</v>
      </c>
      <c r="HA56" s="194">
        <f t="shared" si="225"/>
        <v>0</v>
      </c>
      <c r="HB56" s="194">
        <f t="shared" si="226"/>
        <v>0</v>
      </c>
      <c r="HC56" s="194">
        <f t="shared" si="227"/>
        <v>0</v>
      </c>
      <c r="HD56" s="194">
        <f t="shared" si="228"/>
        <v>0</v>
      </c>
      <c r="HE56" s="194">
        <f t="shared" si="229"/>
        <v>0</v>
      </c>
      <c r="HF56" s="194">
        <f t="shared" si="230"/>
        <v>0</v>
      </c>
      <c r="HG56" s="194">
        <f t="shared" si="231"/>
        <v>0</v>
      </c>
      <c r="HH56" s="194">
        <f t="shared" si="232"/>
        <v>0</v>
      </c>
      <c r="HI56" s="194">
        <f t="shared" si="233"/>
        <v>0</v>
      </c>
      <c r="HJ56" s="194">
        <f t="shared" si="234"/>
        <v>0</v>
      </c>
      <c r="HK56" s="194">
        <f t="shared" si="235"/>
        <v>0</v>
      </c>
      <c r="HL56" s="194">
        <f t="shared" si="236"/>
        <v>0</v>
      </c>
      <c r="HM56" s="194">
        <f t="shared" si="237"/>
        <v>0</v>
      </c>
      <c r="HN56" s="194">
        <f t="shared" si="238"/>
        <v>0</v>
      </c>
      <c r="HO56" s="194">
        <f t="shared" si="239"/>
        <v>0</v>
      </c>
      <c r="HP56" s="194">
        <f t="shared" si="240"/>
        <v>0</v>
      </c>
      <c r="HQ56" s="194">
        <f t="shared" si="241"/>
        <v>0</v>
      </c>
      <c r="HR56" s="194">
        <f t="shared" si="242"/>
        <v>0</v>
      </c>
      <c r="HS56" s="194">
        <f t="shared" si="243"/>
        <v>0</v>
      </c>
      <c r="HT56" s="194">
        <f t="shared" si="244"/>
        <v>0</v>
      </c>
      <c r="HU56" s="194">
        <f t="shared" si="245"/>
        <v>0</v>
      </c>
      <c r="HV56" s="194">
        <f t="shared" si="246"/>
        <v>0</v>
      </c>
      <c r="HW56" s="194">
        <f t="shared" si="247"/>
        <v>0</v>
      </c>
      <c r="HX56" s="194">
        <f t="shared" si="248"/>
        <v>0</v>
      </c>
      <c r="HY56" s="194">
        <f t="shared" si="249"/>
        <v>0</v>
      </c>
      <c r="HZ56" s="194">
        <f t="shared" si="250"/>
        <v>0</v>
      </c>
      <c r="IA56" s="194">
        <f t="shared" si="251"/>
        <v>0</v>
      </c>
      <c r="IB56" s="194">
        <f t="shared" si="252"/>
        <v>0</v>
      </c>
      <c r="IC56" s="194">
        <f t="shared" si="253"/>
        <v>0</v>
      </c>
      <c r="ID56" s="194">
        <f t="shared" si="254"/>
        <v>0</v>
      </c>
      <c r="IE56" s="194">
        <f t="shared" si="255"/>
        <v>0</v>
      </c>
      <c r="IF56" s="194">
        <f t="shared" si="256"/>
        <v>0</v>
      </c>
      <c r="IG56" s="194">
        <f t="shared" si="257"/>
        <v>0</v>
      </c>
      <c r="IH56" s="194">
        <f t="shared" si="258"/>
        <v>0</v>
      </c>
      <c r="II56" s="194">
        <f t="shared" si="259"/>
        <v>0</v>
      </c>
      <c r="IJ56" s="194">
        <f t="shared" si="260"/>
        <v>0</v>
      </c>
      <c r="IK56" s="194">
        <f t="shared" si="261"/>
        <v>0</v>
      </c>
      <c r="IL56" s="194">
        <f t="shared" si="262"/>
        <v>0</v>
      </c>
      <c r="IM56" s="194">
        <f t="shared" si="263"/>
        <v>0</v>
      </c>
      <c r="IN56" s="194">
        <f t="shared" si="264"/>
        <v>0</v>
      </c>
      <c r="IO56" s="194">
        <f t="shared" si="265"/>
        <v>0</v>
      </c>
      <c r="IP56" s="194">
        <f t="shared" si="266"/>
        <v>0</v>
      </c>
      <c r="IQ56" s="194">
        <f t="shared" si="267"/>
        <v>0</v>
      </c>
      <c r="IR56" s="194">
        <f t="shared" si="268"/>
        <v>0</v>
      </c>
      <c r="IS56" s="194">
        <f t="shared" si="269"/>
        <v>0</v>
      </c>
      <c r="IT56" s="194">
        <f t="shared" si="270"/>
        <v>0</v>
      </c>
      <c r="IU56" s="194">
        <f t="shared" si="271"/>
        <v>0</v>
      </c>
      <c r="IV56" s="194">
        <f t="shared" si="272"/>
        <v>0</v>
      </c>
      <c r="IW56" s="194">
        <f t="shared" si="273"/>
        <v>0</v>
      </c>
      <c r="IX56" s="194">
        <f t="shared" si="274"/>
        <v>0</v>
      </c>
      <c r="IY56" s="194">
        <f t="shared" si="275"/>
        <v>0</v>
      </c>
      <c r="IZ56" s="194">
        <f t="shared" si="276"/>
        <v>0</v>
      </c>
      <c r="JA56" s="194">
        <f t="shared" si="277"/>
        <v>0</v>
      </c>
      <c r="JB56" s="194">
        <f t="shared" si="278"/>
        <v>0</v>
      </c>
      <c r="JC56" s="194">
        <f t="shared" si="279"/>
        <v>0</v>
      </c>
      <c r="JD56" s="194">
        <f t="shared" si="280"/>
        <v>0</v>
      </c>
      <c r="JE56" s="194">
        <f t="shared" si="281"/>
        <v>0</v>
      </c>
      <c r="JF56" s="194">
        <f t="shared" si="282"/>
        <v>0</v>
      </c>
      <c r="JG56" s="194">
        <f t="shared" si="283"/>
        <v>0</v>
      </c>
      <c r="JH56" s="194">
        <f t="shared" si="284"/>
        <v>0</v>
      </c>
      <c r="JI56" s="228">
        <v>48</v>
      </c>
      <c r="JJ56" s="229" t="str">
        <f t="shared" si="121"/>
        <v/>
      </c>
      <c r="JK56" s="229" t="str">
        <f t="shared" si="122"/>
        <v/>
      </c>
      <c r="JL56" s="229" t="str">
        <f t="shared" si="123"/>
        <v/>
      </c>
      <c r="JM56" s="229" t="str">
        <f t="shared" si="124"/>
        <v/>
      </c>
      <c r="JN56" s="229" t="str">
        <f t="shared" si="125"/>
        <v/>
      </c>
      <c r="JO56" s="229" t="str">
        <f t="shared" si="126"/>
        <v/>
      </c>
      <c r="JP56" s="229" t="str">
        <f t="shared" si="127"/>
        <v/>
      </c>
      <c r="JQ56" s="229" t="str">
        <f t="shared" si="128"/>
        <v/>
      </c>
      <c r="JR56" s="229" t="str">
        <f t="shared" si="129"/>
        <v/>
      </c>
      <c r="JS56" s="229" t="str">
        <f t="shared" si="130"/>
        <v/>
      </c>
      <c r="JT56" s="229" t="str">
        <f t="shared" si="131"/>
        <v/>
      </c>
      <c r="JU56" s="229" t="str">
        <f t="shared" si="132"/>
        <v/>
      </c>
      <c r="JV56" s="229" t="str">
        <f t="shared" si="133"/>
        <v/>
      </c>
      <c r="JW56" s="229" t="str">
        <f t="shared" si="134"/>
        <v/>
      </c>
      <c r="JX56" s="229" t="str">
        <f t="shared" si="135"/>
        <v/>
      </c>
      <c r="JY56" s="229" t="str">
        <f t="shared" si="136"/>
        <v/>
      </c>
      <c r="JZ56" s="229" t="str">
        <f t="shared" si="137"/>
        <v/>
      </c>
      <c r="KA56" s="229" t="str">
        <f t="shared" si="138"/>
        <v/>
      </c>
      <c r="KB56" s="229" t="str">
        <f t="shared" si="139"/>
        <v/>
      </c>
      <c r="KC56" s="229" t="str">
        <f t="shared" si="140"/>
        <v/>
      </c>
      <c r="KD56" s="231" t="str">
        <f t="shared" si="141"/>
        <v/>
      </c>
      <c r="KE56" s="232" t="str">
        <f>IF(KD56="","",IF(KD56&gt;=KONVERSI!$A$5,KONVERSI!$E$12,IF(KD56&gt;=KONVERSI!$A$6,KONVERSI!$E$13,IF(KD56&gt;=KONVERSI!$A$7,KONVERSI!$E$14,KONVERSI!$E$15))))</f>
        <v/>
      </c>
      <c r="KF56" s="233" t="str">
        <f t="shared" si="142"/>
        <v/>
      </c>
      <c r="KG56" s="234" t="str">
        <f t="shared" si="143"/>
        <v/>
      </c>
      <c r="KH56" s="232" t="str">
        <f>IF(KG56="","",IF(KG56&gt;=KONVERSI!$A$5,KONVERSI!$E$12,IF(KG56&gt;=KONVERSI!$A$6,KONVERSI!$E$13,IF(KG56&gt;=KONVERSI!$A$7,KONVERSI!$E$14,KONVERSI!$E$15))))</f>
        <v/>
      </c>
      <c r="KI56" s="134" t="str">
        <f>IF(GC56="","",IF(GC56&lt;$GD$3," "&amp;KONVERSI!$C$19&amp;INDEX($JJ$8:$KC$8,MATCH(KG57,JJ57:KC57,0))&amp;".",IF(GC56=0,"",IF(KG56&lt;&gt;0,KF56&amp;KH56&amp;".",KF56&amp;"."))))</f>
        <v/>
      </c>
      <c r="KJ56" s="235" t="str">
        <f t="shared" si="144"/>
        <v/>
      </c>
      <c r="KK56" s="235" t="str">
        <f t="shared" si="145"/>
        <v/>
      </c>
      <c r="KL56" s="235" t="str">
        <f t="shared" si="146"/>
        <v/>
      </c>
      <c r="KM56" s="235" t="str">
        <f t="shared" si="147"/>
        <v/>
      </c>
      <c r="KN56" s="235" t="str">
        <f t="shared" si="148"/>
        <v/>
      </c>
      <c r="KO56" s="235" t="str">
        <f t="shared" si="149"/>
        <v/>
      </c>
      <c r="KP56" s="235" t="str">
        <f t="shared" si="150"/>
        <v/>
      </c>
      <c r="KQ56" s="235" t="str">
        <f t="shared" si="151"/>
        <v/>
      </c>
      <c r="KR56" s="235" t="str">
        <f t="shared" si="152"/>
        <v/>
      </c>
      <c r="KS56" s="235" t="str">
        <f t="shared" si="153"/>
        <v/>
      </c>
      <c r="KT56" s="235" t="str">
        <f t="shared" si="154"/>
        <v/>
      </c>
      <c r="KU56" s="235" t="str">
        <f t="shared" si="155"/>
        <v/>
      </c>
      <c r="KV56" s="235" t="str">
        <f t="shared" si="156"/>
        <v/>
      </c>
      <c r="KW56" s="235" t="str">
        <f t="shared" si="157"/>
        <v/>
      </c>
      <c r="KX56" s="235" t="str">
        <f t="shared" si="158"/>
        <v/>
      </c>
      <c r="KY56" s="235" t="str">
        <f t="shared" si="159"/>
        <v/>
      </c>
      <c r="KZ56" s="235" t="str">
        <f t="shared" si="160"/>
        <v/>
      </c>
      <c r="LA56" s="235" t="str">
        <f t="shared" si="161"/>
        <v/>
      </c>
      <c r="LB56" s="235" t="str">
        <f t="shared" si="162"/>
        <v/>
      </c>
      <c r="LC56" s="235" t="str">
        <f t="shared" si="163"/>
        <v/>
      </c>
      <c r="LD56" s="134" t="str">
        <f t="shared" si="291"/>
        <v/>
      </c>
      <c r="LE56" s="134" t="str">
        <f t="shared" si="291"/>
        <v/>
      </c>
      <c r="LF56" s="134" t="str">
        <f t="shared" si="289"/>
        <v/>
      </c>
      <c r="LG56" s="134" t="str">
        <f t="shared" si="289"/>
        <v/>
      </c>
      <c r="LH56" s="134" t="str">
        <f t="shared" si="289"/>
        <v/>
      </c>
      <c r="LI56" s="134" t="str">
        <f t="shared" si="289"/>
        <v/>
      </c>
      <c r="LJ56" s="134" t="str">
        <f t="shared" si="289"/>
        <v/>
      </c>
      <c r="LK56" s="134" t="str">
        <f t="shared" si="289"/>
        <v/>
      </c>
      <c r="LL56" s="134" t="str">
        <f t="shared" si="289"/>
        <v/>
      </c>
      <c r="LM56" s="134" t="str">
        <f t="shared" si="289"/>
        <v/>
      </c>
      <c r="LN56" s="134" t="str">
        <f t="shared" si="289"/>
        <v/>
      </c>
      <c r="LO56" s="134" t="str">
        <f t="shared" si="287"/>
        <v/>
      </c>
      <c r="LP56" s="134" t="str">
        <f t="shared" si="287"/>
        <v/>
      </c>
      <c r="LQ56" s="134" t="str">
        <f t="shared" si="287"/>
        <v/>
      </c>
      <c r="LR56" s="134" t="str">
        <f t="shared" si="287"/>
        <v/>
      </c>
      <c r="LS56" s="134" t="str">
        <f t="shared" si="287"/>
        <v/>
      </c>
      <c r="LT56" s="134" t="str">
        <f t="shared" si="287"/>
        <v/>
      </c>
      <c r="LU56" s="134" t="str">
        <f t="shared" si="287"/>
        <v/>
      </c>
      <c r="LV56" s="134" t="str">
        <f t="shared" si="287"/>
        <v/>
      </c>
      <c r="LW56" s="134" t="str">
        <f t="shared" si="287"/>
        <v/>
      </c>
      <c r="LX56" s="134" t="str">
        <f t="shared" si="165"/>
        <v/>
      </c>
      <c r="LY56" s="134" t="str">
        <f t="shared" si="166"/>
        <v>  </v>
      </c>
      <c r="LZ56" s="236">
        <f t="shared" si="285"/>
        <v>0</v>
      </c>
      <c r="MA56" s="235" t="str">
        <f t="shared" si="167"/>
        <v/>
      </c>
      <c r="MB56" s="235" t="str">
        <f t="shared" si="168"/>
        <v/>
      </c>
      <c r="MC56" s="235" t="str">
        <f t="shared" si="169"/>
        <v/>
      </c>
      <c r="MD56" s="235" t="str">
        <f t="shared" si="170"/>
        <v/>
      </c>
      <c r="ME56" s="235" t="str">
        <f t="shared" si="171"/>
        <v/>
      </c>
      <c r="MF56" s="235" t="str">
        <f t="shared" si="172"/>
        <v/>
      </c>
      <c r="MG56" s="235" t="str">
        <f t="shared" si="173"/>
        <v/>
      </c>
      <c r="MH56" s="235" t="str">
        <f t="shared" si="174"/>
        <v/>
      </c>
      <c r="MI56" s="235" t="str">
        <f t="shared" si="175"/>
        <v/>
      </c>
      <c r="MJ56" s="235" t="str">
        <f t="shared" si="176"/>
        <v/>
      </c>
      <c r="MK56" s="235" t="str">
        <f t="shared" si="177"/>
        <v/>
      </c>
      <c r="ML56" s="235" t="str">
        <f t="shared" si="178"/>
        <v/>
      </c>
      <c r="MM56" s="235" t="str">
        <f t="shared" si="179"/>
        <v/>
      </c>
      <c r="MN56" s="235" t="str">
        <f t="shared" si="180"/>
        <v/>
      </c>
      <c r="MO56" s="235" t="str">
        <f t="shared" si="181"/>
        <v/>
      </c>
      <c r="MP56" s="235" t="str">
        <f t="shared" si="182"/>
        <v/>
      </c>
      <c r="MQ56" s="235" t="str">
        <f t="shared" si="183"/>
        <v/>
      </c>
      <c r="MR56" s="235" t="str">
        <f t="shared" si="184"/>
        <v/>
      </c>
      <c r="MS56" s="235" t="str">
        <f t="shared" si="185"/>
        <v/>
      </c>
      <c r="MT56" s="235" t="str">
        <f t="shared" si="186"/>
        <v/>
      </c>
      <c r="MU56" s="134" t="str">
        <f t="shared" si="292"/>
        <v/>
      </c>
      <c r="MV56" s="134" t="str">
        <f t="shared" si="292"/>
        <v/>
      </c>
      <c r="MW56" s="134" t="str">
        <f t="shared" si="290"/>
        <v/>
      </c>
      <c r="MX56" s="134" t="str">
        <f t="shared" si="290"/>
        <v/>
      </c>
      <c r="MY56" s="134" t="str">
        <f t="shared" si="290"/>
        <v/>
      </c>
      <c r="MZ56" s="134" t="str">
        <f t="shared" si="290"/>
        <v/>
      </c>
      <c r="NA56" s="134" t="str">
        <f t="shared" si="290"/>
        <v/>
      </c>
      <c r="NB56" s="134" t="str">
        <f t="shared" si="290"/>
        <v/>
      </c>
      <c r="NC56" s="134" t="str">
        <f t="shared" si="290"/>
        <v/>
      </c>
      <c r="ND56" s="134" t="str">
        <f t="shared" si="290"/>
        <v/>
      </c>
      <c r="NE56" s="134" t="str">
        <f t="shared" si="290"/>
        <v/>
      </c>
      <c r="NF56" s="134" t="str">
        <f t="shared" si="288"/>
        <v/>
      </c>
      <c r="NG56" s="134" t="str">
        <f t="shared" si="288"/>
        <v/>
      </c>
      <c r="NH56" s="134" t="str">
        <f t="shared" si="288"/>
        <v/>
      </c>
      <c r="NI56" s="134" t="str">
        <f t="shared" si="288"/>
        <v/>
      </c>
      <c r="NJ56" s="134" t="str">
        <f t="shared" si="288"/>
        <v/>
      </c>
      <c r="NK56" s="134" t="str">
        <f t="shared" si="288"/>
        <v/>
      </c>
      <c r="NL56" s="134" t="str">
        <f t="shared" si="288"/>
        <v/>
      </c>
      <c r="NM56" s="134" t="str">
        <f t="shared" si="288"/>
        <v/>
      </c>
      <c r="NN56" s="134" t="str">
        <f t="shared" si="288"/>
        <v/>
      </c>
      <c r="NO56" s="134" t="str">
        <f>IF(KE56=KH56,"",IF(KG56="","",IF(KG56&gt;=KONVERSI!$A$14,'KI4'!KH56&amp;" dalam"&amp;MU56&amp;MV56&amp;MW56&amp;MX56&amp;MY56&amp;MZ56&amp;NA56&amp;NB56&amp;NC56&amp;ND56&amp;NE56&amp;NF56&amp;NG56&amp;NH56&amp;NI56&amp;NJ56&amp;NK56&amp;NL56&amp;NM56&amp;NN56,KONVERSI!$C$19&amp;" dalam"&amp;MU56&amp;MV56&amp;MW56&amp;MX56&amp;MY56&amp;MZ56&amp;NA56&amp;NB56&amp;NC56&amp;ND56&amp;NE56&amp;NF56&amp;NG56&amp;NH56&amp;NI56&amp;NJ56&amp;NK56&amp;NL56&amp;NM56&amp;NN56)))</f>
        <v/>
      </c>
      <c r="NP56" s="134" t="str">
        <f t="shared" si="188"/>
        <v/>
      </c>
      <c r="NQ56" s="236">
        <f t="shared" si="286"/>
        <v>0</v>
      </c>
      <c r="NR56" s="134" t="str">
        <f t="shared" si="189"/>
        <v/>
      </c>
    </row>
    <row r="57" ht="27.6" customHeight="1" spans="1:382">
      <c r="A57" s="136"/>
      <c r="B57" s="177">
        <v>49</v>
      </c>
      <c r="C57" s="180">
        <f>siswa!C53</f>
        <v>0</v>
      </c>
      <c r="D57" s="174">
        <f>siswa!D53</f>
        <v>0</v>
      </c>
      <c r="E57" s="181"/>
      <c r="F57" s="176"/>
      <c r="G57" s="176"/>
      <c r="H57" s="176"/>
      <c r="I57" s="176"/>
      <c r="J57" s="176"/>
      <c r="K57" s="176"/>
      <c r="L57" s="176"/>
      <c r="M57" s="194" t="str">
        <f t="shared" si="192"/>
        <v/>
      </c>
      <c r="N57" s="181"/>
      <c r="O57" s="176"/>
      <c r="P57" s="176"/>
      <c r="Q57" s="176"/>
      <c r="R57" s="176"/>
      <c r="S57" s="176"/>
      <c r="T57" s="176"/>
      <c r="U57" s="176"/>
      <c r="V57" s="194" t="str">
        <f t="shared" si="193"/>
        <v/>
      </c>
      <c r="W57" s="181"/>
      <c r="X57" s="176"/>
      <c r="Y57" s="176"/>
      <c r="Z57" s="176"/>
      <c r="AA57" s="176"/>
      <c r="AB57" s="176"/>
      <c r="AC57" s="176"/>
      <c r="AD57" s="176"/>
      <c r="AE57" s="194" t="str">
        <f t="shared" si="194"/>
        <v/>
      </c>
      <c r="AF57" s="181"/>
      <c r="AG57" s="176"/>
      <c r="AH57" s="176"/>
      <c r="AI57" s="176"/>
      <c r="AJ57" s="176"/>
      <c r="AK57" s="176"/>
      <c r="AL57" s="176"/>
      <c r="AM57" s="176"/>
      <c r="AN57" s="194" t="str">
        <f t="shared" si="195"/>
        <v/>
      </c>
      <c r="AO57" s="181"/>
      <c r="AP57" s="176"/>
      <c r="AQ57" s="176"/>
      <c r="AR57" s="176"/>
      <c r="AS57" s="176"/>
      <c r="AT57" s="176"/>
      <c r="AU57" s="176"/>
      <c r="AV57" s="176"/>
      <c r="AW57" s="194" t="str">
        <f t="shared" si="112"/>
        <v/>
      </c>
      <c r="AX57" s="181"/>
      <c r="AY57" s="176"/>
      <c r="AZ57" s="176"/>
      <c r="BA57" s="176"/>
      <c r="BB57" s="176"/>
      <c r="BC57" s="176"/>
      <c r="BD57" s="176"/>
      <c r="BE57" s="176"/>
      <c r="BF57" s="194" t="str">
        <f t="shared" si="196"/>
        <v/>
      </c>
      <c r="BG57" s="181"/>
      <c r="BH57" s="176"/>
      <c r="BI57" s="176"/>
      <c r="BJ57" s="176"/>
      <c r="BK57" s="176"/>
      <c r="BL57" s="176"/>
      <c r="BM57" s="176"/>
      <c r="BN57" s="176"/>
      <c r="BO57" s="194" t="str">
        <f t="shared" si="113"/>
        <v/>
      </c>
      <c r="BP57" s="181"/>
      <c r="BQ57" s="176"/>
      <c r="BR57" s="176"/>
      <c r="BS57" s="176"/>
      <c r="BT57" s="176"/>
      <c r="BU57" s="176"/>
      <c r="BV57" s="176"/>
      <c r="BW57" s="176"/>
      <c r="BX57" s="194" t="str">
        <f t="shared" si="114"/>
        <v/>
      </c>
      <c r="BY57" s="181"/>
      <c r="BZ57" s="176"/>
      <c r="CA57" s="176"/>
      <c r="CB57" s="176"/>
      <c r="CC57" s="176"/>
      <c r="CD57" s="176"/>
      <c r="CE57" s="176"/>
      <c r="CF57" s="176"/>
      <c r="CG57" s="194" t="str">
        <f t="shared" si="115"/>
        <v/>
      </c>
      <c r="CH57" s="181"/>
      <c r="CI57" s="176"/>
      <c r="CJ57" s="176"/>
      <c r="CK57" s="176"/>
      <c r="CL57" s="176"/>
      <c r="CM57" s="176"/>
      <c r="CN57" s="176"/>
      <c r="CO57" s="176"/>
      <c r="CP57" s="194" t="str">
        <f t="shared" si="197"/>
        <v/>
      </c>
      <c r="CQ57" s="181"/>
      <c r="CR57" s="176"/>
      <c r="CS57" s="176"/>
      <c r="CT57" s="176"/>
      <c r="CU57" s="176"/>
      <c r="CV57" s="176"/>
      <c r="CW57" s="176"/>
      <c r="CX57" s="176"/>
      <c r="CY57" s="194" t="str">
        <f t="shared" si="116"/>
        <v/>
      </c>
      <c r="CZ57" s="181"/>
      <c r="DA57" s="176"/>
      <c r="DB57" s="176"/>
      <c r="DC57" s="176"/>
      <c r="DD57" s="176"/>
      <c r="DE57" s="176"/>
      <c r="DF57" s="176"/>
      <c r="DG57" s="176"/>
      <c r="DH57" s="194" t="str">
        <f t="shared" si="198"/>
        <v/>
      </c>
      <c r="DI57" s="181"/>
      <c r="DJ57" s="176"/>
      <c r="DK57" s="176"/>
      <c r="DL57" s="176"/>
      <c r="DM57" s="176"/>
      <c r="DN57" s="176"/>
      <c r="DO57" s="176"/>
      <c r="DP57" s="176"/>
      <c r="DQ57" s="194" t="str">
        <f t="shared" si="117"/>
        <v/>
      </c>
      <c r="DR57" s="181"/>
      <c r="DS57" s="176"/>
      <c r="DT57" s="176"/>
      <c r="DU57" s="176"/>
      <c r="DV57" s="176"/>
      <c r="DW57" s="176"/>
      <c r="DX57" s="176"/>
      <c r="DY57" s="176"/>
      <c r="DZ57" s="194" t="str">
        <f t="shared" si="199"/>
        <v/>
      </c>
      <c r="EA57" s="181"/>
      <c r="EB57" s="176"/>
      <c r="EC57" s="176"/>
      <c r="ED57" s="176"/>
      <c r="EE57" s="176"/>
      <c r="EF57" s="176"/>
      <c r="EG57" s="176"/>
      <c r="EH57" s="176"/>
      <c r="EI57" s="194" t="str">
        <f t="shared" si="200"/>
        <v/>
      </c>
      <c r="EJ57" s="181"/>
      <c r="EK57" s="176"/>
      <c r="EL57" s="176"/>
      <c r="EM57" s="176"/>
      <c r="EN57" s="176"/>
      <c r="EO57" s="176"/>
      <c r="EP57" s="176"/>
      <c r="EQ57" s="176"/>
      <c r="ER57" s="194" t="str">
        <f t="shared" si="201"/>
        <v/>
      </c>
      <c r="ES57" s="181"/>
      <c r="ET57" s="176"/>
      <c r="EU57" s="176"/>
      <c r="EV57" s="176"/>
      <c r="EW57" s="176"/>
      <c r="EX57" s="176"/>
      <c r="EY57" s="176"/>
      <c r="EZ57" s="176"/>
      <c r="FA57" s="194" t="str">
        <f t="shared" si="202"/>
        <v/>
      </c>
      <c r="FB57" s="181"/>
      <c r="FC57" s="176"/>
      <c r="FD57" s="176"/>
      <c r="FE57" s="176"/>
      <c r="FF57" s="176"/>
      <c r="FG57" s="176"/>
      <c r="FH57" s="176"/>
      <c r="FI57" s="176"/>
      <c r="FJ57" s="194" t="str">
        <f t="shared" si="203"/>
        <v/>
      </c>
      <c r="FK57" s="181"/>
      <c r="FL57" s="176"/>
      <c r="FM57" s="176"/>
      <c r="FN57" s="176"/>
      <c r="FO57" s="176"/>
      <c r="FP57" s="176"/>
      <c r="FQ57" s="176"/>
      <c r="FR57" s="176"/>
      <c r="FS57" s="194" t="str">
        <f t="shared" si="204"/>
        <v/>
      </c>
      <c r="FT57" s="181"/>
      <c r="FU57" s="176"/>
      <c r="FV57" s="176"/>
      <c r="FW57" s="176"/>
      <c r="FX57" s="176"/>
      <c r="FY57" s="176"/>
      <c r="FZ57" s="176"/>
      <c r="GA57" s="176"/>
      <c r="GB57" s="194" t="str">
        <f t="shared" si="118"/>
        <v/>
      </c>
      <c r="GC57" s="194" t="str">
        <f t="shared" si="119"/>
        <v/>
      </c>
      <c r="GD57" s="194" t="str">
        <f>IF(GC57="","",IF(GC57&gt;=KONVERSI!$A$5,KONVERSI!$D$5,IF(GC57&gt;=KONVERSI!$A$6,KONVERSI!$D$6,IF(GC57&gt;=KONVERSI!$A$7,KONVERSI!$D$7,KONVERSI!$D$8))))</f>
        <v/>
      </c>
      <c r="GE57" s="194" t="str">
        <f t="shared" si="120"/>
        <v/>
      </c>
      <c r="GF57" s="222"/>
      <c r="GG57" s="223">
        <f t="shared" si="205"/>
        <v>0</v>
      </c>
      <c r="GH57" s="194">
        <f t="shared" si="206"/>
        <v>0</v>
      </c>
      <c r="GI57" s="194">
        <f t="shared" si="207"/>
        <v>0</v>
      </c>
      <c r="GJ57" s="194">
        <f t="shared" si="208"/>
        <v>0</v>
      </c>
      <c r="GK57" s="194">
        <f t="shared" si="209"/>
        <v>0</v>
      </c>
      <c r="GL57" s="194">
        <f t="shared" si="210"/>
        <v>0</v>
      </c>
      <c r="GM57" s="194">
        <f t="shared" si="211"/>
        <v>0</v>
      </c>
      <c r="GN57" s="194">
        <f t="shared" si="212"/>
        <v>0</v>
      </c>
      <c r="GO57" s="194">
        <f t="shared" si="213"/>
        <v>0</v>
      </c>
      <c r="GP57" s="194">
        <f t="shared" si="214"/>
        <v>0</v>
      </c>
      <c r="GQ57" s="194">
        <f t="shared" si="215"/>
        <v>0</v>
      </c>
      <c r="GR57" s="194">
        <f t="shared" si="216"/>
        <v>0</v>
      </c>
      <c r="GS57" s="194">
        <f t="shared" si="217"/>
        <v>0</v>
      </c>
      <c r="GT57" s="194">
        <f t="shared" si="218"/>
        <v>0</v>
      </c>
      <c r="GU57" s="194">
        <f t="shared" si="219"/>
        <v>0</v>
      </c>
      <c r="GV57" s="194">
        <f t="shared" si="220"/>
        <v>0</v>
      </c>
      <c r="GW57" s="194">
        <f t="shared" si="221"/>
        <v>0</v>
      </c>
      <c r="GX57" s="194">
        <f t="shared" si="222"/>
        <v>0</v>
      </c>
      <c r="GY57" s="194">
        <f t="shared" si="223"/>
        <v>0</v>
      </c>
      <c r="GZ57" s="194">
        <f t="shared" si="224"/>
        <v>0</v>
      </c>
      <c r="HA57" s="194">
        <f t="shared" si="225"/>
        <v>0</v>
      </c>
      <c r="HB57" s="194">
        <f t="shared" si="226"/>
        <v>0</v>
      </c>
      <c r="HC57" s="194">
        <f t="shared" si="227"/>
        <v>0</v>
      </c>
      <c r="HD57" s="194">
        <f t="shared" si="228"/>
        <v>0</v>
      </c>
      <c r="HE57" s="194">
        <f t="shared" si="229"/>
        <v>0</v>
      </c>
      <c r="HF57" s="194">
        <f t="shared" si="230"/>
        <v>0</v>
      </c>
      <c r="HG57" s="194">
        <f t="shared" si="231"/>
        <v>0</v>
      </c>
      <c r="HH57" s="194">
        <f t="shared" si="232"/>
        <v>0</v>
      </c>
      <c r="HI57" s="194">
        <f t="shared" si="233"/>
        <v>0</v>
      </c>
      <c r="HJ57" s="194">
        <f t="shared" si="234"/>
        <v>0</v>
      </c>
      <c r="HK57" s="194">
        <f t="shared" si="235"/>
        <v>0</v>
      </c>
      <c r="HL57" s="194">
        <f t="shared" si="236"/>
        <v>0</v>
      </c>
      <c r="HM57" s="194">
        <f t="shared" si="237"/>
        <v>0</v>
      </c>
      <c r="HN57" s="194">
        <f t="shared" si="238"/>
        <v>0</v>
      </c>
      <c r="HO57" s="194">
        <f t="shared" si="239"/>
        <v>0</v>
      </c>
      <c r="HP57" s="194">
        <f t="shared" si="240"/>
        <v>0</v>
      </c>
      <c r="HQ57" s="194">
        <f t="shared" si="241"/>
        <v>0</v>
      </c>
      <c r="HR57" s="194">
        <f t="shared" si="242"/>
        <v>0</v>
      </c>
      <c r="HS57" s="194">
        <f t="shared" si="243"/>
        <v>0</v>
      </c>
      <c r="HT57" s="194">
        <f t="shared" si="244"/>
        <v>0</v>
      </c>
      <c r="HU57" s="194">
        <f t="shared" si="245"/>
        <v>0</v>
      </c>
      <c r="HV57" s="194">
        <f t="shared" si="246"/>
        <v>0</v>
      </c>
      <c r="HW57" s="194">
        <f t="shared" si="247"/>
        <v>0</v>
      </c>
      <c r="HX57" s="194">
        <f t="shared" si="248"/>
        <v>0</v>
      </c>
      <c r="HY57" s="194">
        <f t="shared" si="249"/>
        <v>0</v>
      </c>
      <c r="HZ57" s="194">
        <f t="shared" si="250"/>
        <v>0</v>
      </c>
      <c r="IA57" s="194">
        <f t="shared" si="251"/>
        <v>0</v>
      </c>
      <c r="IB57" s="194">
        <f t="shared" si="252"/>
        <v>0</v>
      </c>
      <c r="IC57" s="194">
        <f t="shared" si="253"/>
        <v>0</v>
      </c>
      <c r="ID57" s="194">
        <f t="shared" si="254"/>
        <v>0</v>
      </c>
      <c r="IE57" s="194">
        <f t="shared" si="255"/>
        <v>0</v>
      </c>
      <c r="IF57" s="194">
        <f t="shared" si="256"/>
        <v>0</v>
      </c>
      <c r="IG57" s="194">
        <f t="shared" si="257"/>
        <v>0</v>
      </c>
      <c r="IH57" s="194">
        <f t="shared" si="258"/>
        <v>0</v>
      </c>
      <c r="II57" s="194">
        <f t="shared" si="259"/>
        <v>0</v>
      </c>
      <c r="IJ57" s="194">
        <f t="shared" si="260"/>
        <v>0</v>
      </c>
      <c r="IK57" s="194">
        <f t="shared" si="261"/>
        <v>0</v>
      </c>
      <c r="IL57" s="194">
        <f t="shared" si="262"/>
        <v>0</v>
      </c>
      <c r="IM57" s="194">
        <f t="shared" si="263"/>
        <v>0</v>
      </c>
      <c r="IN57" s="194">
        <f t="shared" si="264"/>
        <v>0</v>
      </c>
      <c r="IO57" s="194">
        <f t="shared" si="265"/>
        <v>0</v>
      </c>
      <c r="IP57" s="194">
        <f t="shared" si="266"/>
        <v>0</v>
      </c>
      <c r="IQ57" s="194">
        <f t="shared" si="267"/>
        <v>0</v>
      </c>
      <c r="IR57" s="194">
        <f t="shared" si="268"/>
        <v>0</v>
      </c>
      <c r="IS57" s="194">
        <f t="shared" si="269"/>
        <v>0</v>
      </c>
      <c r="IT57" s="194">
        <f t="shared" si="270"/>
        <v>0</v>
      </c>
      <c r="IU57" s="194">
        <f t="shared" si="271"/>
        <v>0</v>
      </c>
      <c r="IV57" s="194">
        <f t="shared" si="272"/>
        <v>0</v>
      </c>
      <c r="IW57" s="194">
        <f t="shared" si="273"/>
        <v>0</v>
      </c>
      <c r="IX57" s="194">
        <f t="shared" si="274"/>
        <v>0</v>
      </c>
      <c r="IY57" s="194">
        <f t="shared" si="275"/>
        <v>0</v>
      </c>
      <c r="IZ57" s="194">
        <f t="shared" si="276"/>
        <v>0</v>
      </c>
      <c r="JA57" s="194">
        <f t="shared" si="277"/>
        <v>0</v>
      </c>
      <c r="JB57" s="194">
        <f t="shared" si="278"/>
        <v>0</v>
      </c>
      <c r="JC57" s="194">
        <f t="shared" si="279"/>
        <v>0</v>
      </c>
      <c r="JD57" s="194">
        <f t="shared" si="280"/>
        <v>0</v>
      </c>
      <c r="JE57" s="194">
        <f t="shared" si="281"/>
        <v>0</v>
      </c>
      <c r="JF57" s="194">
        <f t="shared" si="282"/>
        <v>0</v>
      </c>
      <c r="JG57" s="194">
        <f t="shared" si="283"/>
        <v>0</v>
      </c>
      <c r="JH57" s="194">
        <f t="shared" si="284"/>
        <v>0</v>
      </c>
      <c r="JI57" s="228">
        <v>49</v>
      </c>
      <c r="JJ57" s="229" t="str">
        <f t="shared" si="121"/>
        <v/>
      </c>
      <c r="JK57" s="229" t="str">
        <f t="shared" si="122"/>
        <v/>
      </c>
      <c r="JL57" s="229" t="str">
        <f t="shared" si="123"/>
        <v/>
      </c>
      <c r="JM57" s="229" t="str">
        <f t="shared" si="124"/>
        <v/>
      </c>
      <c r="JN57" s="229" t="str">
        <f t="shared" si="125"/>
        <v/>
      </c>
      <c r="JO57" s="229" t="str">
        <f t="shared" si="126"/>
        <v/>
      </c>
      <c r="JP57" s="229" t="str">
        <f t="shared" si="127"/>
        <v/>
      </c>
      <c r="JQ57" s="229" t="str">
        <f t="shared" si="128"/>
        <v/>
      </c>
      <c r="JR57" s="229" t="str">
        <f t="shared" si="129"/>
        <v/>
      </c>
      <c r="JS57" s="229" t="str">
        <f t="shared" si="130"/>
        <v/>
      </c>
      <c r="JT57" s="229" t="str">
        <f t="shared" si="131"/>
        <v/>
      </c>
      <c r="JU57" s="229" t="str">
        <f t="shared" si="132"/>
        <v/>
      </c>
      <c r="JV57" s="229" t="str">
        <f t="shared" si="133"/>
        <v/>
      </c>
      <c r="JW57" s="229" t="str">
        <f t="shared" si="134"/>
        <v/>
      </c>
      <c r="JX57" s="229" t="str">
        <f t="shared" si="135"/>
        <v/>
      </c>
      <c r="JY57" s="229" t="str">
        <f t="shared" si="136"/>
        <v/>
      </c>
      <c r="JZ57" s="229" t="str">
        <f t="shared" si="137"/>
        <v/>
      </c>
      <c r="KA57" s="229" t="str">
        <f t="shared" si="138"/>
        <v/>
      </c>
      <c r="KB57" s="229" t="str">
        <f t="shared" si="139"/>
        <v/>
      </c>
      <c r="KC57" s="229" t="str">
        <f t="shared" si="140"/>
        <v/>
      </c>
      <c r="KD57" s="231" t="str">
        <f t="shared" si="141"/>
        <v/>
      </c>
      <c r="KE57" s="232" t="str">
        <f>IF(KD57="","",IF(KD57&gt;=KONVERSI!$A$5,KONVERSI!$E$12,IF(KD57&gt;=KONVERSI!$A$6,KONVERSI!$E$13,IF(KD57&gt;=KONVERSI!$A$7,KONVERSI!$E$14,KONVERSI!$E$15))))</f>
        <v/>
      </c>
      <c r="KF57" s="233" t="str">
        <f t="shared" si="142"/>
        <v/>
      </c>
      <c r="KG57" s="234" t="str">
        <f t="shared" si="143"/>
        <v/>
      </c>
      <c r="KH57" s="232" t="str">
        <f>IF(KG57="","",IF(KG57&gt;=KONVERSI!$A$5,KONVERSI!$E$12,IF(KG57&gt;=KONVERSI!$A$6,KONVERSI!$E$13,IF(KG57&gt;=KONVERSI!$A$7,KONVERSI!$E$14,KONVERSI!$E$15))))</f>
        <v/>
      </c>
      <c r="KI57" s="134" t="str">
        <f>IF(GC57="","",IF(GC57&lt;$GD$3," "&amp;KONVERSI!$C$19&amp;INDEX($JJ$8:$KC$8,MATCH(KG58,JJ58:KC58,0))&amp;".",IF(GC57=0,"",IF(KG57&lt;&gt;0,KF57&amp;KH57&amp;".",KF57&amp;"."))))</f>
        <v/>
      </c>
      <c r="KJ57" s="235" t="str">
        <f t="shared" si="144"/>
        <v/>
      </c>
      <c r="KK57" s="235" t="str">
        <f t="shared" si="145"/>
        <v/>
      </c>
      <c r="KL57" s="235" t="str">
        <f t="shared" si="146"/>
        <v/>
      </c>
      <c r="KM57" s="235" t="str">
        <f t="shared" si="147"/>
        <v/>
      </c>
      <c r="KN57" s="235" t="str">
        <f t="shared" si="148"/>
        <v/>
      </c>
      <c r="KO57" s="235" t="str">
        <f t="shared" si="149"/>
        <v/>
      </c>
      <c r="KP57" s="235" t="str">
        <f t="shared" si="150"/>
        <v/>
      </c>
      <c r="KQ57" s="235" t="str">
        <f t="shared" si="151"/>
        <v/>
      </c>
      <c r="KR57" s="235" t="str">
        <f t="shared" si="152"/>
        <v/>
      </c>
      <c r="KS57" s="235" t="str">
        <f t="shared" si="153"/>
        <v/>
      </c>
      <c r="KT57" s="235" t="str">
        <f t="shared" si="154"/>
        <v/>
      </c>
      <c r="KU57" s="235" t="str">
        <f t="shared" si="155"/>
        <v/>
      </c>
      <c r="KV57" s="235" t="str">
        <f t="shared" si="156"/>
        <v/>
      </c>
      <c r="KW57" s="235" t="str">
        <f t="shared" si="157"/>
        <v/>
      </c>
      <c r="KX57" s="235" t="str">
        <f t="shared" si="158"/>
        <v/>
      </c>
      <c r="KY57" s="235" t="str">
        <f t="shared" si="159"/>
        <v/>
      </c>
      <c r="KZ57" s="235" t="str">
        <f t="shared" si="160"/>
        <v/>
      </c>
      <c r="LA57" s="235" t="str">
        <f t="shared" si="161"/>
        <v/>
      </c>
      <c r="LB57" s="235" t="str">
        <f t="shared" si="162"/>
        <v/>
      </c>
      <c r="LC57" s="235" t="str">
        <f t="shared" si="163"/>
        <v/>
      </c>
      <c r="LD57" s="134" t="str">
        <f t="shared" si="291"/>
        <v/>
      </c>
      <c r="LE57" s="134" t="str">
        <f t="shared" si="291"/>
        <v/>
      </c>
      <c r="LF57" s="134" t="str">
        <f t="shared" si="289"/>
        <v/>
      </c>
      <c r="LG57" s="134" t="str">
        <f t="shared" si="289"/>
        <v/>
      </c>
      <c r="LH57" s="134" t="str">
        <f t="shared" si="289"/>
        <v/>
      </c>
      <c r="LI57" s="134" t="str">
        <f t="shared" si="289"/>
        <v/>
      </c>
      <c r="LJ57" s="134" t="str">
        <f t="shared" si="289"/>
        <v/>
      </c>
      <c r="LK57" s="134" t="str">
        <f t="shared" si="289"/>
        <v/>
      </c>
      <c r="LL57" s="134" t="str">
        <f t="shared" si="289"/>
        <v/>
      </c>
      <c r="LM57" s="134" t="str">
        <f t="shared" si="289"/>
        <v/>
      </c>
      <c r="LN57" s="134" t="str">
        <f t="shared" si="289"/>
        <v/>
      </c>
      <c r="LO57" s="134" t="str">
        <f t="shared" si="287"/>
        <v/>
      </c>
      <c r="LP57" s="134" t="str">
        <f t="shared" si="287"/>
        <v/>
      </c>
      <c r="LQ57" s="134" t="str">
        <f t="shared" si="287"/>
        <v/>
      </c>
      <c r="LR57" s="134" t="str">
        <f t="shared" si="287"/>
        <v/>
      </c>
      <c r="LS57" s="134" t="str">
        <f t="shared" si="287"/>
        <v/>
      </c>
      <c r="LT57" s="134" t="str">
        <f t="shared" si="287"/>
        <v/>
      </c>
      <c r="LU57" s="134" t="str">
        <f t="shared" si="287"/>
        <v/>
      </c>
      <c r="LV57" s="134" t="str">
        <f t="shared" si="287"/>
        <v/>
      </c>
      <c r="LW57" s="134" t="str">
        <f t="shared" si="287"/>
        <v/>
      </c>
      <c r="LX57" s="134" t="str">
        <f t="shared" si="165"/>
        <v/>
      </c>
      <c r="LY57" s="134" t="str">
        <f t="shared" si="166"/>
        <v>  </v>
      </c>
      <c r="LZ57" s="236">
        <f t="shared" si="285"/>
        <v>0</v>
      </c>
      <c r="MA57" s="235" t="str">
        <f t="shared" si="167"/>
        <v/>
      </c>
      <c r="MB57" s="235" t="str">
        <f t="shared" si="168"/>
        <v/>
      </c>
      <c r="MC57" s="235" t="str">
        <f t="shared" si="169"/>
        <v/>
      </c>
      <c r="MD57" s="235" t="str">
        <f t="shared" si="170"/>
        <v/>
      </c>
      <c r="ME57" s="235" t="str">
        <f t="shared" si="171"/>
        <v/>
      </c>
      <c r="MF57" s="235" t="str">
        <f t="shared" si="172"/>
        <v/>
      </c>
      <c r="MG57" s="235" t="str">
        <f t="shared" si="173"/>
        <v/>
      </c>
      <c r="MH57" s="235" t="str">
        <f t="shared" si="174"/>
        <v/>
      </c>
      <c r="MI57" s="235" t="str">
        <f t="shared" si="175"/>
        <v/>
      </c>
      <c r="MJ57" s="235" t="str">
        <f t="shared" si="176"/>
        <v/>
      </c>
      <c r="MK57" s="235" t="str">
        <f t="shared" si="177"/>
        <v/>
      </c>
      <c r="ML57" s="235" t="str">
        <f t="shared" si="178"/>
        <v/>
      </c>
      <c r="MM57" s="235" t="str">
        <f t="shared" si="179"/>
        <v/>
      </c>
      <c r="MN57" s="235" t="str">
        <f t="shared" si="180"/>
        <v/>
      </c>
      <c r="MO57" s="235" t="str">
        <f t="shared" si="181"/>
        <v/>
      </c>
      <c r="MP57" s="235" t="str">
        <f t="shared" si="182"/>
        <v/>
      </c>
      <c r="MQ57" s="235" t="str">
        <f t="shared" si="183"/>
        <v/>
      </c>
      <c r="MR57" s="235" t="str">
        <f t="shared" si="184"/>
        <v/>
      </c>
      <c r="MS57" s="235" t="str">
        <f t="shared" si="185"/>
        <v/>
      </c>
      <c r="MT57" s="235" t="str">
        <f t="shared" si="186"/>
        <v/>
      </c>
      <c r="MU57" s="134" t="str">
        <f t="shared" si="292"/>
        <v/>
      </c>
      <c r="MV57" s="134" t="str">
        <f t="shared" si="292"/>
        <v/>
      </c>
      <c r="MW57" s="134" t="str">
        <f t="shared" si="290"/>
        <v/>
      </c>
      <c r="MX57" s="134" t="str">
        <f t="shared" si="290"/>
        <v/>
      </c>
      <c r="MY57" s="134" t="str">
        <f t="shared" si="290"/>
        <v/>
      </c>
      <c r="MZ57" s="134" t="str">
        <f t="shared" si="290"/>
        <v/>
      </c>
      <c r="NA57" s="134" t="str">
        <f t="shared" si="290"/>
        <v/>
      </c>
      <c r="NB57" s="134" t="str">
        <f t="shared" si="290"/>
        <v/>
      </c>
      <c r="NC57" s="134" t="str">
        <f t="shared" si="290"/>
        <v/>
      </c>
      <c r="ND57" s="134" t="str">
        <f t="shared" si="290"/>
        <v/>
      </c>
      <c r="NE57" s="134" t="str">
        <f t="shared" si="290"/>
        <v/>
      </c>
      <c r="NF57" s="134" t="str">
        <f t="shared" si="288"/>
        <v/>
      </c>
      <c r="NG57" s="134" t="str">
        <f t="shared" si="288"/>
        <v/>
      </c>
      <c r="NH57" s="134" t="str">
        <f t="shared" si="288"/>
        <v/>
      </c>
      <c r="NI57" s="134" t="str">
        <f t="shared" si="288"/>
        <v/>
      </c>
      <c r="NJ57" s="134" t="str">
        <f t="shared" si="288"/>
        <v/>
      </c>
      <c r="NK57" s="134" t="str">
        <f t="shared" si="288"/>
        <v/>
      </c>
      <c r="NL57" s="134" t="str">
        <f t="shared" si="288"/>
        <v/>
      </c>
      <c r="NM57" s="134" t="str">
        <f t="shared" si="288"/>
        <v/>
      </c>
      <c r="NN57" s="134" t="str">
        <f t="shared" si="288"/>
        <v/>
      </c>
      <c r="NO57" s="134" t="str">
        <f>IF(KE57=KH57,"",IF(KG57="","",IF(KG57&gt;=KONVERSI!$A$14,'KI4'!KH57&amp;" dalam"&amp;MU57&amp;MV57&amp;MW57&amp;MX57&amp;MY57&amp;MZ57&amp;NA57&amp;NB57&amp;NC57&amp;ND57&amp;NE57&amp;NF57&amp;NG57&amp;NH57&amp;NI57&amp;NJ57&amp;NK57&amp;NL57&amp;NM57&amp;NN57,KONVERSI!$C$19&amp;" dalam"&amp;MU57&amp;MV57&amp;MW57&amp;MX57&amp;MY57&amp;MZ57&amp;NA57&amp;NB57&amp;NC57&amp;ND57&amp;NE57&amp;NF57&amp;NG57&amp;NH57&amp;NI57&amp;NJ57&amp;NK57&amp;NL57&amp;NM57&amp;NN57)))</f>
        <v/>
      </c>
      <c r="NP57" s="134" t="str">
        <f t="shared" si="188"/>
        <v/>
      </c>
      <c r="NQ57" s="236">
        <f t="shared" si="286"/>
        <v>0</v>
      </c>
      <c r="NR57" s="134" t="str">
        <f t="shared" si="189"/>
        <v/>
      </c>
    </row>
    <row r="58" ht="27.6" customHeight="1" spans="1:382">
      <c r="A58" s="136"/>
      <c r="B58" s="177">
        <v>50</v>
      </c>
      <c r="C58" s="180">
        <f>siswa!C54</f>
        <v>0</v>
      </c>
      <c r="D58" s="174">
        <f>siswa!D54</f>
        <v>0</v>
      </c>
      <c r="E58" s="181"/>
      <c r="F58" s="176"/>
      <c r="G58" s="176"/>
      <c r="H58" s="176"/>
      <c r="I58" s="176"/>
      <c r="J58" s="176"/>
      <c r="K58" s="176"/>
      <c r="L58" s="176"/>
      <c r="M58" s="194" t="str">
        <f t="shared" si="192"/>
        <v/>
      </c>
      <c r="N58" s="181"/>
      <c r="O58" s="176"/>
      <c r="P58" s="176"/>
      <c r="Q58" s="176"/>
      <c r="R58" s="176"/>
      <c r="S58" s="176"/>
      <c r="T58" s="176"/>
      <c r="U58" s="176"/>
      <c r="V58" s="194" t="str">
        <f t="shared" si="193"/>
        <v/>
      </c>
      <c r="W58" s="181"/>
      <c r="X58" s="176"/>
      <c r="Y58" s="176"/>
      <c r="Z58" s="176"/>
      <c r="AA58" s="176"/>
      <c r="AB58" s="176"/>
      <c r="AC58" s="176"/>
      <c r="AD58" s="176"/>
      <c r="AE58" s="194" t="str">
        <f t="shared" si="194"/>
        <v/>
      </c>
      <c r="AF58" s="181"/>
      <c r="AG58" s="176"/>
      <c r="AH58" s="176"/>
      <c r="AI58" s="176"/>
      <c r="AJ58" s="176"/>
      <c r="AK58" s="176"/>
      <c r="AL58" s="176"/>
      <c r="AM58" s="176"/>
      <c r="AN58" s="194" t="str">
        <f t="shared" si="195"/>
        <v/>
      </c>
      <c r="AO58" s="181"/>
      <c r="AP58" s="176"/>
      <c r="AQ58" s="176"/>
      <c r="AR58" s="176"/>
      <c r="AS58" s="176"/>
      <c r="AT58" s="176"/>
      <c r="AU58" s="176"/>
      <c r="AV58" s="176"/>
      <c r="AW58" s="194" t="str">
        <f t="shared" si="112"/>
        <v/>
      </c>
      <c r="AX58" s="181"/>
      <c r="AY58" s="176"/>
      <c r="AZ58" s="176"/>
      <c r="BA58" s="176"/>
      <c r="BB58" s="176"/>
      <c r="BC58" s="176"/>
      <c r="BD58" s="176"/>
      <c r="BE58" s="176"/>
      <c r="BF58" s="194" t="str">
        <f t="shared" si="196"/>
        <v/>
      </c>
      <c r="BG58" s="181"/>
      <c r="BH58" s="176"/>
      <c r="BI58" s="176"/>
      <c r="BJ58" s="176"/>
      <c r="BK58" s="176"/>
      <c r="BL58" s="176"/>
      <c r="BM58" s="176"/>
      <c r="BN58" s="176"/>
      <c r="BO58" s="194" t="str">
        <f t="shared" si="113"/>
        <v/>
      </c>
      <c r="BP58" s="181"/>
      <c r="BQ58" s="176"/>
      <c r="BR58" s="176"/>
      <c r="BS58" s="176"/>
      <c r="BT58" s="176"/>
      <c r="BU58" s="176"/>
      <c r="BV58" s="176"/>
      <c r="BW58" s="176"/>
      <c r="BX58" s="194" t="str">
        <f t="shared" si="114"/>
        <v/>
      </c>
      <c r="BY58" s="181"/>
      <c r="BZ58" s="176"/>
      <c r="CA58" s="176"/>
      <c r="CB58" s="176"/>
      <c r="CC58" s="176"/>
      <c r="CD58" s="176"/>
      <c r="CE58" s="176"/>
      <c r="CF58" s="176"/>
      <c r="CG58" s="194" t="str">
        <f t="shared" si="115"/>
        <v/>
      </c>
      <c r="CH58" s="181"/>
      <c r="CI58" s="176"/>
      <c r="CJ58" s="176"/>
      <c r="CK58" s="176"/>
      <c r="CL58" s="176"/>
      <c r="CM58" s="176"/>
      <c r="CN58" s="176"/>
      <c r="CO58" s="176"/>
      <c r="CP58" s="194" t="str">
        <f t="shared" si="197"/>
        <v/>
      </c>
      <c r="CQ58" s="181"/>
      <c r="CR58" s="176"/>
      <c r="CS58" s="176"/>
      <c r="CT58" s="176"/>
      <c r="CU58" s="176"/>
      <c r="CV58" s="176"/>
      <c r="CW58" s="176"/>
      <c r="CX58" s="176"/>
      <c r="CY58" s="194" t="str">
        <f t="shared" si="116"/>
        <v/>
      </c>
      <c r="CZ58" s="181"/>
      <c r="DA58" s="176"/>
      <c r="DB58" s="176"/>
      <c r="DC58" s="176"/>
      <c r="DD58" s="176"/>
      <c r="DE58" s="176"/>
      <c r="DF58" s="176"/>
      <c r="DG58" s="176"/>
      <c r="DH58" s="194" t="str">
        <f t="shared" si="198"/>
        <v/>
      </c>
      <c r="DI58" s="181"/>
      <c r="DJ58" s="176"/>
      <c r="DK58" s="176"/>
      <c r="DL58" s="176"/>
      <c r="DM58" s="176"/>
      <c r="DN58" s="176"/>
      <c r="DO58" s="176"/>
      <c r="DP58" s="176"/>
      <c r="DQ58" s="194" t="str">
        <f t="shared" si="117"/>
        <v/>
      </c>
      <c r="DR58" s="181"/>
      <c r="DS58" s="176"/>
      <c r="DT58" s="176"/>
      <c r="DU58" s="176"/>
      <c r="DV58" s="176"/>
      <c r="DW58" s="176"/>
      <c r="DX58" s="176"/>
      <c r="DY58" s="176"/>
      <c r="DZ58" s="194" t="str">
        <f t="shared" si="199"/>
        <v/>
      </c>
      <c r="EA58" s="181"/>
      <c r="EB58" s="176"/>
      <c r="EC58" s="176"/>
      <c r="ED58" s="176"/>
      <c r="EE58" s="176"/>
      <c r="EF58" s="176"/>
      <c r="EG58" s="176"/>
      <c r="EH58" s="176"/>
      <c r="EI58" s="194" t="str">
        <f t="shared" si="200"/>
        <v/>
      </c>
      <c r="EJ58" s="181"/>
      <c r="EK58" s="176"/>
      <c r="EL58" s="176"/>
      <c r="EM58" s="176"/>
      <c r="EN58" s="176"/>
      <c r="EO58" s="176"/>
      <c r="EP58" s="176"/>
      <c r="EQ58" s="176"/>
      <c r="ER58" s="194" t="str">
        <f t="shared" si="201"/>
        <v/>
      </c>
      <c r="ES58" s="181"/>
      <c r="ET58" s="176"/>
      <c r="EU58" s="176"/>
      <c r="EV58" s="176"/>
      <c r="EW58" s="176"/>
      <c r="EX58" s="176"/>
      <c r="EY58" s="176"/>
      <c r="EZ58" s="176"/>
      <c r="FA58" s="194" t="str">
        <f t="shared" si="202"/>
        <v/>
      </c>
      <c r="FB58" s="181"/>
      <c r="FC58" s="176"/>
      <c r="FD58" s="176"/>
      <c r="FE58" s="176"/>
      <c r="FF58" s="176"/>
      <c r="FG58" s="176"/>
      <c r="FH58" s="176"/>
      <c r="FI58" s="176"/>
      <c r="FJ58" s="194" t="str">
        <f t="shared" si="203"/>
        <v/>
      </c>
      <c r="FK58" s="181"/>
      <c r="FL58" s="176"/>
      <c r="FM58" s="176"/>
      <c r="FN58" s="176"/>
      <c r="FO58" s="176"/>
      <c r="FP58" s="176"/>
      <c r="FQ58" s="176"/>
      <c r="FR58" s="176"/>
      <c r="FS58" s="194" t="str">
        <f t="shared" si="204"/>
        <v/>
      </c>
      <c r="FT58" s="181"/>
      <c r="FU58" s="176"/>
      <c r="FV58" s="176"/>
      <c r="FW58" s="176"/>
      <c r="FX58" s="176"/>
      <c r="FY58" s="176"/>
      <c r="FZ58" s="176"/>
      <c r="GA58" s="176"/>
      <c r="GB58" s="194" t="str">
        <f t="shared" si="118"/>
        <v/>
      </c>
      <c r="GC58" s="194" t="str">
        <f t="shared" si="119"/>
        <v/>
      </c>
      <c r="GD58" s="194" t="str">
        <f>IF(GC58="","",IF(GC58&gt;=KONVERSI!$A$5,KONVERSI!$D$5,IF(GC58&gt;=KONVERSI!$A$6,KONVERSI!$D$6,IF(GC58&gt;=KONVERSI!$A$7,KONVERSI!$D$7,KONVERSI!$D$8))))</f>
        <v/>
      </c>
      <c r="GE58" s="194" t="str">
        <f t="shared" si="120"/>
        <v/>
      </c>
      <c r="GF58" s="222"/>
      <c r="GG58" s="223">
        <f t="shared" si="205"/>
        <v>0</v>
      </c>
      <c r="GH58" s="194">
        <f t="shared" si="206"/>
        <v>0</v>
      </c>
      <c r="GI58" s="194">
        <f t="shared" si="207"/>
        <v>0</v>
      </c>
      <c r="GJ58" s="194">
        <f t="shared" si="208"/>
        <v>0</v>
      </c>
      <c r="GK58" s="194">
        <f t="shared" si="209"/>
        <v>0</v>
      </c>
      <c r="GL58" s="194">
        <f t="shared" si="210"/>
        <v>0</v>
      </c>
      <c r="GM58" s="194">
        <f t="shared" si="211"/>
        <v>0</v>
      </c>
      <c r="GN58" s="194">
        <f t="shared" si="212"/>
        <v>0</v>
      </c>
      <c r="GO58" s="194">
        <f t="shared" si="213"/>
        <v>0</v>
      </c>
      <c r="GP58" s="194">
        <f t="shared" si="214"/>
        <v>0</v>
      </c>
      <c r="GQ58" s="194">
        <f t="shared" si="215"/>
        <v>0</v>
      </c>
      <c r="GR58" s="194">
        <f t="shared" si="216"/>
        <v>0</v>
      </c>
      <c r="GS58" s="194">
        <f t="shared" si="217"/>
        <v>0</v>
      </c>
      <c r="GT58" s="194">
        <f t="shared" si="218"/>
        <v>0</v>
      </c>
      <c r="GU58" s="194">
        <f t="shared" si="219"/>
        <v>0</v>
      </c>
      <c r="GV58" s="194">
        <f t="shared" si="220"/>
        <v>0</v>
      </c>
      <c r="GW58" s="194">
        <f t="shared" si="221"/>
        <v>0</v>
      </c>
      <c r="GX58" s="194">
        <f t="shared" si="222"/>
        <v>0</v>
      </c>
      <c r="GY58" s="194">
        <f t="shared" si="223"/>
        <v>0</v>
      </c>
      <c r="GZ58" s="194">
        <f t="shared" si="224"/>
        <v>0</v>
      </c>
      <c r="HA58" s="194">
        <f t="shared" si="225"/>
        <v>0</v>
      </c>
      <c r="HB58" s="194">
        <f t="shared" si="226"/>
        <v>0</v>
      </c>
      <c r="HC58" s="194">
        <f t="shared" si="227"/>
        <v>0</v>
      </c>
      <c r="HD58" s="194">
        <f t="shared" si="228"/>
        <v>0</v>
      </c>
      <c r="HE58" s="194">
        <f t="shared" si="229"/>
        <v>0</v>
      </c>
      <c r="HF58" s="194">
        <f t="shared" si="230"/>
        <v>0</v>
      </c>
      <c r="HG58" s="194">
        <f t="shared" si="231"/>
        <v>0</v>
      </c>
      <c r="HH58" s="194">
        <f t="shared" si="232"/>
        <v>0</v>
      </c>
      <c r="HI58" s="194">
        <f t="shared" si="233"/>
        <v>0</v>
      </c>
      <c r="HJ58" s="194">
        <f t="shared" si="234"/>
        <v>0</v>
      </c>
      <c r="HK58" s="194">
        <f t="shared" si="235"/>
        <v>0</v>
      </c>
      <c r="HL58" s="194">
        <f t="shared" si="236"/>
        <v>0</v>
      </c>
      <c r="HM58" s="194">
        <f t="shared" si="237"/>
        <v>0</v>
      </c>
      <c r="HN58" s="194">
        <f t="shared" si="238"/>
        <v>0</v>
      </c>
      <c r="HO58" s="194">
        <f t="shared" si="239"/>
        <v>0</v>
      </c>
      <c r="HP58" s="194">
        <f t="shared" si="240"/>
        <v>0</v>
      </c>
      <c r="HQ58" s="194">
        <f t="shared" si="241"/>
        <v>0</v>
      </c>
      <c r="HR58" s="194">
        <f t="shared" si="242"/>
        <v>0</v>
      </c>
      <c r="HS58" s="194">
        <f t="shared" si="243"/>
        <v>0</v>
      </c>
      <c r="HT58" s="194">
        <f t="shared" si="244"/>
        <v>0</v>
      </c>
      <c r="HU58" s="194">
        <f t="shared" si="245"/>
        <v>0</v>
      </c>
      <c r="HV58" s="194">
        <f t="shared" si="246"/>
        <v>0</v>
      </c>
      <c r="HW58" s="194">
        <f t="shared" si="247"/>
        <v>0</v>
      </c>
      <c r="HX58" s="194">
        <f t="shared" si="248"/>
        <v>0</v>
      </c>
      <c r="HY58" s="194">
        <f t="shared" si="249"/>
        <v>0</v>
      </c>
      <c r="HZ58" s="194">
        <f t="shared" si="250"/>
        <v>0</v>
      </c>
      <c r="IA58" s="194">
        <f t="shared" si="251"/>
        <v>0</v>
      </c>
      <c r="IB58" s="194">
        <f t="shared" si="252"/>
        <v>0</v>
      </c>
      <c r="IC58" s="194">
        <f t="shared" si="253"/>
        <v>0</v>
      </c>
      <c r="ID58" s="194">
        <f t="shared" si="254"/>
        <v>0</v>
      </c>
      <c r="IE58" s="194">
        <f t="shared" si="255"/>
        <v>0</v>
      </c>
      <c r="IF58" s="194">
        <f t="shared" si="256"/>
        <v>0</v>
      </c>
      <c r="IG58" s="194">
        <f t="shared" si="257"/>
        <v>0</v>
      </c>
      <c r="IH58" s="194">
        <f t="shared" si="258"/>
        <v>0</v>
      </c>
      <c r="II58" s="194">
        <f t="shared" si="259"/>
        <v>0</v>
      </c>
      <c r="IJ58" s="194">
        <f t="shared" si="260"/>
        <v>0</v>
      </c>
      <c r="IK58" s="194">
        <f t="shared" si="261"/>
        <v>0</v>
      </c>
      <c r="IL58" s="194">
        <f t="shared" si="262"/>
        <v>0</v>
      </c>
      <c r="IM58" s="194">
        <f t="shared" si="263"/>
        <v>0</v>
      </c>
      <c r="IN58" s="194">
        <f t="shared" si="264"/>
        <v>0</v>
      </c>
      <c r="IO58" s="194">
        <f t="shared" si="265"/>
        <v>0</v>
      </c>
      <c r="IP58" s="194">
        <f t="shared" si="266"/>
        <v>0</v>
      </c>
      <c r="IQ58" s="194">
        <f t="shared" si="267"/>
        <v>0</v>
      </c>
      <c r="IR58" s="194">
        <f t="shared" si="268"/>
        <v>0</v>
      </c>
      <c r="IS58" s="194">
        <f t="shared" si="269"/>
        <v>0</v>
      </c>
      <c r="IT58" s="194">
        <f t="shared" si="270"/>
        <v>0</v>
      </c>
      <c r="IU58" s="194">
        <f t="shared" si="271"/>
        <v>0</v>
      </c>
      <c r="IV58" s="194">
        <f t="shared" si="272"/>
        <v>0</v>
      </c>
      <c r="IW58" s="194">
        <f t="shared" si="273"/>
        <v>0</v>
      </c>
      <c r="IX58" s="194">
        <f t="shared" si="274"/>
        <v>0</v>
      </c>
      <c r="IY58" s="194">
        <f t="shared" si="275"/>
        <v>0</v>
      </c>
      <c r="IZ58" s="194">
        <f t="shared" si="276"/>
        <v>0</v>
      </c>
      <c r="JA58" s="194">
        <f t="shared" si="277"/>
        <v>0</v>
      </c>
      <c r="JB58" s="194">
        <f t="shared" si="278"/>
        <v>0</v>
      </c>
      <c r="JC58" s="194">
        <f t="shared" si="279"/>
        <v>0</v>
      </c>
      <c r="JD58" s="194">
        <f t="shared" si="280"/>
        <v>0</v>
      </c>
      <c r="JE58" s="194">
        <f t="shared" si="281"/>
        <v>0</v>
      </c>
      <c r="JF58" s="194">
        <f t="shared" si="282"/>
        <v>0</v>
      </c>
      <c r="JG58" s="194">
        <f t="shared" si="283"/>
        <v>0</v>
      </c>
      <c r="JH58" s="194">
        <f t="shared" si="284"/>
        <v>0</v>
      </c>
      <c r="JI58" s="228">
        <v>50</v>
      </c>
      <c r="JJ58" s="229" t="str">
        <f t="shared" si="121"/>
        <v/>
      </c>
      <c r="JK58" s="229" t="str">
        <f t="shared" si="122"/>
        <v/>
      </c>
      <c r="JL58" s="229" t="str">
        <f t="shared" si="123"/>
        <v/>
      </c>
      <c r="JM58" s="229" t="str">
        <f t="shared" si="124"/>
        <v/>
      </c>
      <c r="JN58" s="229" t="str">
        <f t="shared" si="125"/>
        <v/>
      </c>
      <c r="JO58" s="229" t="str">
        <f t="shared" si="126"/>
        <v/>
      </c>
      <c r="JP58" s="229" t="str">
        <f t="shared" si="127"/>
        <v/>
      </c>
      <c r="JQ58" s="229" t="str">
        <f t="shared" si="128"/>
        <v/>
      </c>
      <c r="JR58" s="229" t="str">
        <f t="shared" si="129"/>
        <v/>
      </c>
      <c r="JS58" s="229" t="str">
        <f t="shared" si="130"/>
        <v/>
      </c>
      <c r="JT58" s="229" t="str">
        <f t="shared" si="131"/>
        <v/>
      </c>
      <c r="JU58" s="229" t="str">
        <f t="shared" si="132"/>
        <v/>
      </c>
      <c r="JV58" s="229" t="str">
        <f t="shared" si="133"/>
        <v/>
      </c>
      <c r="JW58" s="229" t="str">
        <f t="shared" si="134"/>
        <v/>
      </c>
      <c r="JX58" s="229" t="str">
        <f t="shared" si="135"/>
        <v/>
      </c>
      <c r="JY58" s="229" t="str">
        <f t="shared" si="136"/>
        <v/>
      </c>
      <c r="JZ58" s="229" t="str">
        <f t="shared" si="137"/>
        <v/>
      </c>
      <c r="KA58" s="229" t="str">
        <f t="shared" si="138"/>
        <v/>
      </c>
      <c r="KB58" s="229" t="str">
        <f t="shared" si="139"/>
        <v/>
      </c>
      <c r="KC58" s="229" t="str">
        <f t="shared" si="140"/>
        <v/>
      </c>
      <c r="KD58" s="231" t="str">
        <f t="shared" si="141"/>
        <v/>
      </c>
      <c r="KE58" s="232" t="str">
        <f>IF(KD58="","",IF(KD58&gt;=KONVERSI!$A$5,KONVERSI!$E$12,IF(KD58&gt;=KONVERSI!$A$6,KONVERSI!$E$13,IF(KD58&gt;=KONVERSI!$A$7,KONVERSI!$E$14,KONVERSI!$E$15))))</f>
        <v/>
      </c>
      <c r="KF58" s="233" t="str">
        <f t="shared" si="142"/>
        <v/>
      </c>
      <c r="KG58" s="234" t="str">
        <f t="shared" si="143"/>
        <v/>
      </c>
      <c r="KH58" s="232" t="str">
        <f>IF(KG58="","",IF(KG58&gt;=KONVERSI!$A$5,KONVERSI!$E$12,IF(KG58&gt;=KONVERSI!$A$6,KONVERSI!$E$13,IF(KG58&gt;=KONVERSI!$A$7,KONVERSI!$E$14,KONVERSI!$E$15))))</f>
        <v/>
      </c>
      <c r="KI58" s="134" t="str">
        <f>IF(GC58="","",IF(GC58&lt;$GD$3," "&amp;KONVERSI!$C$19&amp;INDEX($JJ$8:$KC$8,MATCH(KG59,JJ59:KC59,0))&amp;".",IF(GC58=0,"",IF(KG58&lt;&gt;0,KF58&amp;KH58&amp;".",KF58&amp;"."))))</f>
        <v/>
      </c>
      <c r="KJ58" s="235" t="str">
        <f t="shared" si="144"/>
        <v/>
      </c>
      <c r="KK58" s="235" t="str">
        <f t="shared" si="145"/>
        <v/>
      </c>
      <c r="KL58" s="235" t="str">
        <f t="shared" si="146"/>
        <v/>
      </c>
      <c r="KM58" s="235" t="str">
        <f t="shared" si="147"/>
        <v/>
      </c>
      <c r="KN58" s="235" t="str">
        <f t="shared" si="148"/>
        <v/>
      </c>
      <c r="KO58" s="235" t="str">
        <f t="shared" si="149"/>
        <v/>
      </c>
      <c r="KP58" s="235" t="str">
        <f t="shared" si="150"/>
        <v/>
      </c>
      <c r="KQ58" s="235" t="str">
        <f t="shared" si="151"/>
        <v/>
      </c>
      <c r="KR58" s="235" t="str">
        <f t="shared" si="152"/>
        <v/>
      </c>
      <c r="KS58" s="235" t="str">
        <f t="shared" si="153"/>
        <v/>
      </c>
      <c r="KT58" s="235" t="str">
        <f t="shared" si="154"/>
        <v/>
      </c>
      <c r="KU58" s="235" t="str">
        <f t="shared" si="155"/>
        <v/>
      </c>
      <c r="KV58" s="235" t="str">
        <f t="shared" si="156"/>
        <v/>
      </c>
      <c r="KW58" s="235" t="str">
        <f t="shared" si="157"/>
        <v/>
      </c>
      <c r="KX58" s="235" t="str">
        <f t="shared" si="158"/>
        <v/>
      </c>
      <c r="KY58" s="235" t="str">
        <f t="shared" si="159"/>
        <v/>
      </c>
      <c r="KZ58" s="235" t="str">
        <f t="shared" si="160"/>
        <v/>
      </c>
      <c r="LA58" s="235" t="str">
        <f t="shared" si="161"/>
        <v/>
      </c>
      <c r="LB58" s="235" t="str">
        <f t="shared" si="162"/>
        <v/>
      </c>
      <c r="LC58" s="235" t="str">
        <f t="shared" si="163"/>
        <v/>
      </c>
      <c r="LD58" s="134" t="str">
        <f t="shared" si="291"/>
        <v/>
      </c>
      <c r="LE58" s="134" t="str">
        <f t="shared" si="291"/>
        <v/>
      </c>
      <c r="LF58" s="134" t="str">
        <f t="shared" si="289"/>
        <v/>
      </c>
      <c r="LG58" s="134" t="str">
        <f t="shared" si="289"/>
        <v/>
      </c>
      <c r="LH58" s="134" t="str">
        <f t="shared" si="289"/>
        <v/>
      </c>
      <c r="LI58" s="134" t="str">
        <f t="shared" si="289"/>
        <v/>
      </c>
      <c r="LJ58" s="134" t="str">
        <f t="shared" si="289"/>
        <v/>
      </c>
      <c r="LK58" s="134" t="str">
        <f t="shared" si="289"/>
        <v/>
      </c>
      <c r="LL58" s="134" t="str">
        <f t="shared" si="289"/>
        <v/>
      </c>
      <c r="LM58" s="134" t="str">
        <f t="shared" si="289"/>
        <v/>
      </c>
      <c r="LN58" s="134" t="str">
        <f t="shared" si="289"/>
        <v/>
      </c>
      <c r="LO58" s="134" t="str">
        <f t="shared" si="287"/>
        <v/>
      </c>
      <c r="LP58" s="134" t="str">
        <f t="shared" si="287"/>
        <v/>
      </c>
      <c r="LQ58" s="134" t="str">
        <f t="shared" si="287"/>
        <v/>
      </c>
      <c r="LR58" s="134" t="str">
        <f t="shared" si="287"/>
        <v/>
      </c>
      <c r="LS58" s="134" t="str">
        <f t="shared" si="287"/>
        <v/>
      </c>
      <c r="LT58" s="134" t="str">
        <f t="shared" si="287"/>
        <v/>
      </c>
      <c r="LU58" s="134" t="str">
        <f t="shared" si="287"/>
        <v/>
      </c>
      <c r="LV58" s="134" t="str">
        <f t="shared" si="287"/>
        <v/>
      </c>
      <c r="LW58" s="134" t="str">
        <f t="shared" si="287"/>
        <v/>
      </c>
      <c r="LX58" s="134" t="str">
        <f t="shared" si="165"/>
        <v/>
      </c>
      <c r="LY58" s="134" t="str">
        <f t="shared" si="166"/>
        <v>  </v>
      </c>
      <c r="LZ58" s="236">
        <f t="shared" si="285"/>
        <v>0</v>
      </c>
      <c r="MA58" s="235" t="str">
        <f t="shared" si="167"/>
        <v/>
      </c>
      <c r="MB58" s="235" t="str">
        <f t="shared" si="168"/>
        <v/>
      </c>
      <c r="MC58" s="235" t="str">
        <f t="shared" si="169"/>
        <v/>
      </c>
      <c r="MD58" s="235" t="str">
        <f t="shared" si="170"/>
        <v/>
      </c>
      <c r="ME58" s="235" t="str">
        <f t="shared" si="171"/>
        <v/>
      </c>
      <c r="MF58" s="235" t="str">
        <f t="shared" si="172"/>
        <v/>
      </c>
      <c r="MG58" s="235" t="str">
        <f t="shared" si="173"/>
        <v/>
      </c>
      <c r="MH58" s="235" t="str">
        <f t="shared" si="174"/>
        <v/>
      </c>
      <c r="MI58" s="235" t="str">
        <f t="shared" si="175"/>
        <v/>
      </c>
      <c r="MJ58" s="235" t="str">
        <f t="shared" si="176"/>
        <v/>
      </c>
      <c r="MK58" s="235" t="str">
        <f t="shared" si="177"/>
        <v/>
      </c>
      <c r="ML58" s="235" t="str">
        <f t="shared" si="178"/>
        <v/>
      </c>
      <c r="MM58" s="235" t="str">
        <f t="shared" si="179"/>
        <v/>
      </c>
      <c r="MN58" s="235" t="str">
        <f t="shared" si="180"/>
        <v/>
      </c>
      <c r="MO58" s="235" t="str">
        <f t="shared" si="181"/>
        <v/>
      </c>
      <c r="MP58" s="235" t="str">
        <f t="shared" si="182"/>
        <v/>
      </c>
      <c r="MQ58" s="235" t="str">
        <f t="shared" si="183"/>
        <v/>
      </c>
      <c r="MR58" s="235" t="str">
        <f t="shared" si="184"/>
        <v/>
      </c>
      <c r="MS58" s="235" t="str">
        <f t="shared" si="185"/>
        <v/>
      </c>
      <c r="MT58" s="235" t="str">
        <f t="shared" si="186"/>
        <v/>
      </c>
      <c r="MU58" s="134" t="str">
        <f t="shared" si="292"/>
        <v/>
      </c>
      <c r="MV58" s="134" t="str">
        <f t="shared" si="292"/>
        <v/>
      </c>
      <c r="MW58" s="134" t="str">
        <f t="shared" si="290"/>
        <v/>
      </c>
      <c r="MX58" s="134" t="str">
        <f t="shared" si="290"/>
        <v/>
      </c>
      <c r="MY58" s="134" t="str">
        <f t="shared" si="290"/>
        <v/>
      </c>
      <c r="MZ58" s="134" t="str">
        <f t="shared" si="290"/>
        <v/>
      </c>
      <c r="NA58" s="134" t="str">
        <f t="shared" si="290"/>
        <v/>
      </c>
      <c r="NB58" s="134" t="str">
        <f t="shared" si="290"/>
        <v/>
      </c>
      <c r="NC58" s="134" t="str">
        <f t="shared" si="290"/>
        <v/>
      </c>
      <c r="ND58" s="134" t="str">
        <f t="shared" si="290"/>
        <v/>
      </c>
      <c r="NE58" s="134" t="str">
        <f t="shared" si="290"/>
        <v/>
      </c>
      <c r="NF58" s="134" t="str">
        <f t="shared" si="288"/>
        <v/>
      </c>
      <c r="NG58" s="134" t="str">
        <f t="shared" si="288"/>
        <v/>
      </c>
      <c r="NH58" s="134" t="str">
        <f t="shared" si="288"/>
        <v/>
      </c>
      <c r="NI58" s="134" t="str">
        <f t="shared" si="288"/>
        <v/>
      </c>
      <c r="NJ58" s="134" t="str">
        <f t="shared" si="288"/>
        <v/>
      </c>
      <c r="NK58" s="134" t="str">
        <f t="shared" si="288"/>
        <v/>
      </c>
      <c r="NL58" s="134" t="str">
        <f t="shared" si="288"/>
        <v/>
      </c>
      <c r="NM58" s="134" t="str">
        <f t="shared" si="288"/>
        <v/>
      </c>
      <c r="NN58" s="134" t="str">
        <f t="shared" si="288"/>
        <v/>
      </c>
      <c r="NO58" s="134" t="str">
        <f>IF(KE58=KH58,"",IF(KG58="","",IF(KG58&gt;=KONVERSI!$A$14,'KI4'!KH58&amp;" dalam"&amp;MU58&amp;MV58&amp;MW58&amp;MX58&amp;MY58&amp;MZ58&amp;NA58&amp;NB58&amp;NC58&amp;ND58&amp;NE58&amp;NF58&amp;NG58&amp;NH58&amp;NI58&amp;NJ58&amp;NK58&amp;NL58&amp;NM58&amp;NN58,KONVERSI!$C$19&amp;" dalam"&amp;MU58&amp;MV58&amp;MW58&amp;MX58&amp;MY58&amp;MZ58&amp;NA58&amp;NB58&amp;NC58&amp;ND58&amp;NE58&amp;NF58&amp;NG58&amp;NH58&amp;NI58&amp;NJ58&amp;NK58&amp;NL58&amp;NM58&amp;NN58)))</f>
        <v/>
      </c>
      <c r="NP58" s="134" t="str">
        <f t="shared" si="188"/>
        <v/>
      </c>
      <c r="NQ58" s="236">
        <f t="shared" si="286"/>
        <v>0</v>
      </c>
      <c r="NR58" s="134" t="str">
        <f t="shared" si="189"/>
        <v/>
      </c>
    </row>
    <row r="59" ht="15.75" customHeight="1" spans="1:268">
      <c r="A59" s="136"/>
      <c r="B59" s="182"/>
      <c r="C59" s="183"/>
      <c r="D59" s="184"/>
      <c r="E59" s="185"/>
      <c r="F59" s="185"/>
      <c r="G59" s="185"/>
      <c r="H59" s="185"/>
      <c r="I59" s="185"/>
      <c r="J59" s="185"/>
      <c r="K59" s="185"/>
      <c r="L59" s="185"/>
      <c r="M59" s="185"/>
      <c r="N59" s="185"/>
      <c r="O59" s="185"/>
      <c r="P59" s="185"/>
      <c r="Q59" s="185"/>
      <c r="R59" s="185"/>
      <c r="S59" s="185"/>
      <c r="T59" s="185"/>
      <c r="U59" s="185"/>
      <c r="V59" s="185"/>
      <c r="W59" s="185"/>
      <c r="X59" s="185"/>
      <c r="Y59" s="185"/>
      <c r="Z59" s="185"/>
      <c r="AA59" s="185"/>
      <c r="AB59" s="185"/>
      <c r="AC59" s="185"/>
      <c r="AD59" s="185"/>
      <c r="AE59" s="185"/>
      <c r="AF59" s="185"/>
      <c r="AG59" s="185"/>
      <c r="AH59" s="185"/>
      <c r="AI59" s="185"/>
      <c r="AJ59" s="185"/>
      <c r="AK59" s="185"/>
      <c r="AL59" s="185"/>
      <c r="AM59" s="185"/>
      <c r="AN59" s="185"/>
      <c r="AO59" s="185"/>
      <c r="AP59" s="185"/>
      <c r="AQ59" s="185"/>
      <c r="AR59" s="185"/>
      <c r="AS59" s="185"/>
      <c r="AT59" s="185"/>
      <c r="AU59" s="185"/>
      <c r="AV59" s="185"/>
      <c r="AW59" s="185"/>
      <c r="AX59" s="185"/>
      <c r="AY59" s="185"/>
      <c r="AZ59" s="185"/>
      <c r="BA59" s="185"/>
      <c r="BB59" s="185"/>
      <c r="BC59" s="185"/>
      <c r="BD59" s="185"/>
      <c r="BE59" s="185"/>
      <c r="BF59" s="185"/>
      <c r="BG59" s="185"/>
      <c r="BH59" s="185"/>
      <c r="BI59" s="185"/>
      <c r="BJ59" s="185"/>
      <c r="BK59" s="185"/>
      <c r="BL59" s="185"/>
      <c r="BM59" s="185"/>
      <c r="BN59" s="185"/>
      <c r="BO59" s="185"/>
      <c r="BP59" s="185"/>
      <c r="BQ59" s="185"/>
      <c r="BR59" s="185"/>
      <c r="BS59" s="185"/>
      <c r="BT59" s="185"/>
      <c r="BU59" s="185"/>
      <c r="BV59" s="185"/>
      <c r="BW59" s="185"/>
      <c r="BX59" s="185"/>
      <c r="BY59" s="185"/>
      <c r="BZ59" s="185"/>
      <c r="CA59" s="185"/>
      <c r="CB59" s="185"/>
      <c r="CC59" s="185"/>
      <c r="CD59" s="185"/>
      <c r="CE59" s="185"/>
      <c r="CF59" s="185"/>
      <c r="CG59" s="185"/>
      <c r="CH59" s="185"/>
      <c r="CI59" s="185"/>
      <c r="CJ59" s="185"/>
      <c r="CK59" s="185"/>
      <c r="CL59" s="185"/>
      <c r="CM59" s="185"/>
      <c r="CN59" s="185"/>
      <c r="CO59" s="185"/>
      <c r="CP59" s="185"/>
      <c r="CQ59" s="185"/>
      <c r="CR59" s="185"/>
      <c r="CS59" s="185"/>
      <c r="CT59" s="185"/>
      <c r="CU59" s="185"/>
      <c r="CV59" s="185"/>
      <c r="CW59" s="185"/>
      <c r="CX59" s="185"/>
      <c r="CY59" s="185"/>
      <c r="CZ59" s="185"/>
      <c r="DA59" s="185"/>
      <c r="DB59" s="185"/>
      <c r="DC59" s="185"/>
      <c r="DD59" s="185"/>
      <c r="DE59" s="185"/>
      <c r="DF59" s="185"/>
      <c r="DG59" s="185"/>
      <c r="DH59" s="185"/>
      <c r="DI59" s="185"/>
      <c r="DJ59" s="185"/>
      <c r="DK59" s="185"/>
      <c r="DL59" s="185"/>
      <c r="DM59" s="185"/>
      <c r="DN59" s="185"/>
      <c r="DO59" s="185"/>
      <c r="DP59" s="185"/>
      <c r="DQ59" s="185"/>
      <c r="DR59" s="185"/>
      <c r="DS59" s="185"/>
      <c r="DT59" s="185"/>
      <c r="DU59" s="185"/>
      <c r="DV59" s="185"/>
      <c r="DW59" s="185"/>
      <c r="DX59" s="185"/>
      <c r="DY59" s="185"/>
      <c r="DZ59" s="185"/>
      <c r="EA59" s="185"/>
      <c r="EB59" s="185"/>
      <c r="EC59" s="185"/>
      <c r="ED59" s="185"/>
      <c r="EE59" s="185"/>
      <c r="EF59" s="185"/>
      <c r="EG59" s="185"/>
      <c r="EH59" s="185"/>
      <c r="EI59" s="185"/>
      <c r="EJ59" s="185"/>
      <c r="EK59" s="185"/>
      <c r="EL59" s="185"/>
      <c r="EM59" s="185"/>
      <c r="EN59" s="185"/>
      <c r="EO59" s="185"/>
      <c r="EP59" s="185"/>
      <c r="EQ59" s="185"/>
      <c r="ER59" s="185"/>
      <c r="ES59" s="185"/>
      <c r="ET59" s="185"/>
      <c r="EU59" s="185"/>
      <c r="EV59" s="185"/>
      <c r="EW59" s="185"/>
      <c r="EX59" s="185"/>
      <c r="EY59" s="185"/>
      <c r="EZ59" s="185"/>
      <c r="FA59" s="185"/>
      <c r="FB59" s="185"/>
      <c r="FC59" s="185"/>
      <c r="FD59" s="185"/>
      <c r="FE59" s="185"/>
      <c r="FF59" s="185"/>
      <c r="FG59" s="185"/>
      <c r="FH59" s="185"/>
      <c r="FI59" s="185"/>
      <c r="FJ59" s="185"/>
      <c r="FK59" s="185"/>
      <c r="FL59" s="185"/>
      <c r="FM59" s="185"/>
      <c r="FN59" s="185"/>
      <c r="FO59" s="185"/>
      <c r="FP59" s="185"/>
      <c r="FQ59" s="185"/>
      <c r="FR59" s="185"/>
      <c r="FS59" s="185"/>
      <c r="FT59" s="185"/>
      <c r="FU59" s="185"/>
      <c r="FV59" s="185"/>
      <c r="FW59" s="185"/>
      <c r="FX59" s="185"/>
      <c r="FY59" s="185"/>
      <c r="FZ59" s="185"/>
      <c r="GA59" s="185"/>
      <c r="GB59" s="185"/>
      <c r="GC59" s="224"/>
      <c r="GD59" s="185"/>
      <c r="GE59" s="185"/>
      <c r="GF59" s="225"/>
      <c r="GG59" s="185"/>
      <c r="GH59" s="185"/>
      <c r="GI59" s="185"/>
      <c r="GJ59" s="185"/>
      <c r="GK59" s="185"/>
      <c r="GL59" s="185"/>
      <c r="GM59" s="185"/>
      <c r="GN59" s="185"/>
      <c r="GO59" s="185"/>
      <c r="GP59" s="185"/>
      <c r="GQ59" s="185"/>
      <c r="GR59" s="185"/>
      <c r="GS59" s="185"/>
      <c r="GT59" s="185"/>
      <c r="GU59" s="185"/>
      <c r="GV59" s="185"/>
      <c r="GW59" s="185"/>
      <c r="GX59" s="185"/>
      <c r="GY59" s="185"/>
      <c r="GZ59" s="185"/>
      <c r="HA59" s="185"/>
      <c r="HB59" s="185"/>
      <c r="HC59" s="185"/>
      <c r="HD59" s="185"/>
      <c r="HE59" s="185"/>
      <c r="HF59" s="185"/>
      <c r="HG59" s="185"/>
      <c r="HH59" s="185"/>
      <c r="HI59" s="185"/>
      <c r="HJ59" s="185"/>
      <c r="HK59" s="185"/>
      <c r="HL59" s="185"/>
      <c r="HM59" s="185"/>
      <c r="HN59" s="185"/>
      <c r="HO59" s="185"/>
      <c r="HP59" s="185"/>
      <c r="HQ59" s="185"/>
      <c r="HR59" s="185"/>
      <c r="HS59" s="185"/>
      <c r="HT59" s="185"/>
      <c r="HU59" s="185"/>
      <c r="HV59" s="185"/>
      <c r="HW59" s="185"/>
      <c r="HX59" s="185"/>
      <c r="HY59" s="185"/>
      <c r="HZ59" s="185"/>
      <c r="IA59" s="185"/>
      <c r="IB59" s="185"/>
      <c r="IC59" s="185"/>
      <c r="ID59" s="185"/>
      <c r="IE59" s="185"/>
      <c r="IF59" s="185"/>
      <c r="IG59" s="185"/>
      <c r="IH59" s="185"/>
      <c r="II59" s="185"/>
      <c r="IJ59" s="185"/>
      <c r="IK59" s="185"/>
      <c r="IL59" s="185"/>
      <c r="IM59" s="185"/>
      <c r="IN59" s="185"/>
      <c r="IO59" s="185"/>
      <c r="IP59" s="185"/>
      <c r="IQ59" s="185"/>
      <c r="IR59" s="185"/>
      <c r="IS59" s="185"/>
      <c r="IT59" s="185"/>
      <c r="IU59" s="185"/>
      <c r="IV59" s="185"/>
      <c r="IW59" s="185"/>
      <c r="IX59" s="185"/>
      <c r="IY59" s="185"/>
      <c r="IZ59" s="185"/>
      <c r="JA59" s="185"/>
      <c r="JB59" s="185"/>
      <c r="JC59" s="185"/>
      <c r="JD59" s="185"/>
      <c r="JE59" s="185"/>
      <c r="JF59" s="185"/>
      <c r="JG59" s="185"/>
      <c r="JH59" s="185"/>
    </row>
    <row r="60" ht="15.75" customHeight="1" spans="1:268">
      <c r="A60" s="136"/>
      <c r="B60" s="182"/>
      <c r="C60" s="183"/>
      <c r="D60" s="186"/>
      <c r="E60" s="185"/>
      <c r="F60" s="185"/>
      <c r="G60" s="185"/>
      <c r="H60" s="185"/>
      <c r="I60" s="185"/>
      <c r="J60" s="185"/>
      <c r="K60" s="185"/>
      <c r="L60" s="185"/>
      <c r="M60" s="185"/>
      <c r="N60" s="185"/>
      <c r="O60" s="185"/>
      <c r="P60" s="185"/>
      <c r="Q60" s="185"/>
      <c r="R60" s="185"/>
      <c r="S60" s="185"/>
      <c r="T60" s="185"/>
      <c r="U60" s="185"/>
      <c r="V60" s="185"/>
      <c r="W60" s="185"/>
      <c r="X60" s="185"/>
      <c r="Y60" s="185"/>
      <c r="Z60" s="185"/>
      <c r="AA60" s="185"/>
      <c r="AB60" s="185"/>
      <c r="AC60" s="185"/>
      <c r="AD60" s="185"/>
      <c r="AE60" s="185"/>
      <c r="AF60" s="185"/>
      <c r="AG60" s="185"/>
      <c r="AH60" s="185"/>
      <c r="AI60" s="185"/>
      <c r="AJ60" s="185"/>
      <c r="AK60" s="185"/>
      <c r="AL60" s="185"/>
      <c r="AM60" s="185"/>
      <c r="AN60" s="185"/>
      <c r="AO60" s="185"/>
      <c r="AP60" s="185"/>
      <c r="AQ60" s="185"/>
      <c r="AR60" s="185"/>
      <c r="AS60" s="185"/>
      <c r="AT60" s="185"/>
      <c r="AU60" s="185"/>
      <c r="AV60" s="185"/>
      <c r="AW60" s="185"/>
      <c r="AX60" s="185"/>
      <c r="AY60" s="185"/>
      <c r="AZ60" s="185"/>
      <c r="BA60" s="185"/>
      <c r="BB60" s="185"/>
      <c r="BC60" s="185"/>
      <c r="BD60" s="185"/>
      <c r="BE60" s="185"/>
      <c r="BF60" s="185"/>
      <c r="BG60" s="185"/>
      <c r="BH60" s="185"/>
      <c r="BI60" s="185"/>
      <c r="BJ60" s="185"/>
      <c r="BK60" s="185"/>
      <c r="BL60" s="185"/>
      <c r="BM60" s="185"/>
      <c r="BN60" s="185"/>
      <c r="BO60" s="185"/>
      <c r="BP60" s="185"/>
      <c r="BQ60" s="185"/>
      <c r="BR60" s="185"/>
      <c r="BS60" s="185"/>
      <c r="BT60" s="185"/>
      <c r="BU60" s="185"/>
      <c r="BV60" s="185"/>
      <c r="BW60" s="185"/>
      <c r="BX60" s="185"/>
      <c r="BY60" s="185"/>
      <c r="BZ60" s="185"/>
      <c r="CA60" s="185"/>
      <c r="CB60" s="185"/>
      <c r="CC60" s="185"/>
      <c r="CD60" s="185"/>
      <c r="CE60" s="185"/>
      <c r="CF60" s="185"/>
      <c r="CG60" s="185"/>
      <c r="CH60" s="185"/>
      <c r="CI60" s="185"/>
      <c r="CJ60" s="185"/>
      <c r="CK60" s="185"/>
      <c r="CL60" s="185"/>
      <c r="CM60" s="185"/>
      <c r="CN60" s="185"/>
      <c r="CO60" s="185"/>
      <c r="CP60" s="185"/>
      <c r="CQ60" s="185"/>
      <c r="CR60" s="185"/>
      <c r="CS60" s="185"/>
      <c r="CT60" s="185"/>
      <c r="CU60" s="185"/>
      <c r="CV60" s="185"/>
      <c r="CW60" s="185"/>
      <c r="CX60" s="185"/>
      <c r="CY60" s="185"/>
      <c r="CZ60" s="185"/>
      <c r="DA60" s="185"/>
      <c r="DB60" s="185"/>
      <c r="DC60" s="185"/>
      <c r="DD60" s="185"/>
      <c r="DE60" s="185"/>
      <c r="DF60" s="185"/>
      <c r="DG60" s="185"/>
      <c r="DH60" s="185"/>
      <c r="DI60" s="185"/>
      <c r="DJ60" s="185"/>
      <c r="DK60" s="185"/>
      <c r="DL60" s="185"/>
      <c r="DM60" s="185"/>
      <c r="DN60" s="185"/>
      <c r="DO60" s="185"/>
      <c r="DP60" s="185"/>
      <c r="DQ60" s="185"/>
      <c r="DR60" s="185"/>
      <c r="DS60" s="185"/>
      <c r="DT60" s="185"/>
      <c r="DU60" s="185"/>
      <c r="DV60" s="185"/>
      <c r="DW60" s="185"/>
      <c r="DX60" s="185"/>
      <c r="DY60" s="185"/>
      <c r="DZ60" s="185"/>
      <c r="EA60" s="185"/>
      <c r="EB60" s="185"/>
      <c r="EC60" s="185"/>
      <c r="ED60" s="185"/>
      <c r="EE60" s="185"/>
      <c r="EF60" s="185"/>
      <c r="EG60" s="185"/>
      <c r="EH60" s="185"/>
      <c r="EI60" s="185"/>
      <c r="EJ60" s="185"/>
      <c r="EK60" s="185"/>
      <c r="EL60" s="185"/>
      <c r="EM60" s="185"/>
      <c r="EN60" s="185"/>
      <c r="EO60" s="185"/>
      <c r="EP60" s="185"/>
      <c r="EQ60" s="185"/>
      <c r="ER60" s="185"/>
      <c r="ES60" s="185"/>
      <c r="ET60" s="185"/>
      <c r="EU60" s="185"/>
      <c r="EV60" s="185"/>
      <c r="EW60" s="185"/>
      <c r="EX60" s="185"/>
      <c r="EY60" s="185"/>
      <c r="EZ60" s="185"/>
      <c r="FA60" s="185"/>
      <c r="FB60" s="185"/>
      <c r="FC60" s="185"/>
      <c r="FD60" s="185"/>
      <c r="FE60" s="185"/>
      <c r="FF60" s="185"/>
      <c r="FG60" s="185"/>
      <c r="FH60" s="185"/>
      <c r="FI60" s="185"/>
      <c r="FJ60" s="185"/>
      <c r="FK60" s="185"/>
      <c r="FL60" s="185"/>
      <c r="FM60" s="185"/>
      <c r="FN60" s="185"/>
      <c r="FO60" s="185"/>
      <c r="FP60" s="185"/>
      <c r="FQ60" s="185"/>
      <c r="FR60" s="185"/>
      <c r="FS60" s="185"/>
      <c r="FT60" s="185"/>
      <c r="FU60" s="185"/>
      <c r="FV60" s="185"/>
      <c r="FW60" s="185"/>
      <c r="FX60" s="185"/>
      <c r="FY60" s="185"/>
      <c r="FZ60" s="185"/>
      <c r="GA60" s="185"/>
      <c r="GB60" s="185"/>
      <c r="GC60" s="224"/>
      <c r="GD60" s="185"/>
      <c r="GE60" s="185"/>
      <c r="GF60" s="225"/>
      <c r="GG60" s="185"/>
      <c r="GH60" s="185"/>
      <c r="GI60" s="185"/>
      <c r="GJ60" s="185"/>
      <c r="GK60" s="185"/>
      <c r="GL60" s="185"/>
      <c r="GM60" s="185"/>
      <c r="GN60" s="185"/>
      <c r="GO60" s="185"/>
      <c r="GP60" s="185"/>
      <c r="GQ60" s="185"/>
      <c r="GR60" s="185"/>
      <c r="GS60" s="185"/>
      <c r="GT60" s="185"/>
      <c r="GU60" s="185"/>
      <c r="GV60" s="185"/>
      <c r="GW60" s="185"/>
      <c r="GX60" s="185"/>
      <c r="GY60" s="185"/>
      <c r="GZ60" s="185"/>
      <c r="HA60" s="185"/>
      <c r="HB60" s="185"/>
      <c r="HC60" s="185"/>
      <c r="HD60" s="185"/>
      <c r="HE60" s="185"/>
      <c r="HF60" s="185"/>
      <c r="HG60" s="185"/>
      <c r="HH60" s="185"/>
      <c r="HI60" s="185"/>
      <c r="HJ60" s="185"/>
      <c r="HK60" s="185"/>
      <c r="HL60" s="185"/>
      <c r="HM60" s="185"/>
      <c r="HN60" s="185"/>
      <c r="HO60" s="185"/>
      <c r="HP60" s="185"/>
      <c r="HQ60" s="185"/>
      <c r="HR60" s="185"/>
      <c r="HS60" s="185"/>
      <c r="HT60" s="185"/>
      <c r="HU60" s="185"/>
      <c r="HV60" s="185"/>
      <c r="HW60" s="185"/>
      <c r="HX60" s="185"/>
      <c r="HY60" s="185"/>
      <c r="HZ60" s="185"/>
      <c r="IA60" s="185"/>
      <c r="IB60" s="185"/>
      <c r="IC60" s="185"/>
      <c r="ID60" s="185"/>
      <c r="IE60" s="185"/>
      <c r="IF60" s="185"/>
      <c r="IG60" s="185"/>
      <c r="IH60" s="185"/>
      <c r="II60" s="185"/>
      <c r="IJ60" s="185"/>
      <c r="IK60" s="185"/>
      <c r="IL60" s="185"/>
      <c r="IM60" s="185"/>
      <c r="IN60" s="185"/>
      <c r="IO60" s="185"/>
      <c r="IP60" s="185"/>
      <c r="IQ60" s="185"/>
      <c r="IR60" s="185"/>
      <c r="IS60" s="185"/>
      <c r="IT60" s="185"/>
      <c r="IU60" s="185"/>
      <c r="IV60" s="185"/>
      <c r="IW60" s="185"/>
      <c r="IX60" s="185"/>
      <c r="IY60" s="185"/>
      <c r="IZ60" s="185"/>
      <c r="JA60" s="185"/>
      <c r="JB60" s="185"/>
      <c r="JC60" s="185"/>
      <c r="JD60" s="185"/>
      <c r="JE60" s="185"/>
      <c r="JF60" s="185"/>
      <c r="JG60" s="185"/>
      <c r="JH60" s="185"/>
    </row>
    <row r="61" ht="15.75" customHeight="1" spans="1:268">
      <c r="A61" s="136"/>
      <c r="B61" s="182"/>
      <c r="C61" s="183"/>
      <c r="D61" s="186"/>
      <c r="E61" s="185"/>
      <c r="F61" s="185"/>
      <c r="G61" s="185"/>
      <c r="H61" s="185"/>
      <c r="I61" s="185"/>
      <c r="J61" s="185"/>
      <c r="K61" s="185"/>
      <c r="L61" s="185"/>
      <c r="M61" s="185"/>
      <c r="N61" s="185"/>
      <c r="O61" s="185"/>
      <c r="P61" s="185"/>
      <c r="Q61" s="185"/>
      <c r="R61" s="185"/>
      <c r="S61" s="185"/>
      <c r="T61" s="185"/>
      <c r="U61" s="185"/>
      <c r="V61" s="185"/>
      <c r="W61" s="185"/>
      <c r="X61" s="185"/>
      <c r="Y61" s="185"/>
      <c r="Z61" s="185"/>
      <c r="AA61" s="185"/>
      <c r="AB61" s="185"/>
      <c r="AC61" s="185"/>
      <c r="AD61" s="185"/>
      <c r="AE61" s="185"/>
      <c r="AF61" s="185"/>
      <c r="AG61" s="185"/>
      <c r="AH61" s="185"/>
      <c r="AI61" s="185"/>
      <c r="AJ61" s="185"/>
      <c r="AK61" s="185"/>
      <c r="AL61" s="185"/>
      <c r="AM61" s="185"/>
      <c r="AN61" s="185"/>
      <c r="AO61" s="185"/>
      <c r="AP61" s="185"/>
      <c r="AQ61" s="185"/>
      <c r="AR61" s="185"/>
      <c r="AS61" s="185"/>
      <c r="AT61" s="185"/>
      <c r="AU61" s="185"/>
      <c r="AV61" s="185"/>
      <c r="AW61" s="185"/>
      <c r="AX61" s="185"/>
      <c r="AY61" s="185"/>
      <c r="AZ61" s="185"/>
      <c r="BA61" s="185"/>
      <c r="BB61" s="185"/>
      <c r="BC61" s="185"/>
      <c r="BD61" s="185"/>
      <c r="BE61" s="185"/>
      <c r="BF61" s="185"/>
      <c r="BG61" s="185"/>
      <c r="BH61" s="185"/>
      <c r="BI61" s="185"/>
      <c r="BJ61" s="185"/>
      <c r="BK61" s="185"/>
      <c r="BL61" s="185"/>
      <c r="BM61" s="185"/>
      <c r="BN61" s="185"/>
      <c r="BO61" s="185"/>
      <c r="BP61" s="185"/>
      <c r="BQ61" s="185"/>
      <c r="BR61" s="185"/>
      <c r="BS61" s="185"/>
      <c r="BT61" s="185"/>
      <c r="BU61" s="185"/>
      <c r="BV61" s="185"/>
      <c r="BW61" s="185"/>
      <c r="BX61" s="185"/>
      <c r="BY61" s="185"/>
      <c r="BZ61" s="185"/>
      <c r="CA61" s="185"/>
      <c r="CB61" s="185"/>
      <c r="CC61" s="185"/>
      <c r="CD61" s="185"/>
      <c r="CE61" s="185"/>
      <c r="CF61" s="185"/>
      <c r="CG61" s="185"/>
      <c r="CH61" s="185"/>
      <c r="CI61" s="185"/>
      <c r="CJ61" s="185"/>
      <c r="CK61" s="185"/>
      <c r="CL61" s="185"/>
      <c r="CM61" s="185"/>
      <c r="CN61" s="185"/>
      <c r="CO61" s="185"/>
      <c r="CP61" s="185"/>
      <c r="CQ61" s="185"/>
      <c r="CR61" s="185"/>
      <c r="CS61" s="185"/>
      <c r="CT61" s="185"/>
      <c r="CU61" s="185"/>
      <c r="CV61" s="185"/>
      <c r="CW61" s="185"/>
      <c r="CX61" s="185"/>
      <c r="CY61" s="185"/>
      <c r="CZ61" s="185"/>
      <c r="DA61" s="185"/>
      <c r="DB61" s="185"/>
      <c r="DC61" s="185"/>
      <c r="DD61" s="185"/>
      <c r="DE61" s="185"/>
      <c r="DF61" s="185"/>
      <c r="DG61" s="185"/>
      <c r="DH61" s="185"/>
      <c r="DI61" s="185"/>
      <c r="DJ61" s="185"/>
      <c r="DK61" s="185"/>
      <c r="DL61" s="185"/>
      <c r="DM61" s="185"/>
      <c r="DN61" s="185"/>
      <c r="DO61" s="185"/>
      <c r="DP61" s="185"/>
      <c r="DQ61" s="185"/>
      <c r="DR61" s="185"/>
      <c r="DS61" s="185"/>
      <c r="DT61" s="185"/>
      <c r="DU61" s="185"/>
      <c r="DV61" s="185"/>
      <c r="DW61" s="185"/>
      <c r="DX61" s="185"/>
      <c r="DY61" s="185"/>
      <c r="DZ61" s="185"/>
      <c r="EA61" s="185"/>
      <c r="EB61" s="185"/>
      <c r="EC61" s="185"/>
      <c r="ED61" s="185"/>
      <c r="EE61" s="185"/>
      <c r="EF61" s="185"/>
      <c r="EG61" s="185"/>
      <c r="EH61" s="185"/>
      <c r="EI61" s="185"/>
      <c r="EJ61" s="185"/>
      <c r="EK61" s="185"/>
      <c r="EL61" s="185"/>
      <c r="EM61" s="185"/>
      <c r="EN61" s="185"/>
      <c r="EO61" s="185"/>
      <c r="EP61" s="185"/>
      <c r="EQ61" s="185"/>
      <c r="ER61" s="185"/>
      <c r="ES61" s="185"/>
      <c r="ET61" s="185"/>
      <c r="EU61" s="185"/>
      <c r="EV61" s="185"/>
      <c r="EW61" s="185"/>
      <c r="EX61" s="185"/>
      <c r="EY61" s="185"/>
      <c r="EZ61" s="185"/>
      <c r="FA61" s="185"/>
      <c r="FB61" s="185"/>
      <c r="FC61" s="185"/>
      <c r="FD61" s="185"/>
      <c r="FE61" s="185"/>
      <c r="FF61" s="185"/>
      <c r="FG61" s="185"/>
      <c r="FH61" s="185"/>
      <c r="FI61" s="185"/>
      <c r="FJ61" s="185"/>
      <c r="FK61" s="185"/>
      <c r="FL61" s="185"/>
      <c r="FM61" s="185"/>
      <c r="FN61" s="185"/>
      <c r="FO61" s="185"/>
      <c r="FP61" s="185"/>
      <c r="FQ61" s="185"/>
      <c r="FR61" s="185"/>
      <c r="FS61" s="185"/>
      <c r="FT61" s="185"/>
      <c r="FU61" s="185"/>
      <c r="FV61" s="185"/>
      <c r="FW61" s="185"/>
      <c r="FX61" s="185"/>
      <c r="FY61" s="185"/>
      <c r="FZ61" s="185"/>
      <c r="GA61" s="185"/>
      <c r="GB61" s="185"/>
      <c r="GC61" s="224"/>
      <c r="GD61" s="185"/>
      <c r="GE61" s="185"/>
      <c r="GF61" s="225"/>
      <c r="GG61" s="185"/>
      <c r="GH61" s="185"/>
      <c r="GI61" s="185"/>
      <c r="GJ61" s="185"/>
      <c r="GK61" s="185"/>
      <c r="GL61" s="185"/>
      <c r="GM61" s="185"/>
      <c r="GN61" s="185"/>
      <c r="GO61" s="185"/>
      <c r="GP61" s="185"/>
      <c r="GQ61" s="185"/>
      <c r="GR61" s="185"/>
      <c r="GS61" s="185"/>
      <c r="GT61" s="185"/>
      <c r="GU61" s="185"/>
      <c r="GV61" s="185"/>
      <c r="GW61" s="185"/>
      <c r="GX61" s="185"/>
      <c r="GY61" s="185"/>
      <c r="GZ61" s="185"/>
      <c r="HA61" s="185"/>
      <c r="HB61" s="185"/>
      <c r="HC61" s="185"/>
      <c r="HD61" s="185"/>
      <c r="HE61" s="185"/>
      <c r="HF61" s="185"/>
      <c r="HG61" s="185"/>
      <c r="HH61" s="185"/>
      <c r="HI61" s="185"/>
      <c r="HJ61" s="185"/>
      <c r="HK61" s="185"/>
      <c r="HL61" s="185"/>
      <c r="HM61" s="185"/>
      <c r="HN61" s="185"/>
      <c r="HO61" s="185"/>
      <c r="HP61" s="185"/>
      <c r="HQ61" s="185"/>
      <c r="HR61" s="185"/>
      <c r="HS61" s="185"/>
      <c r="HT61" s="185"/>
      <c r="HU61" s="185"/>
      <c r="HV61" s="185"/>
      <c r="HW61" s="185"/>
      <c r="HX61" s="185"/>
      <c r="HY61" s="185"/>
      <c r="HZ61" s="185"/>
      <c r="IA61" s="185"/>
      <c r="IB61" s="185"/>
      <c r="IC61" s="185"/>
      <c r="ID61" s="185"/>
      <c r="IE61" s="185"/>
      <c r="IF61" s="185"/>
      <c r="IG61" s="185"/>
      <c r="IH61" s="185"/>
      <c r="II61" s="185"/>
      <c r="IJ61" s="185"/>
      <c r="IK61" s="185"/>
      <c r="IL61" s="185"/>
      <c r="IM61" s="185"/>
      <c r="IN61" s="185"/>
      <c r="IO61" s="185"/>
      <c r="IP61" s="185"/>
      <c r="IQ61" s="185"/>
      <c r="IR61" s="185"/>
      <c r="IS61" s="185"/>
      <c r="IT61" s="185"/>
      <c r="IU61" s="185"/>
      <c r="IV61" s="185"/>
      <c r="IW61" s="185"/>
      <c r="IX61" s="185"/>
      <c r="IY61" s="185"/>
      <c r="IZ61" s="185"/>
      <c r="JA61" s="185"/>
      <c r="JB61" s="185"/>
      <c r="JC61" s="185"/>
      <c r="JD61" s="185"/>
      <c r="JE61" s="185"/>
      <c r="JF61" s="185"/>
      <c r="JG61" s="185"/>
      <c r="JH61" s="185"/>
    </row>
    <row r="62" ht="15.75" customHeight="1" spans="1:268">
      <c r="A62" s="136"/>
      <c r="B62" s="182"/>
      <c r="C62" s="183"/>
      <c r="D62" s="187"/>
      <c r="E62" s="185"/>
      <c r="F62" s="185"/>
      <c r="G62" s="185"/>
      <c r="H62" s="185"/>
      <c r="I62" s="185"/>
      <c r="J62" s="185"/>
      <c r="K62" s="185"/>
      <c r="L62" s="185"/>
      <c r="M62" s="185"/>
      <c r="N62" s="185"/>
      <c r="O62" s="185"/>
      <c r="P62" s="185"/>
      <c r="Q62" s="185"/>
      <c r="R62" s="185"/>
      <c r="S62" s="185"/>
      <c r="T62" s="185"/>
      <c r="U62" s="185"/>
      <c r="V62" s="185"/>
      <c r="W62" s="185"/>
      <c r="X62" s="185"/>
      <c r="Y62" s="185"/>
      <c r="Z62" s="185"/>
      <c r="AA62" s="185"/>
      <c r="AB62" s="185"/>
      <c r="AC62" s="185"/>
      <c r="AD62" s="185"/>
      <c r="AE62" s="185"/>
      <c r="AF62" s="185"/>
      <c r="AG62" s="185"/>
      <c r="AH62" s="185"/>
      <c r="AI62" s="185"/>
      <c r="AJ62" s="185"/>
      <c r="AK62" s="185"/>
      <c r="AL62" s="185"/>
      <c r="AM62" s="185"/>
      <c r="AN62" s="185"/>
      <c r="AO62" s="185"/>
      <c r="AP62" s="185"/>
      <c r="AQ62" s="185"/>
      <c r="AR62" s="185"/>
      <c r="AS62" s="185"/>
      <c r="AT62" s="185"/>
      <c r="AU62" s="185"/>
      <c r="AV62" s="185"/>
      <c r="AW62" s="185"/>
      <c r="AX62" s="185"/>
      <c r="AY62" s="185"/>
      <c r="AZ62" s="185"/>
      <c r="BA62" s="185"/>
      <c r="BB62" s="185"/>
      <c r="BC62" s="185"/>
      <c r="BD62" s="185"/>
      <c r="BE62" s="185"/>
      <c r="BF62" s="185"/>
      <c r="BG62" s="185"/>
      <c r="BH62" s="185"/>
      <c r="BI62" s="185"/>
      <c r="BJ62" s="185"/>
      <c r="BK62" s="185"/>
      <c r="BL62" s="185"/>
      <c r="BM62" s="185"/>
      <c r="BN62" s="185"/>
      <c r="BO62" s="185"/>
      <c r="BP62" s="185"/>
      <c r="BQ62" s="185"/>
      <c r="BR62" s="185"/>
      <c r="BS62" s="185"/>
      <c r="BT62" s="185"/>
      <c r="BU62" s="185"/>
      <c r="BV62" s="185"/>
      <c r="BW62" s="185"/>
      <c r="BX62" s="185"/>
      <c r="BY62" s="185"/>
      <c r="BZ62" s="185"/>
      <c r="CA62" s="185"/>
      <c r="CB62" s="185"/>
      <c r="CC62" s="185"/>
      <c r="CD62" s="185"/>
      <c r="CE62" s="185"/>
      <c r="CF62" s="185"/>
      <c r="CG62" s="185"/>
      <c r="CH62" s="185"/>
      <c r="CI62" s="185"/>
      <c r="CJ62" s="185"/>
      <c r="CK62" s="185"/>
      <c r="CL62" s="185"/>
      <c r="CM62" s="185"/>
      <c r="CN62" s="185"/>
      <c r="CO62" s="185"/>
      <c r="CP62" s="185"/>
      <c r="CQ62" s="185"/>
      <c r="CR62" s="185"/>
      <c r="CS62" s="185"/>
      <c r="CT62" s="185"/>
      <c r="CU62" s="185"/>
      <c r="CV62" s="185"/>
      <c r="CW62" s="185"/>
      <c r="CX62" s="185"/>
      <c r="CY62" s="185"/>
      <c r="CZ62" s="185"/>
      <c r="DA62" s="185"/>
      <c r="DB62" s="185"/>
      <c r="DC62" s="185"/>
      <c r="DD62" s="185"/>
      <c r="DE62" s="185"/>
      <c r="DF62" s="185"/>
      <c r="DG62" s="185"/>
      <c r="DH62" s="185"/>
      <c r="DI62" s="185"/>
      <c r="DJ62" s="185"/>
      <c r="DK62" s="185"/>
      <c r="DL62" s="185"/>
      <c r="DM62" s="185"/>
      <c r="DN62" s="185"/>
      <c r="DO62" s="185"/>
      <c r="DP62" s="185"/>
      <c r="DQ62" s="185"/>
      <c r="DR62" s="185"/>
      <c r="DS62" s="185"/>
      <c r="DT62" s="185"/>
      <c r="DU62" s="185"/>
      <c r="DV62" s="185"/>
      <c r="DW62" s="185"/>
      <c r="DX62" s="185"/>
      <c r="DY62" s="185"/>
      <c r="DZ62" s="185"/>
      <c r="EA62" s="185"/>
      <c r="EB62" s="185"/>
      <c r="EC62" s="185"/>
      <c r="ED62" s="185"/>
      <c r="EE62" s="185"/>
      <c r="EF62" s="185"/>
      <c r="EG62" s="185"/>
      <c r="EH62" s="185"/>
      <c r="EI62" s="185"/>
      <c r="EJ62" s="185"/>
      <c r="EK62" s="185"/>
      <c r="EL62" s="185"/>
      <c r="EM62" s="185"/>
      <c r="EN62" s="185"/>
      <c r="EO62" s="185"/>
      <c r="EP62" s="185"/>
      <c r="EQ62" s="185"/>
      <c r="ER62" s="185"/>
      <c r="ES62" s="185"/>
      <c r="ET62" s="185"/>
      <c r="EU62" s="185"/>
      <c r="EV62" s="185"/>
      <c r="EW62" s="185"/>
      <c r="EX62" s="185"/>
      <c r="EY62" s="185"/>
      <c r="EZ62" s="185"/>
      <c r="FA62" s="185"/>
      <c r="FB62" s="185"/>
      <c r="FC62" s="185"/>
      <c r="FD62" s="185"/>
      <c r="FE62" s="185"/>
      <c r="FF62" s="185"/>
      <c r="FG62" s="185"/>
      <c r="FH62" s="185"/>
      <c r="FI62" s="185"/>
      <c r="FJ62" s="185"/>
      <c r="FK62" s="185"/>
      <c r="FL62" s="185"/>
      <c r="FM62" s="185"/>
      <c r="FN62" s="185"/>
      <c r="FO62" s="185"/>
      <c r="FP62" s="185"/>
      <c r="FQ62" s="185"/>
      <c r="FR62" s="185"/>
      <c r="FS62" s="185"/>
      <c r="FT62" s="185"/>
      <c r="FU62" s="185"/>
      <c r="FV62" s="185"/>
      <c r="FW62" s="185"/>
      <c r="FX62" s="185"/>
      <c r="FY62" s="185"/>
      <c r="FZ62" s="185"/>
      <c r="GA62" s="185"/>
      <c r="GB62" s="185"/>
      <c r="GC62" s="224"/>
      <c r="GD62" s="185"/>
      <c r="GE62" s="185"/>
      <c r="GF62" s="225"/>
      <c r="GG62" s="185"/>
      <c r="GH62" s="185"/>
      <c r="GI62" s="185"/>
      <c r="GJ62" s="185"/>
      <c r="GK62" s="185"/>
      <c r="GL62" s="185"/>
      <c r="GM62" s="185"/>
      <c r="GN62" s="185"/>
      <c r="GO62" s="185"/>
      <c r="GP62" s="185"/>
      <c r="GQ62" s="185"/>
      <c r="GR62" s="185"/>
      <c r="GS62" s="185"/>
      <c r="GT62" s="185"/>
      <c r="GU62" s="185"/>
      <c r="GV62" s="185"/>
      <c r="GW62" s="185"/>
      <c r="GX62" s="185"/>
      <c r="GY62" s="185"/>
      <c r="GZ62" s="185"/>
      <c r="HA62" s="185"/>
      <c r="HB62" s="185"/>
      <c r="HC62" s="185"/>
      <c r="HD62" s="185"/>
      <c r="HE62" s="185"/>
      <c r="HF62" s="185"/>
      <c r="HG62" s="185"/>
      <c r="HH62" s="185"/>
      <c r="HI62" s="185"/>
      <c r="HJ62" s="185"/>
      <c r="HK62" s="185"/>
      <c r="HL62" s="185"/>
      <c r="HM62" s="185"/>
      <c r="HN62" s="185"/>
      <c r="HO62" s="185"/>
      <c r="HP62" s="185"/>
      <c r="HQ62" s="185"/>
      <c r="HR62" s="185"/>
      <c r="HS62" s="185"/>
      <c r="HT62" s="185"/>
      <c r="HU62" s="185"/>
      <c r="HV62" s="185"/>
      <c r="HW62" s="185"/>
      <c r="HX62" s="185"/>
      <c r="HY62" s="185"/>
      <c r="HZ62" s="185"/>
      <c r="IA62" s="185"/>
      <c r="IB62" s="185"/>
      <c r="IC62" s="185"/>
      <c r="ID62" s="185"/>
      <c r="IE62" s="185"/>
      <c r="IF62" s="185"/>
      <c r="IG62" s="185"/>
      <c r="IH62" s="185"/>
      <c r="II62" s="185"/>
      <c r="IJ62" s="185"/>
      <c r="IK62" s="185"/>
      <c r="IL62" s="185"/>
      <c r="IM62" s="185"/>
      <c r="IN62" s="185"/>
      <c r="IO62" s="185"/>
      <c r="IP62" s="185"/>
      <c r="IQ62" s="185"/>
      <c r="IR62" s="185"/>
      <c r="IS62" s="185"/>
      <c r="IT62" s="185"/>
      <c r="IU62" s="185"/>
      <c r="IV62" s="185"/>
      <c r="IW62" s="185"/>
      <c r="IX62" s="185"/>
      <c r="IY62" s="185"/>
      <c r="IZ62" s="185"/>
      <c r="JA62" s="185"/>
      <c r="JB62" s="185"/>
      <c r="JC62" s="185"/>
      <c r="JD62" s="185"/>
      <c r="JE62" s="185"/>
      <c r="JF62" s="185"/>
      <c r="JG62" s="185"/>
      <c r="JH62" s="185"/>
    </row>
    <row r="63" ht="15.75" customHeight="1" spans="1:268">
      <c r="A63" s="136"/>
      <c r="B63" s="182"/>
      <c r="C63" s="183"/>
      <c r="D63" s="187"/>
      <c r="E63" s="185"/>
      <c r="F63" s="185"/>
      <c r="G63" s="185"/>
      <c r="H63" s="185"/>
      <c r="I63" s="185"/>
      <c r="J63" s="185"/>
      <c r="K63" s="185"/>
      <c r="L63" s="185"/>
      <c r="M63" s="185"/>
      <c r="N63" s="185"/>
      <c r="O63" s="185"/>
      <c r="P63" s="185"/>
      <c r="Q63" s="185"/>
      <c r="R63" s="185"/>
      <c r="S63" s="185"/>
      <c r="T63" s="185"/>
      <c r="U63" s="185"/>
      <c r="V63" s="185"/>
      <c r="W63" s="185"/>
      <c r="X63" s="185"/>
      <c r="Y63" s="185"/>
      <c r="Z63" s="185"/>
      <c r="AA63" s="185"/>
      <c r="AB63" s="185"/>
      <c r="AC63" s="185"/>
      <c r="AD63" s="185"/>
      <c r="AE63" s="185"/>
      <c r="AF63" s="185"/>
      <c r="AG63" s="185"/>
      <c r="AH63" s="185"/>
      <c r="AI63" s="185"/>
      <c r="AJ63" s="185"/>
      <c r="AK63" s="185"/>
      <c r="AL63" s="185"/>
      <c r="AM63" s="185"/>
      <c r="AN63" s="185"/>
      <c r="AO63" s="185"/>
      <c r="AP63" s="185"/>
      <c r="AQ63" s="185"/>
      <c r="AR63" s="185"/>
      <c r="AS63" s="185"/>
      <c r="AT63" s="185"/>
      <c r="AU63" s="185"/>
      <c r="AV63" s="185"/>
      <c r="AW63" s="185"/>
      <c r="AX63" s="185"/>
      <c r="AY63" s="185"/>
      <c r="AZ63" s="185"/>
      <c r="BA63" s="185"/>
      <c r="BB63" s="185"/>
      <c r="BC63" s="185"/>
      <c r="BD63" s="185"/>
      <c r="BE63" s="185"/>
      <c r="BF63" s="185"/>
      <c r="BG63" s="185"/>
      <c r="BH63" s="185"/>
      <c r="BI63" s="185"/>
      <c r="BJ63" s="185"/>
      <c r="BK63" s="185"/>
      <c r="BL63" s="185"/>
      <c r="BM63" s="185"/>
      <c r="BN63" s="185"/>
      <c r="BO63" s="185"/>
      <c r="BP63" s="185"/>
      <c r="BQ63" s="185"/>
      <c r="BR63" s="185"/>
      <c r="BS63" s="185"/>
      <c r="BT63" s="185"/>
      <c r="BU63" s="185"/>
      <c r="BV63" s="185"/>
      <c r="BW63" s="185"/>
      <c r="BX63" s="185"/>
      <c r="BY63" s="185"/>
      <c r="BZ63" s="185"/>
      <c r="CA63" s="185"/>
      <c r="CB63" s="185"/>
      <c r="CC63" s="185"/>
      <c r="CD63" s="185"/>
      <c r="CE63" s="185"/>
      <c r="CF63" s="185"/>
      <c r="CG63" s="185"/>
      <c r="CH63" s="185"/>
      <c r="CI63" s="185"/>
      <c r="CJ63" s="185"/>
      <c r="CK63" s="185"/>
      <c r="CL63" s="185"/>
      <c r="CM63" s="185"/>
      <c r="CN63" s="185"/>
      <c r="CO63" s="185"/>
      <c r="CP63" s="185"/>
      <c r="CQ63" s="185"/>
      <c r="CR63" s="185"/>
      <c r="CS63" s="185"/>
      <c r="CT63" s="185"/>
      <c r="CU63" s="185"/>
      <c r="CV63" s="185"/>
      <c r="CW63" s="185"/>
      <c r="CX63" s="185"/>
      <c r="CY63" s="185"/>
      <c r="CZ63" s="185"/>
      <c r="DA63" s="185"/>
      <c r="DB63" s="185"/>
      <c r="DC63" s="185"/>
      <c r="DD63" s="185"/>
      <c r="DE63" s="185"/>
      <c r="DF63" s="185"/>
      <c r="DG63" s="185"/>
      <c r="DH63" s="185"/>
      <c r="DI63" s="185"/>
      <c r="DJ63" s="185"/>
      <c r="DK63" s="185"/>
      <c r="DL63" s="185"/>
      <c r="DM63" s="185"/>
      <c r="DN63" s="185"/>
      <c r="DO63" s="185"/>
      <c r="DP63" s="185"/>
      <c r="DQ63" s="185"/>
      <c r="DR63" s="185"/>
      <c r="DS63" s="185"/>
      <c r="DT63" s="185"/>
      <c r="DU63" s="185"/>
      <c r="DV63" s="185"/>
      <c r="DW63" s="185"/>
      <c r="DX63" s="185"/>
      <c r="DY63" s="185"/>
      <c r="DZ63" s="185"/>
      <c r="EA63" s="185"/>
      <c r="EB63" s="185"/>
      <c r="EC63" s="185"/>
      <c r="ED63" s="185"/>
      <c r="EE63" s="185"/>
      <c r="EF63" s="185"/>
      <c r="EG63" s="185"/>
      <c r="EH63" s="185"/>
      <c r="EI63" s="185"/>
      <c r="EJ63" s="185"/>
      <c r="EK63" s="185"/>
      <c r="EL63" s="185"/>
      <c r="EM63" s="185"/>
      <c r="EN63" s="185"/>
      <c r="EO63" s="185"/>
      <c r="EP63" s="185"/>
      <c r="EQ63" s="185"/>
      <c r="ER63" s="185"/>
      <c r="ES63" s="185"/>
      <c r="ET63" s="185"/>
      <c r="EU63" s="185"/>
      <c r="EV63" s="185"/>
      <c r="EW63" s="185"/>
      <c r="EX63" s="185"/>
      <c r="EY63" s="185"/>
      <c r="EZ63" s="185"/>
      <c r="FA63" s="185"/>
      <c r="FB63" s="185"/>
      <c r="FC63" s="185"/>
      <c r="FD63" s="185"/>
      <c r="FE63" s="185"/>
      <c r="FF63" s="185"/>
      <c r="FG63" s="185"/>
      <c r="FH63" s="185"/>
      <c r="FI63" s="185"/>
      <c r="FJ63" s="185"/>
      <c r="FK63" s="185"/>
      <c r="FL63" s="185"/>
      <c r="FM63" s="185"/>
      <c r="FN63" s="185"/>
      <c r="FO63" s="185"/>
      <c r="FP63" s="185"/>
      <c r="FQ63" s="185"/>
      <c r="FR63" s="185"/>
      <c r="FS63" s="185"/>
      <c r="FT63" s="185"/>
      <c r="FU63" s="185"/>
      <c r="FV63" s="185"/>
      <c r="FW63" s="185"/>
      <c r="FX63" s="185"/>
      <c r="FY63" s="185"/>
      <c r="FZ63" s="185"/>
      <c r="GA63" s="185"/>
      <c r="GB63" s="185"/>
      <c r="GC63" s="224"/>
      <c r="GD63" s="185"/>
      <c r="GE63" s="185"/>
      <c r="GF63" s="225"/>
      <c r="GG63" s="185"/>
      <c r="GH63" s="185"/>
      <c r="GI63" s="185"/>
      <c r="GJ63" s="185"/>
      <c r="GK63" s="185"/>
      <c r="GL63" s="185"/>
      <c r="GM63" s="185"/>
      <c r="GN63" s="185"/>
      <c r="GO63" s="185"/>
      <c r="GP63" s="185"/>
      <c r="GQ63" s="185"/>
      <c r="GR63" s="185"/>
      <c r="GS63" s="185"/>
      <c r="GT63" s="185"/>
      <c r="GU63" s="185"/>
      <c r="GV63" s="185"/>
      <c r="GW63" s="185"/>
      <c r="GX63" s="185"/>
      <c r="GY63" s="185"/>
      <c r="GZ63" s="185"/>
      <c r="HA63" s="185"/>
      <c r="HB63" s="185"/>
      <c r="HC63" s="185"/>
      <c r="HD63" s="185"/>
      <c r="HE63" s="185"/>
      <c r="HF63" s="185"/>
      <c r="HG63" s="185"/>
      <c r="HH63" s="185"/>
      <c r="HI63" s="185"/>
      <c r="HJ63" s="185"/>
      <c r="HK63" s="185"/>
      <c r="HL63" s="185"/>
      <c r="HM63" s="185"/>
      <c r="HN63" s="185"/>
      <c r="HO63" s="185"/>
      <c r="HP63" s="185"/>
      <c r="HQ63" s="185"/>
      <c r="HR63" s="185"/>
      <c r="HS63" s="185"/>
      <c r="HT63" s="185"/>
      <c r="HU63" s="185"/>
      <c r="HV63" s="185"/>
      <c r="HW63" s="185"/>
      <c r="HX63" s="185"/>
      <c r="HY63" s="185"/>
      <c r="HZ63" s="185"/>
      <c r="IA63" s="185"/>
      <c r="IB63" s="185"/>
      <c r="IC63" s="185"/>
      <c r="ID63" s="185"/>
      <c r="IE63" s="185"/>
      <c r="IF63" s="185"/>
      <c r="IG63" s="185"/>
      <c r="IH63" s="185"/>
      <c r="II63" s="185"/>
      <c r="IJ63" s="185"/>
      <c r="IK63" s="185"/>
      <c r="IL63" s="185"/>
      <c r="IM63" s="185"/>
      <c r="IN63" s="185"/>
      <c r="IO63" s="185"/>
      <c r="IP63" s="185"/>
      <c r="IQ63" s="185"/>
      <c r="IR63" s="185"/>
      <c r="IS63" s="185"/>
      <c r="IT63" s="185"/>
      <c r="IU63" s="185"/>
      <c r="IV63" s="185"/>
      <c r="IW63" s="185"/>
      <c r="IX63" s="185"/>
      <c r="IY63" s="185"/>
      <c r="IZ63" s="185"/>
      <c r="JA63" s="185"/>
      <c r="JB63" s="185"/>
      <c r="JC63" s="185"/>
      <c r="JD63" s="185"/>
      <c r="JE63" s="185"/>
      <c r="JF63" s="185"/>
      <c r="JG63" s="185"/>
      <c r="JH63" s="185"/>
    </row>
    <row r="64" ht="15.75" customHeight="1" spans="1:268">
      <c r="A64" s="136"/>
      <c r="B64" s="182"/>
      <c r="C64" s="183"/>
      <c r="D64" s="187"/>
      <c r="E64" s="185"/>
      <c r="F64" s="185"/>
      <c r="G64" s="185"/>
      <c r="H64" s="185"/>
      <c r="I64" s="185"/>
      <c r="J64" s="185"/>
      <c r="K64" s="185"/>
      <c r="L64" s="185"/>
      <c r="M64" s="185"/>
      <c r="N64" s="185"/>
      <c r="O64" s="185"/>
      <c r="P64" s="185"/>
      <c r="Q64" s="185"/>
      <c r="R64" s="185"/>
      <c r="S64" s="185"/>
      <c r="T64" s="185"/>
      <c r="U64" s="185"/>
      <c r="V64" s="185"/>
      <c r="W64" s="185"/>
      <c r="X64" s="185"/>
      <c r="Y64" s="185"/>
      <c r="Z64" s="185"/>
      <c r="AA64" s="185"/>
      <c r="AB64" s="185"/>
      <c r="AC64" s="185"/>
      <c r="AD64" s="185"/>
      <c r="AE64" s="185"/>
      <c r="AF64" s="185"/>
      <c r="AG64" s="185"/>
      <c r="AH64" s="185"/>
      <c r="AI64" s="185"/>
      <c r="AJ64" s="185"/>
      <c r="AK64" s="185"/>
      <c r="AL64" s="185"/>
      <c r="AM64" s="185"/>
      <c r="AN64" s="185"/>
      <c r="AO64" s="185"/>
      <c r="AP64" s="185"/>
      <c r="AQ64" s="185"/>
      <c r="AR64" s="185"/>
      <c r="AS64" s="185"/>
      <c r="AT64" s="185"/>
      <c r="AU64" s="185"/>
      <c r="AV64" s="185"/>
      <c r="AW64" s="185"/>
      <c r="AX64" s="185"/>
      <c r="AY64" s="185"/>
      <c r="AZ64" s="185"/>
      <c r="BA64" s="185"/>
      <c r="BB64" s="185"/>
      <c r="BC64" s="185"/>
      <c r="BD64" s="185"/>
      <c r="BE64" s="185"/>
      <c r="BF64" s="185"/>
      <c r="BG64" s="185"/>
      <c r="BH64" s="185"/>
      <c r="BI64" s="185"/>
      <c r="BJ64" s="185"/>
      <c r="BK64" s="185"/>
      <c r="BL64" s="185"/>
      <c r="BM64" s="185"/>
      <c r="BN64" s="185"/>
      <c r="BO64" s="185"/>
      <c r="BP64" s="185"/>
      <c r="BQ64" s="185"/>
      <c r="BR64" s="185"/>
      <c r="BS64" s="185"/>
      <c r="BT64" s="185"/>
      <c r="BU64" s="185"/>
      <c r="BV64" s="185"/>
      <c r="BW64" s="185"/>
      <c r="BX64" s="185"/>
      <c r="BY64" s="185"/>
      <c r="BZ64" s="185"/>
      <c r="CA64" s="185"/>
      <c r="CB64" s="185"/>
      <c r="CC64" s="185"/>
      <c r="CD64" s="185"/>
      <c r="CE64" s="185"/>
      <c r="CF64" s="185"/>
      <c r="CG64" s="185"/>
      <c r="CH64" s="185"/>
      <c r="CI64" s="185"/>
      <c r="CJ64" s="185"/>
      <c r="CK64" s="185"/>
      <c r="CL64" s="185"/>
      <c r="CM64" s="185"/>
      <c r="CN64" s="185"/>
      <c r="CO64" s="185"/>
      <c r="CP64" s="185"/>
      <c r="CQ64" s="185"/>
      <c r="CR64" s="185"/>
      <c r="CS64" s="185"/>
      <c r="CT64" s="185"/>
      <c r="CU64" s="185"/>
      <c r="CV64" s="185"/>
      <c r="CW64" s="185"/>
      <c r="CX64" s="185"/>
      <c r="CY64" s="185"/>
      <c r="CZ64" s="185"/>
      <c r="DA64" s="185"/>
      <c r="DB64" s="185"/>
      <c r="DC64" s="185"/>
      <c r="DD64" s="185"/>
      <c r="DE64" s="185"/>
      <c r="DF64" s="185"/>
      <c r="DG64" s="185"/>
      <c r="DH64" s="185"/>
      <c r="DI64" s="185"/>
      <c r="DJ64" s="185"/>
      <c r="DK64" s="185"/>
      <c r="DL64" s="185"/>
      <c r="DM64" s="185"/>
      <c r="DN64" s="185"/>
      <c r="DO64" s="185"/>
      <c r="DP64" s="185"/>
      <c r="DQ64" s="185"/>
      <c r="DR64" s="185"/>
      <c r="DS64" s="185"/>
      <c r="DT64" s="185"/>
      <c r="DU64" s="185"/>
      <c r="DV64" s="185"/>
      <c r="DW64" s="185"/>
      <c r="DX64" s="185"/>
      <c r="DY64" s="185"/>
      <c r="DZ64" s="185"/>
      <c r="EA64" s="185"/>
      <c r="EB64" s="185"/>
      <c r="EC64" s="185"/>
      <c r="ED64" s="185"/>
      <c r="EE64" s="185"/>
      <c r="EF64" s="185"/>
      <c r="EG64" s="185"/>
      <c r="EH64" s="185"/>
      <c r="EI64" s="185"/>
      <c r="EJ64" s="185"/>
      <c r="EK64" s="185"/>
      <c r="EL64" s="185"/>
      <c r="EM64" s="185"/>
      <c r="EN64" s="185"/>
      <c r="EO64" s="185"/>
      <c r="EP64" s="185"/>
      <c r="EQ64" s="185"/>
      <c r="ER64" s="185"/>
      <c r="ES64" s="185"/>
      <c r="ET64" s="185"/>
      <c r="EU64" s="185"/>
      <c r="EV64" s="185"/>
      <c r="EW64" s="185"/>
      <c r="EX64" s="185"/>
      <c r="EY64" s="185"/>
      <c r="EZ64" s="185"/>
      <c r="FA64" s="185"/>
      <c r="FB64" s="185"/>
      <c r="FC64" s="185"/>
      <c r="FD64" s="185"/>
      <c r="FE64" s="185"/>
      <c r="FF64" s="185"/>
      <c r="FG64" s="185"/>
      <c r="FH64" s="185"/>
      <c r="FI64" s="185"/>
      <c r="FJ64" s="185"/>
      <c r="FK64" s="185"/>
      <c r="FL64" s="185"/>
      <c r="FM64" s="185"/>
      <c r="FN64" s="185"/>
      <c r="FO64" s="185"/>
      <c r="FP64" s="185"/>
      <c r="FQ64" s="185"/>
      <c r="FR64" s="185"/>
      <c r="FS64" s="185"/>
      <c r="FT64" s="185"/>
      <c r="FU64" s="185"/>
      <c r="FV64" s="185"/>
      <c r="FW64" s="185"/>
      <c r="FX64" s="185"/>
      <c r="FY64" s="185"/>
      <c r="FZ64" s="185"/>
      <c r="GA64" s="185"/>
      <c r="GB64" s="185"/>
      <c r="GC64" s="224"/>
      <c r="GD64" s="185"/>
      <c r="GE64" s="185"/>
      <c r="GF64" s="225"/>
      <c r="GG64" s="185"/>
      <c r="GH64" s="185"/>
      <c r="GI64" s="185"/>
      <c r="GJ64" s="185"/>
      <c r="GK64" s="185"/>
      <c r="GL64" s="185"/>
      <c r="GM64" s="185"/>
      <c r="GN64" s="185"/>
      <c r="GO64" s="185"/>
      <c r="GP64" s="185"/>
      <c r="GQ64" s="185"/>
      <c r="GR64" s="185"/>
      <c r="GS64" s="185"/>
      <c r="GT64" s="185"/>
      <c r="GU64" s="185"/>
      <c r="GV64" s="185"/>
      <c r="GW64" s="185"/>
      <c r="GX64" s="185"/>
      <c r="GY64" s="185"/>
      <c r="GZ64" s="185"/>
      <c r="HA64" s="185"/>
      <c r="HB64" s="185"/>
      <c r="HC64" s="185"/>
      <c r="HD64" s="185"/>
      <c r="HE64" s="185"/>
      <c r="HF64" s="185"/>
      <c r="HG64" s="185"/>
      <c r="HH64" s="185"/>
      <c r="HI64" s="185"/>
      <c r="HJ64" s="185"/>
      <c r="HK64" s="185"/>
      <c r="HL64" s="185"/>
      <c r="HM64" s="185"/>
      <c r="HN64" s="185"/>
      <c r="HO64" s="185"/>
      <c r="HP64" s="185"/>
      <c r="HQ64" s="185"/>
      <c r="HR64" s="185"/>
      <c r="HS64" s="185"/>
      <c r="HT64" s="185"/>
      <c r="HU64" s="185"/>
      <c r="HV64" s="185"/>
      <c r="HW64" s="185"/>
      <c r="HX64" s="185"/>
      <c r="HY64" s="185"/>
      <c r="HZ64" s="185"/>
      <c r="IA64" s="185"/>
      <c r="IB64" s="185"/>
      <c r="IC64" s="185"/>
      <c r="ID64" s="185"/>
      <c r="IE64" s="185"/>
      <c r="IF64" s="185"/>
      <c r="IG64" s="185"/>
      <c r="IH64" s="185"/>
      <c r="II64" s="185"/>
      <c r="IJ64" s="185"/>
      <c r="IK64" s="185"/>
      <c r="IL64" s="185"/>
      <c r="IM64" s="185"/>
      <c r="IN64" s="185"/>
      <c r="IO64" s="185"/>
      <c r="IP64" s="185"/>
      <c r="IQ64" s="185"/>
      <c r="IR64" s="185"/>
      <c r="IS64" s="185"/>
      <c r="IT64" s="185"/>
      <c r="IU64" s="185"/>
      <c r="IV64" s="185"/>
      <c r="IW64" s="185"/>
      <c r="IX64" s="185"/>
      <c r="IY64" s="185"/>
      <c r="IZ64" s="185"/>
      <c r="JA64" s="185"/>
      <c r="JB64" s="185"/>
      <c r="JC64" s="185"/>
      <c r="JD64" s="185"/>
      <c r="JE64" s="185"/>
      <c r="JF64" s="185"/>
      <c r="JG64" s="185"/>
      <c r="JH64" s="185"/>
    </row>
    <row r="65" ht="15.75" customHeight="1" spans="1:268">
      <c r="A65" s="136"/>
      <c r="B65" s="182"/>
      <c r="C65" s="183"/>
      <c r="D65" s="237"/>
      <c r="E65" s="185"/>
      <c r="F65" s="185"/>
      <c r="G65" s="185"/>
      <c r="H65" s="185"/>
      <c r="I65" s="185"/>
      <c r="J65" s="185"/>
      <c r="K65" s="185"/>
      <c r="L65" s="185"/>
      <c r="M65" s="185"/>
      <c r="N65" s="185"/>
      <c r="O65" s="185"/>
      <c r="P65" s="185"/>
      <c r="Q65" s="185"/>
      <c r="R65" s="185"/>
      <c r="S65" s="185"/>
      <c r="T65" s="185"/>
      <c r="U65" s="185"/>
      <c r="V65" s="185"/>
      <c r="W65" s="185"/>
      <c r="X65" s="185"/>
      <c r="Y65" s="185"/>
      <c r="Z65" s="185"/>
      <c r="AA65" s="185"/>
      <c r="AB65" s="185"/>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185"/>
      <c r="BB65" s="185"/>
      <c r="BC65" s="185"/>
      <c r="BD65" s="185"/>
      <c r="BE65" s="185"/>
      <c r="BF65" s="185"/>
      <c r="BG65" s="185"/>
      <c r="BH65" s="185"/>
      <c r="BI65" s="185"/>
      <c r="BJ65" s="185"/>
      <c r="BK65" s="185"/>
      <c r="BL65" s="185"/>
      <c r="BM65" s="185"/>
      <c r="BN65" s="185"/>
      <c r="BO65" s="185"/>
      <c r="BP65" s="185"/>
      <c r="BQ65" s="185"/>
      <c r="BR65" s="185"/>
      <c r="BS65" s="185"/>
      <c r="BT65" s="185"/>
      <c r="BU65" s="185"/>
      <c r="BV65" s="185"/>
      <c r="BW65" s="185"/>
      <c r="BX65" s="185"/>
      <c r="BY65" s="185"/>
      <c r="BZ65" s="185"/>
      <c r="CA65" s="185"/>
      <c r="CB65" s="185"/>
      <c r="CC65" s="185"/>
      <c r="CD65" s="185"/>
      <c r="CE65" s="185"/>
      <c r="CF65" s="185"/>
      <c r="CG65" s="185"/>
      <c r="CH65" s="185"/>
      <c r="CI65" s="185"/>
      <c r="CJ65" s="185"/>
      <c r="CK65" s="185"/>
      <c r="CL65" s="185"/>
      <c r="CM65" s="185"/>
      <c r="CN65" s="185"/>
      <c r="CO65" s="185"/>
      <c r="CP65" s="185"/>
      <c r="CQ65" s="185"/>
      <c r="CR65" s="185"/>
      <c r="CS65" s="185"/>
      <c r="CT65" s="185"/>
      <c r="CU65" s="185"/>
      <c r="CV65" s="185"/>
      <c r="CW65" s="185"/>
      <c r="CX65" s="185"/>
      <c r="CY65" s="185"/>
      <c r="CZ65" s="185"/>
      <c r="DA65" s="185"/>
      <c r="DB65" s="185"/>
      <c r="DC65" s="185"/>
      <c r="DD65" s="185"/>
      <c r="DE65" s="185"/>
      <c r="DF65" s="185"/>
      <c r="DG65" s="185"/>
      <c r="DH65" s="185"/>
      <c r="DI65" s="185"/>
      <c r="DJ65" s="185"/>
      <c r="DK65" s="185"/>
      <c r="DL65" s="185"/>
      <c r="DM65" s="185"/>
      <c r="DN65" s="185"/>
      <c r="DO65" s="185"/>
      <c r="DP65" s="185"/>
      <c r="DQ65" s="185"/>
      <c r="DR65" s="185"/>
      <c r="DS65" s="185"/>
      <c r="DT65" s="185"/>
      <c r="DU65" s="185"/>
      <c r="DV65" s="185"/>
      <c r="DW65" s="185"/>
      <c r="DX65" s="185"/>
      <c r="DY65" s="185"/>
      <c r="DZ65" s="185"/>
      <c r="EA65" s="185"/>
      <c r="EB65" s="185"/>
      <c r="EC65" s="185"/>
      <c r="ED65" s="185"/>
      <c r="EE65" s="185"/>
      <c r="EF65" s="185"/>
      <c r="EG65" s="185"/>
      <c r="EH65" s="185"/>
      <c r="EI65" s="185"/>
      <c r="EJ65" s="185"/>
      <c r="EK65" s="185"/>
      <c r="EL65" s="185"/>
      <c r="EM65" s="185"/>
      <c r="EN65" s="185"/>
      <c r="EO65" s="185"/>
      <c r="EP65" s="185"/>
      <c r="EQ65" s="185"/>
      <c r="ER65" s="185"/>
      <c r="ES65" s="185"/>
      <c r="ET65" s="185"/>
      <c r="EU65" s="185"/>
      <c r="EV65" s="185"/>
      <c r="EW65" s="185"/>
      <c r="EX65" s="185"/>
      <c r="EY65" s="185"/>
      <c r="EZ65" s="185"/>
      <c r="FA65" s="185"/>
      <c r="FB65" s="185"/>
      <c r="FC65" s="185"/>
      <c r="FD65" s="185"/>
      <c r="FE65" s="185"/>
      <c r="FF65" s="185"/>
      <c r="FG65" s="185"/>
      <c r="FH65" s="185"/>
      <c r="FI65" s="185"/>
      <c r="FJ65" s="185"/>
      <c r="FK65" s="185"/>
      <c r="FL65" s="185"/>
      <c r="FM65" s="185"/>
      <c r="FN65" s="185"/>
      <c r="FO65" s="185"/>
      <c r="FP65" s="185"/>
      <c r="FQ65" s="185"/>
      <c r="FR65" s="185"/>
      <c r="FS65" s="185"/>
      <c r="FT65" s="185"/>
      <c r="FU65" s="185"/>
      <c r="FV65" s="185"/>
      <c r="FW65" s="185"/>
      <c r="FX65" s="185"/>
      <c r="FY65" s="185"/>
      <c r="FZ65" s="185"/>
      <c r="GA65" s="185"/>
      <c r="GB65" s="185"/>
      <c r="GC65" s="224"/>
      <c r="GD65" s="185"/>
      <c r="GE65" s="185"/>
      <c r="GF65" s="225"/>
      <c r="GG65" s="185"/>
      <c r="GH65" s="185"/>
      <c r="GI65" s="185"/>
      <c r="GJ65" s="185"/>
      <c r="GK65" s="185"/>
      <c r="GL65" s="185"/>
      <c r="GM65" s="185"/>
      <c r="GN65" s="185"/>
      <c r="GO65" s="185"/>
      <c r="GP65" s="185"/>
      <c r="GQ65" s="185"/>
      <c r="GR65" s="185"/>
      <c r="GS65" s="185"/>
      <c r="GT65" s="185"/>
      <c r="GU65" s="185"/>
      <c r="GV65" s="185"/>
      <c r="GW65" s="185"/>
      <c r="GX65" s="185"/>
      <c r="GY65" s="185"/>
      <c r="GZ65" s="185"/>
      <c r="HA65" s="185"/>
      <c r="HB65" s="185"/>
      <c r="HC65" s="185"/>
      <c r="HD65" s="185"/>
      <c r="HE65" s="185"/>
      <c r="HF65" s="185"/>
      <c r="HG65" s="185"/>
      <c r="HH65" s="185"/>
      <c r="HI65" s="185"/>
      <c r="HJ65" s="185"/>
      <c r="HK65" s="185"/>
      <c r="HL65" s="185"/>
      <c r="HM65" s="185"/>
      <c r="HN65" s="185"/>
      <c r="HO65" s="185"/>
      <c r="HP65" s="185"/>
      <c r="HQ65" s="185"/>
      <c r="HR65" s="185"/>
      <c r="HS65" s="185"/>
      <c r="HT65" s="185"/>
      <c r="HU65" s="185"/>
      <c r="HV65" s="185"/>
      <c r="HW65" s="185"/>
      <c r="HX65" s="185"/>
      <c r="HY65" s="185"/>
      <c r="HZ65" s="185"/>
      <c r="IA65" s="185"/>
      <c r="IB65" s="185"/>
      <c r="IC65" s="185"/>
      <c r="ID65" s="185"/>
      <c r="IE65" s="185"/>
      <c r="IF65" s="185"/>
      <c r="IG65" s="185"/>
      <c r="IH65" s="185"/>
      <c r="II65" s="185"/>
      <c r="IJ65" s="185"/>
      <c r="IK65" s="185"/>
      <c r="IL65" s="185"/>
      <c r="IM65" s="185"/>
      <c r="IN65" s="185"/>
      <c r="IO65" s="185"/>
      <c r="IP65" s="185"/>
      <c r="IQ65" s="185"/>
      <c r="IR65" s="185"/>
      <c r="IS65" s="185"/>
      <c r="IT65" s="185"/>
      <c r="IU65" s="185"/>
      <c r="IV65" s="185"/>
      <c r="IW65" s="185"/>
      <c r="IX65" s="185"/>
      <c r="IY65" s="185"/>
      <c r="IZ65" s="185"/>
      <c r="JA65" s="185"/>
      <c r="JB65" s="185"/>
      <c r="JC65" s="185"/>
      <c r="JD65" s="185"/>
      <c r="JE65" s="185"/>
      <c r="JF65" s="185"/>
      <c r="JG65" s="185"/>
      <c r="JH65" s="185"/>
    </row>
    <row r="66" ht="15.75" customHeight="1" spans="1:268">
      <c r="A66" s="136"/>
      <c r="B66" s="182"/>
      <c r="C66" s="183"/>
      <c r="D66" s="187"/>
      <c r="E66" s="185"/>
      <c r="F66" s="185"/>
      <c r="G66" s="185"/>
      <c r="H66" s="185"/>
      <c r="I66" s="185"/>
      <c r="J66" s="185"/>
      <c r="K66" s="185"/>
      <c r="L66" s="185"/>
      <c r="M66" s="185"/>
      <c r="N66" s="185"/>
      <c r="O66" s="185"/>
      <c r="P66" s="185"/>
      <c r="Q66" s="185"/>
      <c r="R66" s="185"/>
      <c r="S66" s="185"/>
      <c r="T66" s="185"/>
      <c r="U66" s="185"/>
      <c r="V66" s="185"/>
      <c r="W66" s="185"/>
      <c r="X66" s="185"/>
      <c r="Y66" s="185"/>
      <c r="Z66" s="185"/>
      <c r="AA66" s="185"/>
      <c r="AB66" s="185"/>
      <c r="AC66" s="185"/>
      <c r="AD66" s="185"/>
      <c r="AE66" s="185"/>
      <c r="AF66" s="185"/>
      <c r="AG66" s="185"/>
      <c r="AH66" s="185"/>
      <c r="AI66" s="185"/>
      <c r="AJ66" s="185"/>
      <c r="AK66" s="185"/>
      <c r="AL66" s="185"/>
      <c r="AM66" s="185"/>
      <c r="AN66" s="185"/>
      <c r="AO66" s="185"/>
      <c r="AP66" s="185"/>
      <c r="AQ66" s="185"/>
      <c r="AR66" s="185"/>
      <c r="AS66" s="185"/>
      <c r="AT66" s="185"/>
      <c r="AU66" s="185"/>
      <c r="AV66" s="185"/>
      <c r="AW66" s="185"/>
      <c r="AX66" s="185"/>
      <c r="AY66" s="185"/>
      <c r="AZ66" s="185"/>
      <c r="BA66" s="185"/>
      <c r="BB66" s="185"/>
      <c r="BC66" s="185"/>
      <c r="BD66" s="185"/>
      <c r="BE66" s="185"/>
      <c r="BF66" s="185"/>
      <c r="BG66" s="185"/>
      <c r="BH66" s="185"/>
      <c r="BI66" s="185"/>
      <c r="BJ66" s="185"/>
      <c r="BK66" s="185"/>
      <c r="BL66" s="185"/>
      <c r="BM66" s="185"/>
      <c r="BN66" s="185"/>
      <c r="BO66" s="185"/>
      <c r="BP66" s="185"/>
      <c r="BQ66" s="185"/>
      <c r="BR66" s="185"/>
      <c r="BS66" s="185"/>
      <c r="BT66" s="185"/>
      <c r="BU66" s="185"/>
      <c r="BV66" s="185"/>
      <c r="BW66" s="185"/>
      <c r="BX66" s="185"/>
      <c r="BY66" s="185"/>
      <c r="BZ66" s="185"/>
      <c r="CA66" s="185"/>
      <c r="CB66" s="185"/>
      <c r="CC66" s="185"/>
      <c r="CD66" s="185"/>
      <c r="CE66" s="185"/>
      <c r="CF66" s="185"/>
      <c r="CG66" s="185"/>
      <c r="CH66" s="185"/>
      <c r="CI66" s="185"/>
      <c r="CJ66" s="185"/>
      <c r="CK66" s="185"/>
      <c r="CL66" s="185"/>
      <c r="CM66" s="185"/>
      <c r="CN66" s="185"/>
      <c r="CO66" s="185"/>
      <c r="CP66" s="185"/>
      <c r="CQ66" s="185"/>
      <c r="CR66" s="185"/>
      <c r="CS66" s="185"/>
      <c r="CT66" s="185"/>
      <c r="CU66" s="185"/>
      <c r="CV66" s="185"/>
      <c r="CW66" s="185"/>
      <c r="CX66" s="185"/>
      <c r="CY66" s="185"/>
      <c r="CZ66" s="185"/>
      <c r="DA66" s="185"/>
      <c r="DB66" s="185"/>
      <c r="DC66" s="185"/>
      <c r="DD66" s="185"/>
      <c r="DE66" s="185"/>
      <c r="DF66" s="185"/>
      <c r="DG66" s="185"/>
      <c r="DH66" s="185"/>
      <c r="DI66" s="185"/>
      <c r="DJ66" s="185"/>
      <c r="DK66" s="185"/>
      <c r="DL66" s="185"/>
      <c r="DM66" s="185"/>
      <c r="DN66" s="185"/>
      <c r="DO66" s="185"/>
      <c r="DP66" s="185"/>
      <c r="DQ66" s="185"/>
      <c r="DR66" s="185"/>
      <c r="DS66" s="185"/>
      <c r="DT66" s="185"/>
      <c r="DU66" s="185"/>
      <c r="DV66" s="185"/>
      <c r="DW66" s="185"/>
      <c r="DX66" s="185"/>
      <c r="DY66" s="185"/>
      <c r="DZ66" s="185"/>
      <c r="EA66" s="185"/>
      <c r="EB66" s="185"/>
      <c r="EC66" s="185"/>
      <c r="ED66" s="185"/>
      <c r="EE66" s="185"/>
      <c r="EF66" s="185"/>
      <c r="EG66" s="185"/>
      <c r="EH66" s="185"/>
      <c r="EI66" s="185"/>
      <c r="EJ66" s="185"/>
      <c r="EK66" s="185"/>
      <c r="EL66" s="185"/>
      <c r="EM66" s="185"/>
      <c r="EN66" s="185"/>
      <c r="EO66" s="185"/>
      <c r="EP66" s="185"/>
      <c r="EQ66" s="185"/>
      <c r="ER66" s="185"/>
      <c r="ES66" s="185"/>
      <c r="ET66" s="185"/>
      <c r="EU66" s="185"/>
      <c r="EV66" s="185"/>
      <c r="EW66" s="185"/>
      <c r="EX66" s="185"/>
      <c r="EY66" s="185"/>
      <c r="EZ66" s="185"/>
      <c r="FA66" s="185"/>
      <c r="FB66" s="185"/>
      <c r="FC66" s="185"/>
      <c r="FD66" s="185"/>
      <c r="FE66" s="185"/>
      <c r="FF66" s="185"/>
      <c r="FG66" s="185"/>
      <c r="FH66" s="185"/>
      <c r="FI66" s="185"/>
      <c r="FJ66" s="185"/>
      <c r="FK66" s="185"/>
      <c r="FL66" s="185"/>
      <c r="FM66" s="185"/>
      <c r="FN66" s="185"/>
      <c r="FO66" s="185"/>
      <c r="FP66" s="185"/>
      <c r="FQ66" s="185"/>
      <c r="FR66" s="185"/>
      <c r="FS66" s="185"/>
      <c r="FT66" s="185"/>
      <c r="FU66" s="185"/>
      <c r="FV66" s="185"/>
      <c r="FW66" s="185"/>
      <c r="FX66" s="185"/>
      <c r="FY66" s="185"/>
      <c r="FZ66" s="185"/>
      <c r="GA66" s="185"/>
      <c r="GB66" s="185"/>
      <c r="GC66" s="224"/>
      <c r="GD66" s="185"/>
      <c r="GE66" s="185"/>
      <c r="GF66" s="225"/>
      <c r="GG66" s="185"/>
      <c r="GH66" s="185"/>
      <c r="GI66" s="185"/>
      <c r="GJ66" s="185"/>
      <c r="GK66" s="185"/>
      <c r="GL66" s="185"/>
      <c r="GM66" s="185"/>
      <c r="GN66" s="185"/>
      <c r="GO66" s="185"/>
      <c r="GP66" s="185"/>
      <c r="GQ66" s="185"/>
      <c r="GR66" s="185"/>
      <c r="GS66" s="185"/>
      <c r="GT66" s="185"/>
      <c r="GU66" s="185"/>
      <c r="GV66" s="185"/>
      <c r="GW66" s="185"/>
      <c r="GX66" s="185"/>
      <c r="GY66" s="185"/>
      <c r="GZ66" s="185"/>
      <c r="HA66" s="185"/>
      <c r="HB66" s="185"/>
      <c r="HC66" s="185"/>
      <c r="HD66" s="185"/>
      <c r="HE66" s="185"/>
      <c r="HF66" s="185"/>
      <c r="HG66" s="185"/>
      <c r="HH66" s="185"/>
      <c r="HI66" s="185"/>
      <c r="HJ66" s="185"/>
      <c r="HK66" s="185"/>
      <c r="HL66" s="185"/>
      <c r="HM66" s="185"/>
      <c r="HN66" s="185"/>
      <c r="HO66" s="185"/>
      <c r="HP66" s="185"/>
      <c r="HQ66" s="185"/>
      <c r="HR66" s="185"/>
      <c r="HS66" s="185"/>
      <c r="HT66" s="185"/>
      <c r="HU66" s="185"/>
      <c r="HV66" s="185"/>
      <c r="HW66" s="185"/>
      <c r="HX66" s="185"/>
      <c r="HY66" s="185"/>
      <c r="HZ66" s="185"/>
      <c r="IA66" s="185"/>
      <c r="IB66" s="185"/>
      <c r="IC66" s="185"/>
      <c r="ID66" s="185"/>
      <c r="IE66" s="185"/>
      <c r="IF66" s="185"/>
      <c r="IG66" s="185"/>
      <c r="IH66" s="185"/>
      <c r="II66" s="185"/>
      <c r="IJ66" s="185"/>
      <c r="IK66" s="185"/>
      <c r="IL66" s="185"/>
      <c r="IM66" s="185"/>
      <c r="IN66" s="185"/>
      <c r="IO66" s="185"/>
      <c r="IP66" s="185"/>
      <c r="IQ66" s="185"/>
      <c r="IR66" s="185"/>
      <c r="IS66" s="185"/>
      <c r="IT66" s="185"/>
      <c r="IU66" s="185"/>
      <c r="IV66" s="185"/>
      <c r="IW66" s="185"/>
      <c r="IX66" s="185"/>
      <c r="IY66" s="185"/>
      <c r="IZ66" s="185"/>
      <c r="JA66" s="185"/>
      <c r="JB66" s="185"/>
      <c r="JC66" s="185"/>
      <c r="JD66" s="185"/>
      <c r="JE66" s="185"/>
      <c r="JF66" s="185"/>
      <c r="JG66" s="185"/>
      <c r="JH66" s="185"/>
    </row>
    <row r="67" ht="15.75" customHeight="1" spans="1:268">
      <c r="A67" s="136"/>
      <c r="B67" s="238"/>
      <c r="C67" s="238"/>
      <c r="D67" s="238"/>
      <c r="E67" s="238"/>
      <c r="F67" s="238"/>
      <c r="G67" s="238"/>
      <c r="H67" s="238"/>
      <c r="I67" s="238"/>
      <c r="J67" s="238"/>
      <c r="K67" s="238"/>
      <c r="L67" s="238"/>
      <c r="M67" s="238"/>
      <c r="N67" s="238"/>
      <c r="O67" s="238"/>
      <c r="P67" s="238"/>
      <c r="Q67" s="238"/>
      <c r="R67" s="238"/>
      <c r="S67" s="238"/>
      <c r="T67" s="238"/>
      <c r="U67" s="238"/>
      <c r="V67" s="238"/>
      <c r="W67" s="238"/>
      <c r="X67" s="238"/>
      <c r="Y67" s="238"/>
      <c r="Z67" s="238"/>
      <c r="AA67" s="238"/>
      <c r="AB67" s="238"/>
      <c r="AC67" s="238"/>
      <c r="AD67" s="238"/>
      <c r="AE67" s="238"/>
      <c r="AF67" s="238"/>
      <c r="AG67" s="238"/>
      <c r="AH67" s="238"/>
      <c r="AI67" s="238"/>
      <c r="AJ67" s="238"/>
      <c r="AK67" s="238"/>
      <c r="AL67" s="238"/>
      <c r="AM67" s="238"/>
      <c r="AN67" s="238"/>
      <c r="AO67" s="238"/>
      <c r="AP67" s="238"/>
      <c r="AQ67" s="238"/>
      <c r="AR67" s="238"/>
      <c r="AS67" s="238"/>
      <c r="AT67" s="238"/>
      <c r="AU67" s="238"/>
      <c r="AV67" s="238"/>
      <c r="AW67" s="238"/>
      <c r="AX67" s="238"/>
      <c r="AY67" s="238"/>
      <c r="AZ67" s="238"/>
      <c r="BA67" s="238"/>
      <c r="BB67" s="238"/>
      <c r="BC67" s="238"/>
      <c r="BD67" s="238"/>
      <c r="BE67" s="238"/>
      <c r="BF67" s="238"/>
      <c r="BG67" s="238"/>
      <c r="BH67" s="238"/>
      <c r="BI67" s="238"/>
      <c r="BJ67" s="238"/>
      <c r="BK67" s="238"/>
      <c r="BL67" s="238"/>
      <c r="BM67" s="238"/>
      <c r="BN67" s="238"/>
      <c r="BO67" s="238"/>
      <c r="BP67" s="238"/>
      <c r="BQ67" s="238"/>
      <c r="BR67" s="238"/>
      <c r="BS67" s="238"/>
      <c r="BT67" s="238"/>
      <c r="BU67" s="238"/>
      <c r="BV67" s="238"/>
      <c r="BW67" s="238"/>
      <c r="BX67" s="238"/>
      <c r="BY67" s="238"/>
      <c r="BZ67" s="238"/>
      <c r="CA67" s="238"/>
      <c r="CB67" s="238"/>
      <c r="CC67" s="238"/>
      <c r="CD67" s="238"/>
      <c r="CE67" s="238"/>
      <c r="CF67" s="238"/>
      <c r="CG67" s="238"/>
      <c r="CH67" s="238"/>
      <c r="CI67" s="238"/>
      <c r="CJ67" s="238"/>
      <c r="CK67" s="238"/>
      <c r="CL67" s="238"/>
      <c r="CM67" s="238"/>
      <c r="CN67" s="238"/>
      <c r="CO67" s="238"/>
      <c r="CP67" s="238"/>
      <c r="CQ67" s="238"/>
      <c r="CR67" s="238"/>
      <c r="CS67" s="238"/>
      <c r="CT67" s="238"/>
      <c r="CU67" s="238"/>
      <c r="CV67" s="238"/>
      <c r="CW67" s="238"/>
      <c r="CX67" s="238"/>
      <c r="CY67" s="238"/>
      <c r="CZ67" s="238"/>
      <c r="DA67" s="238"/>
      <c r="DB67" s="238"/>
      <c r="DC67" s="238"/>
      <c r="DD67" s="238"/>
      <c r="DE67" s="238"/>
      <c r="DF67" s="238"/>
      <c r="DG67" s="238"/>
      <c r="DH67" s="238"/>
      <c r="DI67" s="238"/>
      <c r="DJ67" s="238"/>
      <c r="DK67" s="238"/>
      <c r="DL67" s="238"/>
      <c r="DM67" s="238"/>
      <c r="DN67" s="238"/>
      <c r="DO67" s="238"/>
      <c r="DP67" s="238"/>
      <c r="DQ67" s="238"/>
      <c r="DR67" s="238"/>
      <c r="DS67" s="238"/>
      <c r="DT67" s="238"/>
      <c r="DU67" s="238"/>
      <c r="DV67" s="238"/>
      <c r="DW67" s="238"/>
      <c r="DX67" s="238"/>
      <c r="DY67" s="238"/>
      <c r="DZ67" s="238"/>
      <c r="EA67" s="238"/>
      <c r="EB67" s="238"/>
      <c r="EC67" s="238"/>
      <c r="ED67" s="238"/>
      <c r="EE67" s="238"/>
      <c r="EF67" s="238"/>
      <c r="EG67" s="238"/>
      <c r="EH67" s="238"/>
      <c r="EI67" s="238"/>
      <c r="EJ67" s="238"/>
      <c r="EK67" s="238"/>
      <c r="EL67" s="238"/>
      <c r="EM67" s="238"/>
      <c r="EN67" s="238"/>
      <c r="EO67" s="238"/>
      <c r="EP67" s="238"/>
      <c r="EQ67" s="238"/>
      <c r="ER67" s="238"/>
      <c r="ES67" s="238"/>
      <c r="ET67" s="238"/>
      <c r="EU67" s="238"/>
      <c r="EV67" s="238"/>
      <c r="EW67" s="238"/>
      <c r="EX67" s="238"/>
      <c r="EY67" s="238"/>
      <c r="EZ67" s="238"/>
      <c r="FA67" s="238"/>
      <c r="FB67" s="238"/>
      <c r="FC67" s="238"/>
      <c r="FD67" s="238"/>
      <c r="FE67" s="238"/>
      <c r="FF67" s="238"/>
      <c r="FG67" s="238"/>
      <c r="FH67" s="238"/>
      <c r="FI67" s="238"/>
      <c r="FJ67" s="238"/>
      <c r="FK67" s="238"/>
      <c r="FL67" s="238"/>
      <c r="FM67" s="238"/>
      <c r="FN67" s="238"/>
      <c r="FO67" s="238"/>
      <c r="FP67" s="238"/>
      <c r="FQ67" s="238"/>
      <c r="FR67" s="238"/>
      <c r="FS67" s="238"/>
      <c r="FT67" s="238"/>
      <c r="FU67" s="238"/>
      <c r="FV67" s="238"/>
      <c r="FW67" s="238"/>
      <c r="FX67" s="238"/>
      <c r="FY67" s="238"/>
      <c r="FZ67" s="238"/>
      <c r="GA67" s="238"/>
      <c r="GB67" s="238"/>
      <c r="GC67" s="239"/>
      <c r="GD67" s="238"/>
      <c r="GE67" s="238"/>
      <c r="GG67" s="238"/>
      <c r="GH67" s="238"/>
      <c r="GI67" s="238"/>
      <c r="GJ67" s="238"/>
      <c r="GK67" s="238"/>
      <c r="GL67" s="238"/>
      <c r="GM67" s="238"/>
      <c r="GN67" s="238"/>
      <c r="GO67" s="238"/>
      <c r="GP67" s="238"/>
      <c r="GQ67" s="238"/>
      <c r="GR67" s="238"/>
      <c r="GS67" s="238"/>
      <c r="GT67" s="238"/>
      <c r="GU67" s="238"/>
      <c r="GV67" s="238"/>
      <c r="GW67" s="238"/>
      <c r="GX67" s="238"/>
      <c r="GY67" s="238"/>
      <c r="GZ67" s="238"/>
      <c r="HA67" s="238"/>
      <c r="HB67" s="238"/>
      <c r="HC67" s="238"/>
      <c r="HD67" s="238"/>
      <c r="HE67" s="238"/>
      <c r="HF67" s="238"/>
      <c r="HG67" s="238"/>
      <c r="HH67" s="238"/>
      <c r="HI67" s="238"/>
      <c r="HJ67" s="238"/>
      <c r="HK67" s="238"/>
      <c r="HL67" s="238"/>
      <c r="HM67" s="238"/>
      <c r="HN67" s="238"/>
      <c r="HO67" s="238"/>
      <c r="HP67" s="238"/>
      <c r="HQ67" s="238"/>
      <c r="HR67" s="238"/>
      <c r="HS67" s="238"/>
      <c r="HT67" s="238"/>
      <c r="HU67" s="238"/>
      <c r="HV67" s="238"/>
      <c r="HW67" s="238"/>
      <c r="HX67" s="238"/>
      <c r="HY67" s="238"/>
      <c r="HZ67" s="238"/>
      <c r="IA67" s="238"/>
      <c r="IB67" s="238"/>
      <c r="IC67" s="238"/>
      <c r="ID67" s="238"/>
      <c r="IE67" s="238"/>
      <c r="IF67" s="238"/>
      <c r="IG67" s="238"/>
      <c r="IH67" s="238"/>
      <c r="II67" s="238"/>
      <c r="IJ67" s="238"/>
      <c r="IK67" s="238"/>
      <c r="IL67" s="238"/>
      <c r="IM67" s="238"/>
      <c r="IN67" s="238"/>
      <c r="IO67" s="238"/>
      <c r="IP67" s="238"/>
      <c r="IQ67" s="238"/>
      <c r="IR67" s="238"/>
      <c r="IS67" s="238"/>
      <c r="IT67" s="238"/>
      <c r="IU67" s="238"/>
      <c r="IV67" s="238"/>
      <c r="IW67" s="238"/>
      <c r="IX67" s="238"/>
      <c r="IY67" s="238"/>
      <c r="IZ67" s="238"/>
      <c r="JA67" s="238"/>
      <c r="JB67" s="238"/>
      <c r="JC67" s="238"/>
      <c r="JD67" s="238"/>
      <c r="JE67" s="238"/>
      <c r="JF67" s="238"/>
      <c r="JG67" s="238"/>
      <c r="JH67" s="238"/>
    </row>
    <row r="68" ht="15.75" hidden="1" customHeight="1"/>
    <row r="69" ht="15.75" hidden="1" customHeight="1"/>
    <row r="70" ht="15.75" hidden="1" customHeight="1"/>
    <row r="71" ht="15.75" hidden="1" customHeight="1"/>
    <row r="72" ht="15.75" hidden="1" customHeight="1"/>
    <row r="73" ht="15.75" hidden="1" customHeight="1"/>
    <row r="74" ht="15.75" hidden="1" customHeight="1"/>
    <row r="75" ht="15.75" hidden="1" customHeight="1"/>
    <row r="76" ht="15.75" hidden="1" customHeight="1"/>
    <row r="77" ht="15.75" hidden="1" customHeight="1"/>
    <row r="78" ht="15.75" hidden="1" customHeight="1"/>
    <row r="79" ht="15.75" hidden="1" customHeight="1"/>
    <row r="80" ht="15.75" hidden="1" customHeight="1"/>
    <row r="81" ht="15.75" hidden="1" customHeight="1"/>
    <row r="82" ht="15.75" hidden="1" customHeight="1"/>
    <row r="83" ht="15.75" hidden="1" customHeight="1"/>
    <row r="84" ht="15.75" hidden="1" customHeight="1"/>
    <row r="85" ht="15.75" hidden="1" customHeight="1"/>
    <row r="86" ht="15.75" hidden="1" customHeight="1"/>
    <row r="87" ht="15.75" hidden="1" customHeight="1"/>
    <row r="88" ht="15.75" hidden="1" customHeight="1"/>
    <row r="89" ht="15.75" hidden="1" customHeight="1"/>
    <row r="90" ht="15.75" hidden="1" customHeight="1"/>
    <row r="91" ht="15.75" hidden="1" customHeight="1"/>
    <row r="92" ht="15.75" hidden="1" customHeight="1"/>
    <row r="93" ht="15.75" hidden="1" customHeight="1"/>
    <row r="94" ht="15.75" hidden="1" customHeight="1"/>
    <row r="95" ht="15.75" hidden="1" customHeight="1"/>
    <row r="96" ht="15.75" hidden="1" customHeight="1"/>
    <row r="97" ht="15.75" hidden="1" customHeight="1"/>
    <row r="98" ht="15.75" hidden="1" customHeight="1"/>
    <row r="99" ht="15.75" hidden="1" customHeight="1"/>
    <row r="100" ht="15.75" hidden="1" customHeight="1"/>
    <row r="101" ht="15.75" hidden="1" customHeight="1"/>
    <row r="102" ht="15.75" hidden="1" customHeight="1"/>
    <row r="103" ht="15.75" hidden="1" customHeight="1"/>
    <row r="104" ht="15.75" hidden="1" customHeight="1"/>
    <row r="105" ht="15.75" hidden="1" customHeight="1"/>
    <row r="106" ht="15.75" hidden="1" customHeight="1"/>
    <row r="107" ht="15.75" hidden="1" customHeight="1"/>
    <row r="108" ht="15.75" hidden="1" customHeight="1"/>
    <row r="109" ht="15.75" hidden="1" customHeight="1"/>
    <row r="110" ht="15.75" hidden="1" customHeight="1"/>
    <row r="111" ht="15.75" hidden="1" customHeight="1"/>
    <row r="112" ht="15.75" hidden="1" customHeight="1"/>
    <row r="113" ht="15.75" hidden="1" customHeight="1"/>
    <row r="114" ht="15.75" hidden="1" customHeight="1"/>
    <row r="115" ht="15.75" hidden="1" customHeight="1"/>
    <row r="116" ht="15.75" hidden="1" customHeight="1"/>
    <row r="117" ht="15.75" hidden="1" customHeight="1"/>
    <row r="118" ht="15.75" hidden="1" customHeight="1"/>
    <row r="119" ht="15.75" hidden="1" customHeight="1"/>
    <row r="120" ht="15.75" hidden="1" customHeight="1"/>
    <row r="121" ht="15.75" hidden="1" customHeight="1"/>
    <row r="122" ht="15.75" hidden="1" customHeight="1"/>
    <row r="123" ht="15.75" hidden="1" customHeight="1"/>
    <row r="124" ht="15.75" hidden="1" customHeight="1"/>
    <row r="125" ht="15.75" hidden="1" customHeight="1"/>
    <row r="126" ht="15.75" hidden="1" customHeight="1"/>
    <row r="127" ht="15.75" hidden="1" customHeight="1"/>
    <row r="128" ht="15.75" hidden="1" customHeight="1"/>
    <row r="129" ht="15.75" hidden="1" customHeight="1"/>
    <row r="130" ht="15.75" hidden="1" customHeight="1"/>
    <row r="131" ht="15.75" hidden="1" customHeight="1"/>
    <row r="132" ht="15.75" hidden="1" customHeight="1"/>
    <row r="133" ht="15.75" hidden="1" customHeight="1"/>
    <row r="134" ht="15.75" hidden="1" customHeight="1"/>
    <row r="135" ht="15.75" hidden="1" customHeight="1"/>
    <row r="136" ht="15.75" hidden="1" customHeight="1"/>
    <row r="137" ht="15.75" hidden="1" customHeight="1"/>
    <row r="138" ht="15.75" hidden="1" customHeight="1"/>
    <row r="139" ht="15.75" hidden="1" customHeight="1"/>
    <row r="140" ht="15.75" hidden="1" customHeight="1"/>
    <row r="141" ht="15.75" hidden="1" customHeight="1"/>
    <row r="142" ht="15.75" hidden="1" customHeight="1"/>
    <row r="143" ht="15.75" hidden="1" customHeight="1"/>
    <row r="144" ht="15.75" hidden="1" customHeight="1"/>
    <row r="145" ht="15.75" hidden="1" customHeight="1"/>
    <row r="146" ht="15.75" hidden="1" customHeight="1"/>
    <row r="147" ht="15.75" hidden="1" customHeight="1"/>
    <row r="148" ht="15.75" hidden="1" customHeight="1"/>
    <row r="149" ht="15.75" hidden="1" customHeight="1"/>
    <row r="150" ht="15.75" hidden="1" customHeight="1"/>
    <row r="151" ht="15.75" hidden="1" customHeight="1"/>
    <row r="152" ht="15.75" hidden="1" customHeight="1"/>
    <row r="153" ht="15.75" hidden="1" customHeight="1"/>
    <row r="154" ht="15.75" hidden="1" customHeight="1"/>
    <row r="155" ht="15.75" hidden="1" customHeight="1"/>
    <row r="156" ht="15.75" hidden="1" customHeight="1"/>
    <row r="157" ht="15.75" hidden="1" customHeight="1"/>
    <row r="158" ht="15.75" hidden="1" customHeight="1"/>
    <row r="159" ht="15.75" hidden="1" customHeight="1"/>
    <row r="160" ht="15.75" hidden="1" customHeight="1"/>
    <row r="161" ht="15.75" hidden="1" customHeight="1"/>
    <row r="162" ht="15.75" hidden="1" customHeight="1"/>
    <row r="163" ht="15.75" hidden="1" customHeight="1"/>
    <row r="164" ht="15.75" hidden="1" customHeight="1"/>
    <row r="165" ht="15.75" hidden="1" customHeight="1"/>
    <row r="166" ht="15.75" hidden="1" customHeight="1"/>
    <row r="167" ht="15.75" hidden="1" customHeight="1"/>
    <row r="168" ht="15.75" hidden="1" customHeight="1"/>
    <row r="169" ht="15.75" hidden="1" customHeight="1"/>
    <row r="170" ht="15.75" hidden="1" customHeight="1"/>
    <row r="171" ht="15.75" hidden="1" customHeight="1"/>
    <row r="172" ht="15.75" hidden="1" customHeight="1"/>
    <row r="173" ht="15.75" hidden="1" customHeight="1"/>
    <row r="174" ht="15.75" hidden="1" customHeight="1"/>
    <row r="175" ht="15.75" hidden="1" customHeight="1"/>
    <row r="176" ht="15.75" hidden="1" customHeight="1"/>
    <row r="177" ht="15.75" hidden="1" customHeight="1"/>
    <row r="178" ht="15.75" hidden="1" customHeight="1"/>
    <row r="179" ht="15.75" hidden="1" customHeight="1"/>
    <row r="180" ht="15.75" hidden="1" customHeight="1"/>
    <row r="181" ht="15.75" hidden="1" customHeight="1"/>
    <row r="182" ht="15.75" hidden="1" customHeight="1"/>
    <row r="183" ht="15.75" hidden="1" customHeight="1"/>
    <row r="184" ht="15.75" hidden="1" customHeight="1"/>
    <row r="185" ht="15.75" hidden="1" customHeight="1"/>
    <row r="186" ht="15.75" hidden="1" customHeight="1"/>
    <row r="187" ht="15.75" hidden="1" customHeight="1"/>
    <row r="188" ht="15.75" hidden="1" customHeight="1"/>
    <row r="189" ht="15.75" hidden="1" customHeight="1"/>
    <row r="190" ht="15.75" hidden="1" customHeight="1"/>
    <row r="191" ht="15.75" hidden="1" customHeight="1"/>
    <row r="192" ht="15.75" hidden="1" customHeight="1"/>
    <row r="193" ht="15.75" hidden="1" customHeight="1"/>
    <row r="194" ht="15.75" hidden="1" customHeight="1"/>
    <row r="195" ht="15.75" hidden="1" customHeight="1"/>
    <row r="196" ht="15.75" hidden="1" customHeight="1"/>
    <row r="197" ht="15.75" hidden="1" customHeight="1"/>
    <row r="198" ht="15.75" hidden="1" customHeight="1"/>
    <row r="199" ht="15.75" hidden="1" customHeight="1"/>
    <row r="200" ht="15.75" hidden="1" customHeight="1"/>
    <row r="201" ht="15.75" hidden="1" customHeight="1"/>
    <row r="202" ht="15.75" hidden="1" customHeight="1"/>
    <row r="203" ht="15.75" hidden="1" customHeight="1"/>
    <row r="204" ht="15.75" hidden="1" customHeight="1"/>
    <row r="205" ht="15.75" hidden="1" customHeight="1"/>
    <row r="206" ht="15.75" hidden="1" customHeight="1"/>
    <row r="207" ht="15.75" hidden="1" customHeight="1"/>
    <row r="208" ht="15.75" hidden="1" customHeight="1"/>
    <row r="209" ht="15.75" hidden="1" customHeight="1"/>
    <row r="210" ht="15.75" hidden="1" customHeight="1"/>
    <row r="211" ht="15.75" hidden="1" customHeight="1"/>
    <row r="212" ht="15.75" hidden="1" customHeight="1"/>
    <row r="213" ht="15.75" hidden="1" customHeight="1"/>
    <row r="214" ht="15.75" hidden="1" customHeight="1"/>
    <row r="215" ht="15.75" hidden="1" customHeight="1"/>
    <row r="216" ht="15.75" hidden="1" customHeight="1"/>
    <row r="217" ht="15.75" hidden="1" customHeight="1"/>
    <row r="218" ht="15.75" hidden="1" customHeight="1"/>
    <row r="219" ht="15.75" hidden="1" customHeight="1"/>
    <row r="220" ht="15.75" hidden="1" customHeight="1"/>
    <row r="221" ht="15.75" hidden="1" customHeight="1"/>
    <row r="222" ht="15.75" hidden="1" customHeight="1"/>
    <row r="223" ht="15.75" hidden="1" customHeight="1"/>
    <row r="224" ht="15.75" hidden="1" customHeight="1"/>
    <row r="225" ht="15.75" hidden="1" customHeight="1"/>
    <row r="226" ht="15.75" hidden="1" customHeight="1"/>
    <row r="227" ht="15.75" hidden="1" customHeight="1"/>
    <row r="228" ht="15.75" hidden="1" customHeight="1"/>
    <row r="229" ht="15.75" hidden="1" customHeight="1"/>
    <row r="230" ht="15.75" hidden="1" customHeight="1"/>
    <row r="231" ht="15.75" hidden="1" customHeight="1"/>
    <row r="232" ht="15.75" hidden="1" customHeight="1"/>
    <row r="233" ht="15.75" hidden="1" customHeight="1"/>
    <row r="234" ht="15.75" hidden="1" customHeight="1"/>
    <row r="235" ht="15.75" hidden="1" customHeight="1"/>
    <row r="236" ht="15.75" hidden="1" customHeight="1"/>
    <row r="237" ht="15.75" hidden="1" customHeight="1"/>
    <row r="238" ht="15.75" hidden="1" customHeight="1"/>
    <row r="239" ht="15.75" hidden="1" customHeight="1"/>
    <row r="240" ht="15.75" hidden="1" customHeight="1"/>
    <row r="241" ht="15.75" hidden="1" customHeight="1"/>
    <row r="242" ht="15.75" hidden="1" customHeight="1"/>
    <row r="243" ht="15.75" hidden="1" customHeight="1"/>
    <row r="244" ht="15.75" hidden="1" customHeight="1"/>
    <row r="245" ht="15.75" hidden="1" customHeight="1"/>
    <row r="246" ht="15.75" hidden="1" customHeight="1"/>
    <row r="247" ht="15.75" hidden="1" customHeight="1"/>
    <row r="248" ht="15.75" hidden="1" customHeight="1"/>
    <row r="249" ht="15.75" hidden="1" customHeight="1"/>
    <row r="250" ht="15.75" hidden="1" customHeight="1"/>
    <row r="251" ht="15.75" hidden="1" customHeight="1"/>
    <row r="252" ht="15.75" hidden="1" customHeight="1"/>
    <row r="253" ht="15.75" hidden="1" customHeight="1"/>
    <row r="254" ht="15.75" hidden="1" customHeight="1"/>
    <row r="255" ht="15.75" hidden="1" customHeight="1"/>
    <row r="256" ht="15.75" hidden="1" customHeight="1"/>
    <row r="257" ht="15.75" hidden="1" customHeight="1"/>
    <row r="258" ht="15.75" hidden="1" customHeight="1"/>
    <row r="259" ht="15.75" hidden="1" customHeight="1"/>
    <row r="260" ht="15.75" hidden="1" customHeight="1"/>
    <row r="261" ht="15.75" hidden="1" customHeight="1"/>
    <row r="262" ht="15.75" hidden="1" customHeight="1"/>
    <row r="263" ht="15.75" hidden="1" customHeight="1"/>
    <row r="264" ht="15.75" hidden="1" customHeight="1"/>
    <row r="265" ht="15.75" hidden="1" customHeight="1"/>
    <row r="266" ht="15.75" hidden="1" customHeight="1"/>
    <row r="267" ht="15.75" hidden="1" customHeight="1"/>
    <row r="268" ht="15.75" hidden="1" customHeight="1"/>
    <row r="269" ht="15.75" hidden="1" customHeight="1"/>
    <row r="270" ht="15.75" hidden="1" customHeight="1"/>
    <row r="271" ht="15.75" hidden="1" customHeight="1"/>
    <row r="272" ht="15.75" hidden="1" customHeight="1"/>
    <row r="273" ht="15.75" hidden="1" customHeight="1"/>
    <row r="274" ht="15.75" hidden="1" customHeight="1"/>
    <row r="275" ht="15.75" hidden="1" customHeight="1"/>
    <row r="276" ht="15.75" hidden="1" customHeight="1"/>
    <row r="277" ht="15.75" hidden="1" customHeight="1"/>
    <row r="278" ht="15.75" hidden="1" customHeight="1"/>
    <row r="279" ht="15.75" hidden="1" customHeight="1"/>
    <row r="280" ht="15.75" hidden="1" customHeight="1"/>
    <row r="281" ht="15.75" hidden="1" customHeight="1"/>
    <row r="282" ht="15.75" hidden="1" customHeight="1"/>
    <row r="283" ht="15.75" hidden="1" customHeight="1"/>
    <row r="284" ht="15.75" hidden="1" customHeight="1"/>
    <row r="285" ht="15.75" hidden="1" customHeight="1"/>
    <row r="286" ht="15.75" hidden="1" customHeight="1"/>
    <row r="287" ht="15.75" hidden="1" customHeight="1"/>
    <row r="288" ht="15.75" hidden="1" customHeight="1"/>
    <row r="289" ht="15.75" hidden="1" customHeight="1"/>
    <row r="290" ht="15.75" hidden="1" customHeight="1"/>
    <row r="291" ht="15.75" hidden="1" customHeight="1"/>
    <row r="292" ht="15.75" hidden="1" customHeight="1"/>
    <row r="293" ht="15.75" hidden="1" customHeight="1"/>
    <row r="294" ht="15.75" hidden="1" customHeight="1"/>
    <row r="295" ht="15.75" hidden="1" customHeight="1"/>
    <row r="296" ht="15.75" hidden="1" customHeight="1"/>
    <row r="297" ht="15.75" hidden="1" customHeight="1"/>
    <row r="298" ht="15.75" hidden="1" customHeight="1"/>
    <row r="299" ht="15.75" hidden="1" customHeight="1"/>
    <row r="300" ht="15.75" hidden="1" customHeight="1"/>
    <row r="301" ht="15.75" hidden="1" customHeight="1"/>
    <row r="302" ht="15.75" hidden="1" customHeight="1"/>
    <row r="303" ht="15.75" hidden="1" customHeight="1"/>
    <row r="304" ht="15.75" hidden="1" customHeight="1"/>
    <row r="305" ht="15.75" hidden="1" customHeight="1"/>
    <row r="306" ht="15.75" hidden="1" customHeight="1"/>
    <row r="307" ht="15.75" hidden="1" customHeight="1"/>
    <row r="308" ht="15.75" hidden="1" customHeight="1"/>
    <row r="309" ht="15.75" hidden="1" customHeight="1"/>
    <row r="310" ht="15.75" hidden="1" customHeight="1"/>
    <row r="311" ht="15.75" hidden="1" customHeight="1"/>
    <row r="312" ht="15.75" hidden="1" customHeight="1"/>
    <row r="313" ht="15.75" hidden="1" customHeight="1"/>
    <row r="314" ht="15.75" hidden="1" customHeight="1"/>
    <row r="315" ht="15.75" hidden="1" customHeight="1"/>
    <row r="316" ht="15.75" hidden="1" customHeight="1"/>
    <row r="317" ht="15.75" hidden="1" customHeight="1"/>
    <row r="318" ht="15.75" hidden="1" customHeight="1"/>
    <row r="319" ht="15.75" hidden="1" customHeight="1"/>
    <row r="320" ht="15.75" hidden="1" customHeight="1"/>
    <row r="321" ht="15.75" hidden="1" customHeight="1"/>
    <row r="322" ht="15.75" hidden="1" customHeight="1"/>
    <row r="323" ht="15.75" hidden="1" customHeight="1"/>
    <row r="324" ht="15.75" hidden="1" customHeight="1"/>
    <row r="325" ht="15.75" hidden="1" customHeight="1"/>
    <row r="326" ht="15.75" hidden="1" customHeight="1"/>
    <row r="327" ht="15.75" hidden="1" customHeight="1"/>
    <row r="328" ht="15.75" hidden="1" customHeight="1"/>
    <row r="329" ht="15.75" hidden="1" customHeight="1"/>
    <row r="330" ht="15.75" hidden="1" customHeight="1"/>
    <row r="331" ht="15.75" hidden="1" customHeight="1"/>
    <row r="332" ht="15.75" hidden="1" customHeight="1"/>
    <row r="333" ht="15.75" hidden="1" customHeight="1"/>
    <row r="334" ht="15.75" hidden="1" customHeight="1"/>
    <row r="335" ht="15.75" hidden="1" customHeight="1"/>
    <row r="336" ht="15.75" hidden="1" customHeight="1"/>
    <row r="337" ht="15.75" hidden="1" customHeight="1"/>
    <row r="338" ht="15.75" hidden="1" customHeight="1"/>
    <row r="339" ht="15.75" hidden="1" customHeight="1"/>
    <row r="340" ht="15.75" hidden="1" customHeight="1"/>
    <row r="341" ht="15.75" hidden="1" customHeight="1"/>
    <row r="342" ht="15.75" hidden="1" customHeight="1"/>
    <row r="343" ht="15.75" hidden="1" customHeight="1"/>
    <row r="344" ht="15.75" hidden="1" customHeight="1"/>
    <row r="345" ht="15.75" hidden="1" customHeight="1"/>
    <row r="346" ht="15.75" hidden="1" customHeight="1"/>
    <row r="347" ht="15.75" hidden="1" customHeight="1"/>
    <row r="348" ht="15.75" hidden="1" customHeight="1"/>
    <row r="349" ht="15.75" hidden="1" customHeight="1"/>
    <row r="350" ht="15.75" hidden="1" customHeight="1"/>
    <row r="351" ht="15.75" hidden="1" customHeight="1"/>
    <row r="352" ht="15.75" hidden="1" customHeight="1"/>
    <row r="353" ht="15.75" hidden="1" customHeight="1"/>
    <row r="354" ht="15.75" hidden="1" customHeight="1"/>
    <row r="355" ht="15.75" hidden="1" customHeight="1"/>
    <row r="356" ht="15.75" hidden="1" customHeight="1"/>
    <row r="357" ht="15.75" hidden="1" customHeight="1"/>
    <row r="358" ht="15.75" hidden="1" customHeight="1"/>
    <row r="359" ht="15.75" hidden="1" customHeight="1"/>
    <row r="360" ht="15.75" hidden="1" customHeight="1"/>
    <row r="361" ht="15.75" hidden="1" customHeight="1"/>
    <row r="362" ht="15.75" hidden="1" customHeight="1"/>
    <row r="363" ht="15.75" hidden="1" customHeight="1"/>
    <row r="364" ht="15.75" hidden="1" customHeight="1"/>
    <row r="365" ht="15.75" hidden="1" customHeight="1"/>
    <row r="366" ht="15.75" hidden="1" customHeight="1"/>
    <row r="367" ht="15.75" hidden="1" customHeight="1"/>
    <row r="368" ht="15.75" hidden="1" customHeight="1"/>
    <row r="369" ht="15.75" hidden="1" customHeight="1"/>
    <row r="370" ht="15.75" hidden="1" customHeight="1"/>
    <row r="371" ht="15.75" hidden="1" customHeight="1"/>
    <row r="372" ht="15.75" hidden="1" customHeight="1"/>
    <row r="373" ht="15.75" hidden="1" customHeight="1"/>
    <row r="374" ht="15.75" hidden="1" customHeight="1"/>
    <row r="375" ht="15.75" hidden="1" customHeight="1"/>
    <row r="376" ht="15.75" hidden="1" customHeight="1"/>
    <row r="377" ht="15.75" hidden="1" customHeight="1"/>
    <row r="378" ht="15.75" hidden="1" customHeight="1"/>
    <row r="379" ht="15.75" hidden="1" customHeight="1"/>
    <row r="380" ht="15.75" hidden="1" customHeight="1"/>
    <row r="381" ht="15.75" hidden="1" customHeight="1"/>
    <row r="382" ht="15.75" hidden="1" customHeight="1"/>
    <row r="383" ht="15.75" hidden="1" customHeight="1"/>
    <row r="384" ht="15.75" hidden="1" customHeight="1"/>
    <row r="385" ht="15.75" hidden="1" customHeight="1"/>
    <row r="386" ht="15.75" hidden="1" customHeight="1"/>
    <row r="387" ht="15.75" hidden="1" customHeight="1"/>
    <row r="388" ht="15.75" hidden="1" customHeight="1"/>
    <row r="389" ht="15.75" hidden="1" customHeight="1"/>
    <row r="390" ht="15.75" hidden="1" customHeight="1"/>
    <row r="391" ht="15.75" hidden="1" customHeight="1"/>
    <row r="392" ht="15.75" hidden="1" customHeight="1"/>
    <row r="393" ht="15.75" hidden="1" customHeight="1"/>
    <row r="394" ht="15.75" hidden="1" customHeight="1"/>
    <row r="395" ht="15.75" hidden="1" customHeight="1"/>
    <row r="396" ht="15.75" hidden="1" customHeight="1"/>
    <row r="397" ht="15.75" hidden="1" customHeight="1"/>
    <row r="398" ht="15.75" hidden="1" customHeight="1"/>
    <row r="399" ht="15.75" hidden="1" customHeight="1"/>
    <row r="400" ht="15.75" hidden="1" customHeight="1"/>
    <row r="401" ht="15.75" hidden="1" customHeight="1"/>
    <row r="402" ht="15.75" hidden="1" customHeight="1"/>
    <row r="403" ht="15.75" hidden="1" customHeight="1"/>
    <row r="404" ht="15.75" hidden="1" customHeight="1"/>
    <row r="405" ht="15.75" hidden="1" customHeight="1"/>
    <row r="406" ht="15.75" hidden="1" customHeight="1"/>
    <row r="407" ht="15.75" hidden="1" customHeight="1"/>
    <row r="408" ht="15.75" hidden="1" customHeight="1"/>
    <row r="409" ht="15.75" hidden="1" customHeight="1"/>
    <row r="410" ht="15.75" hidden="1" customHeight="1"/>
    <row r="411" ht="15.75" hidden="1" customHeight="1"/>
    <row r="412" ht="15.75" hidden="1" customHeight="1"/>
    <row r="413" ht="15.75" hidden="1" customHeight="1"/>
    <row r="414" ht="15.75" hidden="1" customHeight="1"/>
    <row r="415" ht="15.75" hidden="1" customHeight="1"/>
    <row r="416" ht="15.75" hidden="1" customHeight="1"/>
    <row r="417" ht="15.75" hidden="1" customHeight="1"/>
    <row r="418" ht="15.75" hidden="1" customHeight="1"/>
    <row r="419" ht="15.75" hidden="1" customHeight="1"/>
    <row r="420" ht="15.75" hidden="1" customHeight="1"/>
    <row r="421" ht="15.75" hidden="1" customHeight="1"/>
    <row r="422" ht="15.75" hidden="1" customHeight="1"/>
    <row r="423" ht="15.75" hidden="1" customHeight="1"/>
    <row r="424" ht="15.75" hidden="1" customHeight="1"/>
    <row r="425" ht="15.75" hidden="1" customHeight="1"/>
    <row r="426" ht="15.75" hidden="1" customHeight="1"/>
    <row r="427" ht="15.75" hidden="1" customHeight="1"/>
    <row r="428" ht="15.75" hidden="1" customHeight="1"/>
    <row r="429" ht="15.75" hidden="1" customHeight="1"/>
    <row r="430" ht="15.75" hidden="1" customHeight="1"/>
    <row r="431" ht="15.75" hidden="1" customHeight="1"/>
    <row r="432" ht="15.75" hidden="1" customHeight="1"/>
    <row r="433" ht="15.75" hidden="1" customHeight="1"/>
    <row r="434" ht="15.75" hidden="1" customHeight="1"/>
    <row r="435" ht="15.75" hidden="1" customHeight="1"/>
    <row r="436" ht="15.75" hidden="1" customHeight="1"/>
    <row r="437" ht="15.75" hidden="1" customHeight="1"/>
    <row r="438" ht="15.75" hidden="1" customHeight="1"/>
    <row r="439" ht="15.75" hidden="1" customHeight="1"/>
    <row r="440" ht="15.75" hidden="1" customHeight="1"/>
    <row r="441" ht="15.75" hidden="1" customHeight="1"/>
    <row r="442" ht="15.75" hidden="1" customHeight="1"/>
    <row r="443" ht="15.75" hidden="1" customHeight="1"/>
    <row r="444" ht="15.75" hidden="1" customHeight="1"/>
    <row r="445" ht="15.75" hidden="1" customHeight="1"/>
    <row r="446" ht="15.75" hidden="1" customHeight="1"/>
    <row r="447" ht="15.75" hidden="1" customHeight="1"/>
    <row r="448" ht="15.75" hidden="1" customHeight="1"/>
    <row r="449" ht="15.75" hidden="1" customHeight="1"/>
    <row r="450" ht="15.75" hidden="1" customHeight="1"/>
    <row r="451" ht="15.75" hidden="1" customHeight="1"/>
    <row r="452" ht="15.75" hidden="1" customHeight="1"/>
    <row r="453" ht="15.75" hidden="1" customHeight="1"/>
    <row r="454" ht="15.75" hidden="1" customHeight="1"/>
    <row r="455" ht="15.75" hidden="1" customHeight="1"/>
    <row r="456" ht="15.75" hidden="1" customHeight="1"/>
    <row r="457" ht="15.75" hidden="1" customHeight="1"/>
    <row r="458" ht="15.75" hidden="1" customHeight="1"/>
    <row r="459" ht="15.75" hidden="1" customHeight="1"/>
    <row r="460" ht="15.75" hidden="1" customHeight="1"/>
    <row r="461" ht="15.75" hidden="1" customHeight="1"/>
    <row r="462" ht="15.75" hidden="1" customHeight="1"/>
    <row r="463" ht="15.75" hidden="1" customHeight="1"/>
    <row r="464" ht="15.75" hidden="1" customHeight="1"/>
    <row r="465" ht="15.75" hidden="1" customHeight="1"/>
    <row r="466" ht="15.75" hidden="1" customHeight="1"/>
    <row r="467" ht="15.75" hidden="1" customHeight="1"/>
    <row r="468" ht="15.75" hidden="1" customHeight="1"/>
    <row r="469" ht="15.75" hidden="1" customHeight="1"/>
    <row r="470" ht="15.75" hidden="1" customHeight="1"/>
    <row r="471" ht="15.75" hidden="1" customHeight="1"/>
    <row r="472" ht="15.75" hidden="1" customHeight="1"/>
    <row r="473" ht="15.75" hidden="1" customHeight="1"/>
    <row r="474" ht="15.75" hidden="1" customHeight="1"/>
    <row r="475" ht="15.75" hidden="1" customHeight="1"/>
    <row r="476" ht="15.75" hidden="1" customHeight="1"/>
    <row r="477" ht="15.75" hidden="1" customHeight="1"/>
    <row r="478" ht="15.75" hidden="1" customHeight="1"/>
    <row r="479" ht="15.75" hidden="1" customHeight="1"/>
    <row r="480" ht="15.75" hidden="1" customHeight="1"/>
    <row r="481" ht="15.75" hidden="1" customHeight="1"/>
    <row r="482" ht="15.75" hidden="1" customHeight="1"/>
    <row r="483" ht="15.75" hidden="1" customHeight="1"/>
    <row r="484" ht="15.75" hidden="1" customHeight="1"/>
    <row r="485" ht="15.75" hidden="1" customHeight="1"/>
    <row r="486" ht="15.75" hidden="1" customHeight="1"/>
    <row r="487" ht="15.75" hidden="1" customHeight="1"/>
    <row r="488" ht="15.75" hidden="1" customHeight="1"/>
    <row r="489" ht="15.75" hidden="1" customHeight="1"/>
    <row r="490" ht="15.75" hidden="1" customHeight="1"/>
    <row r="491" ht="15.75" hidden="1" customHeight="1"/>
    <row r="492" ht="15.75" hidden="1" customHeight="1"/>
    <row r="493" ht="15.75" hidden="1" customHeight="1"/>
    <row r="494" ht="15.75" hidden="1" customHeight="1"/>
    <row r="495" ht="15.75" hidden="1" customHeight="1"/>
    <row r="496" ht="15.75" hidden="1" customHeight="1"/>
    <row r="497" ht="15.75" hidden="1" customHeight="1"/>
    <row r="498" ht="15.75" hidden="1" customHeight="1"/>
    <row r="499" ht="15.75" hidden="1" customHeight="1"/>
    <row r="500" ht="15.75" hidden="1" customHeight="1"/>
    <row r="501" ht="15.75" hidden="1" customHeight="1"/>
    <row r="502" ht="15.75" hidden="1" customHeight="1"/>
    <row r="503" ht="15.75" hidden="1" customHeight="1"/>
    <row r="504" ht="15.75" hidden="1" customHeight="1"/>
    <row r="505" ht="15.75" hidden="1" customHeight="1"/>
    <row r="506" ht="15.75" hidden="1" customHeight="1"/>
    <row r="507" ht="15.75" hidden="1" customHeight="1"/>
    <row r="508" ht="15.75" hidden="1" customHeight="1"/>
    <row r="509" ht="15.75" hidden="1" customHeight="1"/>
    <row r="510" ht="15.75" hidden="1" customHeight="1"/>
    <row r="511" ht="15.75" hidden="1" customHeight="1"/>
    <row r="512" ht="15.75" hidden="1" customHeight="1"/>
    <row r="513" ht="15.75" hidden="1" customHeight="1"/>
    <row r="514" ht="15.75" hidden="1" customHeight="1"/>
    <row r="515" ht="15.75" hidden="1" customHeight="1"/>
    <row r="516" ht="15.75" hidden="1" customHeight="1"/>
    <row r="517" ht="15.75" hidden="1" customHeight="1"/>
    <row r="518" ht="15.75" hidden="1" customHeight="1"/>
    <row r="519" ht="15.75" hidden="1" customHeight="1"/>
    <row r="520" ht="15.75" hidden="1" customHeight="1"/>
    <row r="521" ht="15.75" hidden="1" customHeight="1"/>
    <row r="522" ht="15.75" hidden="1" customHeight="1"/>
    <row r="523" ht="15.75" hidden="1" customHeight="1"/>
    <row r="524" ht="15.75" hidden="1" customHeight="1"/>
    <row r="525" ht="15.75" hidden="1" customHeight="1"/>
    <row r="526" ht="15.75" hidden="1" customHeight="1"/>
    <row r="527" ht="15.75" hidden="1" customHeight="1"/>
    <row r="528" ht="15.75" hidden="1" customHeight="1"/>
    <row r="529" ht="15.75" hidden="1" customHeight="1"/>
    <row r="530" ht="15.75" hidden="1" customHeight="1"/>
    <row r="531" ht="15.75" hidden="1" customHeight="1"/>
    <row r="532" ht="15.75" hidden="1" customHeight="1"/>
    <row r="533" ht="15.75" hidden="1" customHeight="1"/>
    <row r="534" ht="15.75" hidden="1" customHeight="1"/>
    <row r="535" ht="15.75" hidden="1" customHeight="1"/>
    <row r="536" ht="15.75" hidden="1" customHeight="1"/>
    <row r="537" ht="15.75" hidden="1" customHeight="1"/>
    <row r="538" ht="15.75" hidden="1" customHeight="1"/>
    <row r="539" ht="15.75" hidden="1" customHeight="1"/>
    <row r="540" ht="15.75" hidden="1" customHeight="1"/>
    <row r="541" ht="15.75" hidden="1" customHeight="1"/>
    <row r="542" ht="15.75" hidden="1" customHeight="1"/>
    <row r="543" ht="15.75" hidden="1" customHeight="1"/>
    <row r="544" ht="15.75" hidden="1" customHeight="1"/>
    <row r="545" ht="15.75" hidden="1" customHeight="1"/>
    <row r="546" ht="15.75" hidden="1" customHeight="1"/>
    <row r="547" ht="15.75" hidden="1" customHeight="1"/>
    <row r="548" ht="15.75" hidden="1" customHeight="1"/>
    <row r="549" ht="15.75" hidden="1" customHeight="1"/>
    <row r="550" ht="15.75" hidden="1" customHeight="1"/>
    <row r="551" ht="15.75" hidden="1" customHeight="1"/>
    <row r="552" ht="15.75" hidden="1" customHeight="1"/>
    <row r="553" ht="15.75" hidden="1" customHeight="1"/>
    <row r="554" ht="15.75" hidden="1" customHeight="1"/>
    <row r="555" ht="15.75" hidden="1" customHeight="1"/>
    <row r="556" ht="15.75" hidden="1" customHeight="1"/>
    <row r="557" ht="15.75" hidden="1" customHeight="1"/>
    <row r="558" ht="15.75" hidden="1" customHeight="1"/>
    <row r="559" ht="15.75" hidden="1" customHeight="1"/>
    <row r="560" ht="15.75" hidden="1" customHeight="1"/>
    <row r="561" ht="15.75" hidden="1" customHeight="1"/>
    <row r="562" ht="15.75" hidden="1" customHeight="1"/>
    <row r="563" ht="15.75" hidden="1" customHeight="1"/>
    <row r="564" ht="15.75" hidden="1" customHeight="1"/>
    <row r="565" ht="15.75" hidden="1" customHeight="1"/>
    <row r="566" ht="15.75" hidden="1" customHeight="1"/>
    <row r="567" ht="15.75" hidden="1" customHeight="1"/>
    <row r="568" ht="15.75" hidden="1" customHeight="1"/>
    <row r="569" ht="15.75" hidden="1" customHeight="1"/>
    <row r="570" ht="15.75" hidden="1" customHeight="1"/>
    <row r="571" ht="15.75" hidden="1" customHeight="1"/>
    <row r="572" ht="15.75" hidden="1" customHeight="1"/>
    <row r="573" ht="15.75" hidden="1" customHeight="1"/>
    <row r="574" ht="15.75" hidden="1" customHeight="1"/>
    <row r="575" ht="15.75" hidden="1" customHeight="1"/>
    <row r="576" ht="15.75" hidden="1" customHeight="1"/>
    <row r="577" ht="15.75" hidden="1" customHeight="1"/>
    <row r="578" ht="15.75" hidden="1" customHeight="1"/>
    <row r="579" ht="15.75" hidden="1" customHeight="1"/>
    <row r="580" ht="15.75" hidden="1" customHeight="1"/>
    <row r="581" ht="15.75" hidden="1" customHeight="1"/>
    <row r="582" ht="15.75" hidden="1" customHeight="1"/>
    <row r="583" ht="15.75" hidden="1" customHeight="1"/>
    <row r="584" ht="15.75" hidden="1" customHeight="1"/>
    <row r="585" ht="15.75" hidden="1" customHeight="1"/>
    <row r="586" ht="15.75" hidden="1" customHeight="1"/>
    <row r="587" ht="15.75" hidden="1" customHeight="1"/>
    <row r="588" ht="15.75" hidden="1" customHeight="1"/>
    <row r="589" ht="15.75" hidden="1" customHeight="1"/>
    <row r="590" ht="15.75" hidden="1" customHeight="1"/>
    <row r="591" ht="15.75" hidden="1" customHeight="1"/>
    <row r="592" ht="15.75" hidden="1" customHeight="1"/>
    <row r="593" ht="15.75" hidden="1" customHeight="1"/>
    <row r="594" ht="15.75" hidden="1" customHeight="1"/>
    <row r="595" ht="15.75" hidden="1" customHeight="1"/>
    <row r="596" ht="15.75" hidden="1" customHeight="1"/>
    <row r="597" ht="15.75" hidden="1" customHeight="1"/>
    <row r="598" ht="15.75" hidden="1" customHeight="1"/>
    <row r="599" ht="15.75" hidden="1" customHeight="1"/>
    <row r="600" ht="15.75" hidden="1" customHeight="1"/>
    <row r="601" ht="15.75" hidden="1" customHeight="1"/>
    <row r="602" ht="15.75" hidden="1" customHeight="1"/>
    <row r="603" ht="15.75" hidden="1" customHeight="1"/>
    <row r="604" ht="15.75" hidden="1" customHeight="1"/>
    <row r="605" ht="15.75" hidden="1" customHeight="1"/>
    <row r="606" ht="15.75" hidden="1" customHeight="1"/>
    <row r="607" ht="15.75" hidden="1" customHeight="1"/>
    <row r="608" ht="15.75" hidden="1" customHeight="1"/>
    <row r="609" ht="15.75" hidden="1" customHeight="1"/>
    <row r="610" ht="15.75" hidden="1" customHeight="1"/>
    <row r="611" ht="15.75" hidden="1" customHeight="1"/>
    <row r="612" ht="15.75" hidden="1" customHeight="1"/>
    <row r="613" ht="15.75" hidden="1" customHeight="1"/>
    <row r="614" ht="15.75" hidden="1" customHeight="1"/>
    <row r="615" ht="15.75" hidden="1" customHeight="1"/>
    <row r="616" ht="15.75" hidden="1" customHeight="1"/>
    <row r="617" ht="15.75" hidden="1" customHeight="1"/>
  </sheetData>
  <sheetProtection password="F8E5" sheet="1" formatCells="0" formatRows="0" objects="1"/>
  <mergeCells count="251">
    <mergeCell ref="E5:M5"/>
    <mergeCell ref="N5:V5"/>
    <mergeCell ref="W5:AE5"/>
    <mergeCell ref="AF5:AN5"/>
    <mergeCell ref="AO5:AW5"/>
    <mergeCell ref="AX5:BF5"/>
    <mergeCell ref="BG5:BO5"/>
    <mergeCell ref="BP5:BX5"/>
    <mergeCell ref="BY5:CG5"/>
    <mergeCell ref="CH5:CP5"/>
    <mergeCell ref="CQ5:CY5"/>
    <mergeCell ref="CZ5:DH5"/>
    <mergeCell ref="DI5:DQ5"/>
    <mergeCell ref="DR5:DZ5"/>
    <mergeCell ref="EA5:EI5"/>
    <mergeCell ref="EJ5:ER5"/>
    <mergeCell ref="ES5:FA5"/>
    <mergeCell ref="FB5:FJ5"/>
    <mergeCell ref="FK5:FS5"/>
    <mergeCell ref="FT5:GB5"/>
    <mergeCell ref="E6:M6"/>
    <mergeCell ref="N6:V6"/>
    <mergeCell ref="W6:AE6"/>
    <mergeCell ref="AF6:AN6"/>
    <mergeCell ref="AO6:AW6"/>
    <mergeCell ref="AX6:BF6"/>
    <mergeCell ref="BG6:BO6"/>
    <mergeCell ref="BP6:BX6"/>
    <mergeCell ref="BY6:CG6"/>
    <mergeCell ref="CH6:CP6"/>
    <mergeCell ref="CQ6:CY6"/>
    <mergeCell ref="CZ6:DH6"/>
    <mergeCell ref="DI6:DQ6"/>
    <mergeCell ref="DR6:DZ6"/>
    <mergeCell ref="EA6:EI6"/>
    <mergeCell ref="EJ6:ER6"/>
    <mergeCell ref="ES6:FA6"/>
    <mergeCell ref="FB6:FJ6"/>
    <mergeCell ref="FK6:FS6"/>
    <mergeCell ref="FT6:GB6"/>
    <mergeCell ref="GG6:GJ6"/>
    <mergeCell ref="GK6:GN6"/>
    <mergeCell ref="GO6:GR6"/>
    <mergeCell ref="GS6:GV6"/>
    <mergeCell ref="GW6:GZ6"/>
    <mergeCell ref="HA6:HD6"/>
    <mergeCell ref="HE6:HH6"/>
    <mergeCell ref="HI6:HL6"/>
    <mergeCell ref="HM6:HP6"/>
    <mergeCell ref="HQ6:HT6"/>
    <mergeCell ref="HU6:HX6"/>
    <mergeCell ref="HY6:IB6"/>
    <mergeCell ref="IC6:IF6"/>
    <mergeCell ref="IG6:IJ6"/>
    <mergeCell ref="IK6:IN6"/>
    <mergeCell ref="IO6:IR6"/>
    <mergeCell ref="IS6:IV6"/>
    <mergeCell ref="IW6:IZ6"/>
    <mergeCell ref="JA6:JD6"/>
    <mergeCell ref="JE6:JH6"/>
    <mergeCell ref="E7:F7"/>
    <mergeCell ref="G7:H7"/>
    <mergeCell ref="I7:J7"/>
    <mergeCell ref="K7:L7"/>
    <mergeCell ref="N7:O7"/>
    <mergeCell ref="P7:Q7"/>
    <mergeCell ref="R7:S7"/>
    <mergeCell ref="T7:U7"/>
    <mergeCell ref="W7:X7"/>
    <mergeCell ref="Y7:Z7"/>
    <mergeCell ref="AA7:AB7"/>
    <mergeCell ref="AC7:AD7"/>
    <mergeCell ref="AF7:AG7"/>
    <mergeCell ref="AH7:AI7"/>
    <mergeCell ref="AJ7:AK7"/>
    <mergeCell ref="AL7:AM7"/>
    <mergeCell ref="AO7:AP7"/>
    <mergeCell ref="AQ7:AR7"/>
    <mergeCell ref="AS7:AT7"/>
    <mergeCell ref="AU7:AV7"/>
    <mergeCell ref="AX7:AY7"/>
    <mergeCell ref="AZ7:BA7"/>
    <mergeCell ref="BB7:BC7"/>
    <mergeCell ref="BD7:BE7"/>
    <mergeCell ref="BG7:BH7"/>
    <mergeCell ref="BI7:BJ7"/>
    <mergeCell ref="BK7:BL7"/>
    <mergeCell ref="BM7:BN7"/>
    <mergeCell ref="BP7:BQ7"/>
    <mergeCell ref="BR7:BS7"/>
    <mergeCell ref="BT7:BU7"/>
    <mergeCell ref="BV7:BW7"/>
    <mergeCell ref="BY7:BZ7"/>
    <mergeCell ref="CA7:CB7"/>
    <mergeCell ref="CC7:CD7"/>
    <mergeCell ref="CE7:CF7"/>
    <mergeCell ref="CH7:CI7"/>
    <mergeCell ref="CJ7:CK7"/>
    <mergeCell ref="CL7:CM7"/>
    <mergeCell ref="CN7:CO7"/>
    <mergeCell ref="CQ7:CR7"/>
    <mergeCell ref="CS7:CT7"/>
    <mergeCell ref="CU7:CV7"/>
    <mergeCell ref="CW7:CX7"/>
    <mergeCell ref="CZ7:DA7"/>
    <mergeCell ref="DB7:DC7"/>
    <mergeCell ref="DD7:DE7"/>
    <mergeCell ref="DF7:DG7"/>
    <mergeCell ref="DI7:DJ7"/>
    <mergeCell ref="DK7:DL7"/>
    <mergeCell ref="DM7:DN7"/>
    <mergeCell ref="DO7:DP7"/>
    <mergeCell ref="DR7:DS7"/>
    <mergeCell ref="DT7:DU7"/>
    <mergeCell ref="DV7:DW7"/>
    <mergeCell ref="DX7:DY7"/>
    <mergeCell ref="EA7:EB7"/>
    <mergeCell ref="EC7:ED7"/>
    <mergeCell ref="EE7:EF7"/>
    <mergeCell ref="EG7:EH7"/>
    <mergeCell ref="EJ7:EK7"/>
    <mergeCell ref="EL7:EM7"/>
    <mergeCell ref="EN7:EO7"/>
    <mergeCell ref="EP7:EQ7"/>
    <mergeCell ref="ES7:ET7"/>
    <mergeCell ref="EU7:EV7"/>
    <mergeCell ref="EW7:EX7"/>
    <mergeCell ref="EY7:EZ7"/>
    <mergeCell ref="FB7:FC7"/>
    <mergeCell ref="FD7:FE7"/>
    <mergeCell ref="FF7:FG7"/>
    <mergeCell ref="FH7:FI7"/>
    <mergeCell ref="FK7:FL7"/>
    <mergeCell ref="FM7:FN7"/>
    <mergeCell ref="FO7:FP7"/>
    <mergeCell ref="FQ7:FR7"/>
    <mergeCell ref="FT7:FU7"/>
    <mergeCell ref="FV7:FW7"/>
    <mergeCell ref="FX7:FY7"/>
    <mergeCell ref="FZ7:GA7"/>
    <mergeCell ref="LX7:LY7"/>
    <mergeCell ref="NO7:NP7"/>
    <mergeCell ref="B5:B8"/>
    <mergeCell ref="C5:C8"/>
    <mergeCell ref="D5:D8"/>
    <mergeCell ref="M7:M8"/>
    <mergeCell ref="V7:V8"/>
    <mergeCell ref="AE7:AE8"/>
    <mergeCell ref="AN7:AN8"/>
    <mergeCell ref="AW7:AW8"/>
    <mergeCell ref="BF7:BF8"/>
    <mergeCell ref="BO7:BO8"/>
    <mergeCell ref="BX7:BX8"/>
    <mergeCell ref="CG7:CG8"/>
    <mergeCell ref="CP7:CP8"/>
    <mergeCell ref="CY7:CY8"/>
    <mergeCell ref="DH7:DH8"/>
    <mergeCell ref="DQ7:DQ8"/>
    <mergeCell ref="DZ7:DZ8"/>
    <mergeCell ref="EI7:EI8"/>
    <mergeCell ref="ER7:ER8"/>
    <mergeCell ref="FA7:FA8"/>
    <mergeCell ref="FJ7:FJ8"/>
    <mergeCell ref="FS7:FS8"/>
    <mergeCell ref="GB7:GB8"/>
    <mergeCell ref="GC3:GC4"/>
    <mergeCell ref="GC5:GC8"/>
    <mergeCell ref="GD3:GD4"/>
    <mergeCell ref="GD5:GD8"/>
    <mergeCell ref="GE5:GE8"/>
    <mergeCell ref="GG7:GG8"/>
    <mergeCell ref="GH7:GH8"/>
    <mergeCell ref="GI7:GI8"/>
    <mergeCell ref="GJ7:GJ8"/>
    <mergeCell ref="GK7:GK8"/>
    <mergeCell ref="GL7:GL8"/>
    <mergeCell ref="GM7:GM8"/>
    <mergeCell ref="GN7:GN8"/>
    <mergeCell ref="GO7:GO8"/>
    <mergeCell ref="GP7:GP8"/>
    <mergeCell ref="GQ7:GQ8"/>
    <mergeCell ref="GR7:GR8"/>
    <mergeCell ref="GS7:GS8"/>
    <mergeCell ref="GT7:GT8"/>
    <mergeCell ref="GU7:GU8"/>
    <mergeCell ref="GV7:GV8"/>
    <mergeCell ref="GW7:GW8"/>
    <mergeCell ref="GX7:GX8"/>
    <mergeCell ref="GY7:GY8"/>
    <mergeCell ref="GZ7:GZ8"/>
    <mergeCell ref="HA7:HA8"/>
    <mergeCell ref="HB7:HB8"/>
    <mergeCell ref="HC7:HC8"/>
    <mergeCell ref="HD7:HD8"/>
    <mergeCell ref="HE7:HE8"/>
    <mergeCell ref="HF7:HF8"/>
    <mergeCell ref="HG7:HG8"/>
    <mergeCell ref="HH7:HH8"/>
    <mergeCell ref="HI7:HI8"/>
    <mergeCell ref="HJ7:HJ8"/>
    <mergeCell ref="HK7:HK8"/>
    <mergeCell ref="HL7:HL8"/>
    <mergeCell ref="HM7:HM8"/>
    <mergeCell ref="HN7:HN8"/>
    <mergeCell ref="HO7:HO8"/>
    <mergeCell ref="HP7:HP8"/>
    <mergeCell ref="HQ7:HQ8"/>
    <mergeCell ref="HR7:HR8"/>
    <mergeCell ref="HS7:HS8"/>
    <mergeCell ref="HT7:HT8"/>
    <mergeCell ref="HU7:HU8"/>
    <mergeCell ref="HV7:HV8"/>
    <mergeCell ref="HW7:HW8"/>
    <mergeCell ref="HX7:HX8"/>
    <mergeCell ref="HY7:HY8"/>
    <mergeCell ref="HZ7:HZ8"/>
    <mergeCell ref="IA7:IA8"/>
    <mergeCell ref="IB7:IB8"/>
    <mergeCell ref="IC7:IC8"/>
    <mergeCell ref="ID7:ID8"/>
    <mergeCell ref="IE7:IE8"/>
    <mergeCell ref="IF7:IF8"/>
    <mergeCell ref="IG7:IG8"/>
    <mergeCell ref="IH7:IH8"/>
    <mergeCell ref="II7:II8"/>
    <mergeCell ref="IJ7:IJ8"/>
    <mergeCell ref="IK7:IK8"/>
    <mergeCell ref="IL7:IL8"/>
    <mergeCell ref="IM7:IM8"/>
    <mergeCell ref="IN7:IN8"/>
    <mergeCell ref="IO7:IO8"/>
    <mergeCell ref="IP7:IP8"/>
    <mergeCell ref="IQ7:IQ8"/>
    <mergeCell ref="IR7:IR8"/>
    <mergeCell ref="IS7:IS8"/>
    <mergeCell ref="IT7:IT8"/>
    <mergeCell ref="IU7:IU8"/>
    <mergeCell ref="IV7:IV8"/>
    <mergeCell ref="IW7:IW8"/>
    <mergeCell ref="IX7:IX8"/>
    <mergeCell ref="IY7:IY8"/>
    <mergeCell ref="IZ7:IZ8"/>
    <mergeCell ref="JA7:JA8"/>
    <mergeCell ref="JB7:JB8"/>
    <mergeCell ref="JC7:JC8"/>
    <mergeCell ref="JD7:JD8"/>
    <mergeCell ref="JE7:JE8"/>
    <mergeCell ref="JF7:JF8"/>
    <mergeCell ref="JG7:JG8"/>
    <mergeCell ref="JH7:JH8"/>
    <mergeCell ref="B2:D4"/>
  </mergeCells>
  <conditionalFormatting sqref="M9:M58">
    <cfRule type="cellIs" dxfId="1" priority="46" operator="lessThan">
      <formula>$GD$3</formula>
    </cfRule>
    <cfRule type="cellIs" dxfId="5" priority="440" operator="equal">
      <formula>0</formula>
    </cfRule>
  </conditionalFormatting>
  <conditionalFormatting sqref="V9:V58">
    <cfRule type="cellIs" dxfId="5" priority="107" operator="equal">
      <formula>0</formula>
    </cfRule>
    <cfRule type="cellIs" dxfId="1" priority="44" operator="lessThan">
      <formula>$GD$3</formula>
    </cfRule>
    <cfRule type="cellIs" dxfId="5" priority="45" operator="equal">
      <formula>0</formula>
    </cfRule>
  </conditionalFormatting>
  <conditionalFormatting sqref="AE9:AE58">
    <cfRule type="cellIs" dxfId="5" priority="104" operator="equal">
      <formula>0</formula>
    </cfRule>
    <cfRule type="cellIs" dxfId="1" priority="42" operator="lessThan">
      <formula>$GD$3</formula>
    </cfRule>
    <cfRule type="cellIs" dxfId="5" priority="43" operator="equal">
      <formula>0</formula>
    </cfRule>
  </conditionalFormatting>
  <conditionalFormatting sqref="AN9:AN58">
    <cfRule type="cellIs" dxfId="5" priority="101" operator="equal">
      <formula>0</formula>
    </cfRule>
    <cfRule type="cellIs" dxfId="1" priority="40" operator="lessThan">
      <formula>$GD$3</formula>
    </cfRule>
    <cfRule type="cellIs" dxfId="5" priority="41" operator="equal">
      <formula>0</formula>
    </cfRule>
  </conditionalFormatting>
  <conditionalFormatting sqref="AW9:AW58">
    <cfRule type="cellIs" dxfId="5" priority="98" operator="equal">
      <formula>0</formula>
    </cfRule>
    <cfRule type="cellIs" dxfId="1" priority="38" operator="lessThan">
      <formula>$GD$3</formula>
    </cfRule>
    <cfRule type="cellIs" dxfId="5" priority="39" operator="equal">
      <formula>0</formula>
    </cfRule>
  </conditionalFormatting>
  <conditionalFormatting sqref="AW9:AW57">
    <cfRule type="cellIs" dxfId="5" priority="51" operator="equal">
      <formula>0</formula>
    </cfRule>
  </conditionalFormatting>
  <conditionalFormatting sqref="BF9:BF58">
    <cfRule type="cellIs" dxfId="5" priority="95" operator="equal">
      <formula>0</formula>
    </cfRule>
    <cfRule type="cellIs" dxfId="1" priority="36" operator="lessThan">
      <formula>$GD$3</formula>
    </cfRule>
    <cfRule type="cellIs" dxfId="5" priority="37" operator="equal">
      <formula>0</formula>
    </cfRule>
  </conditionalFormatting>
  <conditionalFormatting sqref="BO9:BO58">
    <cfRule type="cellIs" dxfId="5" priority="92" operator="equal">
      <formula>0</formula>
    </cfRule>
    <cfRule type="cellIs" dxfId="1" priority="34" operator="lessThan">
      <formula>$GD$3</formula>
    </cfRule>
    <cfRule type="cellIs" dxfId="5" priority="35" operator="equal">
      <formula>0</formula>
    </cfRule>
  </conditionalFormatting>
  <conditionalFormatting sqref="BO9:BO57">
    <cfRule type="cellIs" dxfId="5" priority="50" operator="equal">
      <formula>0</formula>
    </cfRule>
  </conditionalFormatting>
  <conditionalFormatting sqref="BX9:BX58">
    <cfRule type="cellIs" dxfId="5" priority="89" operator="equal">
      <formula>0</formula>
    </cfRule>
    <cfRule type="cellIs" dxfId="1" priority="32" operator="lessThan">
      <formula>$GD$3</formula>
    </cfRule>
    <cfRule type="cellIs" dxfId="5" priority="33" operator="equal">
      <formula>0</formula>
    </cfRule>
  </conditionalFormatting>
  <conditionalFormatting sqref="CG9:CG58">
    <cfRule type="cellIs" dxfId="5" priority="86" operator="equal">
      <formula>0</formula>
    </cfRule>
    <cfRule type="cellIs" dxfId="1" priority="30" operator="lessThan">
      <formula>$GD$3</formula>
    </cfRule>
    <cfRule type="cellIs" dxfId="5" priority="31" operator="equal">
      <formula>0</formula>
    </cfRule>
  </conditionalFormatting>
  <conditionalFormatting sqref="CG9:CG57">
    <cfRule type="cellIs" dxfId="5" priority="49" operator="equal">
      <formula>0</formula>
    </cfRule>
  </conditionalFormatting>
  <conditionalFormatting sqref="CP9:CP58">
    <cfRule type="cellIs" dxfId="5" priority="83" operator="equal">
      <formula>0</formula>
    </cfRule>
    <cfRule type="cellIs" dxfId="1" priority="28" operator="lessThan">
      <formula>$GD$3</formula>
    </cfRule>
    <cfRule type="cellIs" dxfId="5" priority="29" operator="equal">
      <formula>0</formula>
    </cfRule>
  </conditionalFormatting>
  <conditionalFormatting sqref="CY9:CY58">
    <cfRule type="cellIs" dxfId="5" priority="80" operator="equal">
      <formula>0</formula>
    </cfRule>
    <cfRule type="cellIs" dxfId="1" priority="26" operator="lessThan">
      <formula>$GD$3</formula>
    </cfRule>
    <cfRule type="cellIs" dxfId="5" priority="27" operator="equal">
      <formula>0</formula>
    </cfRule>
  </conditionalFormatting>
  <conditionalFormatting sqref="CY9:CY57">
    <cfRule type="cellIs" dxfId="5" priority="48" operator="equal">
      <formula>0</formula>
    </cfRule>
  </conditionalFormatting>
  <conditionalFormatting sqref="DH9:DH58">
    <cfRule type="cellIs" dxfId="5" priority="77" operator="equal">
      <formula>0</formula>
    </cfRule>
    <cfRule type="cellIs" dxfId="1" priority="24" operator="lessThan">
      <formula>$GD$3</formula>
    </cfRule>
    <cfRule type="cellIs" dxfId="5" priority="25" operator="equal">
      <formula>0</formula>
    </cfRule>
  </conditionalFormatting>
  <conditionalFormatting sqref="DQ9:DQ58">
    <cfRule type="cellIs" dxfId="5" priority="74" operator="equal">
      <formula>0</formula>
    </cfRule>
    <cfRule type="cellIs" dxfId="1" priority="22" operator="lessThan">
      <formula>$GD$3</formula>
    </cfRule>
    <cfRule type="cellIs" dxfId="5" priority="23" operator="equal">
      <formula>0</formula>
    </cfRule>
  </conditionalFormatting>
  <conditionalFormatting sqref="DQ9:DQ57">
    <cfRule type="cellIs" dxfId="5" priority="47" operator="equal">
      <formula>0</formula>
    </cfRule>
  </conditionalFormatting>
  <conditionalFormatting sqref="DZ9:DZ58">
    <cfRule type="cellIs" dxfId="5" priority="71" operator="equal">
      <formula>0</formula>
    </cfRule>
    <cfRule type="cellIs" dxfId="1" priority="20" operator="lessThan">
      <formula>$GD$3</formula>
    </cfRule>
    <cfRule type="cellIs" dxfId="5" priority="21" operator="equal">
      <formula>0</formula>
    </cfRule>
  </conditionalFormatting>
  <conditionalFormatting sqref="EI9:EI58">
    <cfRule type="cellIs" dxfId="5" priority="68" operator="equal">
      <formula>0</formula>
    </cfRule>
    <cfRule type="cellIs" dxfId="1" priority="18" operator="lessThan">
      <formula>$GD$3</formula>
    </cfRule>
    <cfRule type="cellIs" dxfId="5" priority="19" operator="equal">
      <formula>0</formula>
    </cfRule>
  </conditionalFormatting>
  <conditionalFormatting sqref="ER9:ER58">
    <cfRule type="cellIs" dxfId="5" priority="65" operator="equal">
      <formula>0</formula>
    </cfRule>
    <cfRule type="cellIs" dxfId="1" priority="16" operator="lessThan">
      <formula>$GD$3</formula>
    </cfRule>
    <cfRule type="cellIs" dxfId="5" priority="17" operator="equal">
      <formula>0</formula>
    </cfRule>
  </conditionalFormatting>
  <conditionalFormatting sqref="FA9:FA58">
    <cfRule type="cellIs" dxfId="5" priority="62" operator="equal">
      <formula>0</formula>
    </cfRule>
    <cfRule type="cellIs" dxfId="1" priority="14" operator="lessThan">
      <formula>$GD$3</formula>
    </cfRule>
    <cfRule type="cellIs" dxfId="5" priority="15" operator="equal">
      <formula>0</formula>
    </cfRule>
  </conditionalFormatting>
  <conditionalFormatting sqref="FJ9:FJ58">
    <cfRule type="cellIs" dxfId="5" priority="59" operator="equal">
      <formula>0</formula>
    </cfRule>
    <cfRule type="cellIs" dxfId="1" priority="12" operator="lessThan">
      <formula>$GD$3</formula>
    </cfRule>
    <cfRule type="cellIs" dxfId="5" priority="13" operator="equal">
      <formula>0</formula>
    </cfRule>
  </conditionalFormatting>
  <conditionalFormatting sqref="FS9:FS58">
    <cfRule type="cellIs" dxfId="5" priority="56" operator="equal">
      <formula>0</formula>
    </cfRule>
    <cfRule type="cellIs" dxfId="1" priority="10" operator="lessThan">
      <formula>$GD$3</formula>
    </cfRule>
    <cfRule type="cellIs" dxfId="5" priority="11" operator="equal">
      <formula>0</formula>
    </cfRule>
  </conditionalFormatting>
  <conditionalFormatting sqref="GB9:GB58">
    <cfRule type="containsBlanks" dxfId="4" priority="9">
      <formula>LEN(TRIM(GB9))=0</formula>
    </cfRule>
    <cfRule type="cellIs" dxfId="1" priority="7" operator="lessThan">
      <formula>$GD$3</formula>
    </cfRule>
    <cfRule type="cellIs" dxfId="5" priority="8" operator="equal">
      <formula>0</formula>
    </cfRule>
  </conditionalFormatting>
  <conditionalFormatting sqref="GC9:GC58">
    <cfRule type="containsBlanks" dxfId="4" priority="6">
      <formula>LEN(TRIM(GC9))=0</formula>
    </cfRule>
    <cfRule type="cellIs" dxfId="1" priority="4" operator="lessThan">
      <formula>$GD$3</formula>
    </cfRule>
    <cfRule type="cellIs" dxfId="5" priority="5" operator="equal">
      <formula>0</formula>
    </cfRule>
  </conditionalFormatting>
  <conditionalFormatting sqref="KE9:KE58">
    <cfRule type="containsBlanks" dxfId="4" priority="117">
      <formula>LEN(TRIM(KE9))=0</formula>
    </cfRule>
    <cfRule type="cellIs" dxfId="1" priority="116" operator="lessThan">
      <formula>#REF!</formula>
    </cfRule>
    <cfRule type="cellIs" dxfId="1" priority="118" operator="lessThan">
      <formula>#REF!</formula>
    </cfRule>
  </conditionalFormatting>
  <conditionalFormatting sqref="KH9:KH58">
    <cfRule type="containsBlanks" dxfId="4" priority="2">
      <formula>LEN(TRIM(KH9))=0</formula>
    </cfRule>
    <cfRule type="cellIs" dxfId="1" priority="1" operator="lessThan">
      <formula>#REF!</formula>
    </cfRule>
    <cfRule type="cellIs" dxfId="1" priority="3" operator="lessThan">
      <formula>#REF!</formula>
    </cfRule>
  </conditionalFormatting>
  <conditionalFormatting sqref="C9:D58">
    <cfRule type="cellIs" dxfId="2" priority="441" operator="equal">
      <formula>0</formula>
    </cfRule>
  </conditionalFormatting>
  <conditionalFormatting sqref="GG9:JD58;E9:FS58">
    <cfRule type="containsBlanks" dxfId="4" priority="457">
      <formula>LEN(TRIM(E9))=0</formula>
    </cfRule>
  </conditionalFormatting>
  <conditionalFormatting sqref="JE9:JH58;FT9:GA58;GD9:GE58">
    <cfRule type="containsBlanks" dxfId="4" priority="54">
      <formula>LEN(TRIM(FT9))=0</formula>
    </cfRule>
  </conditionalFormatting>
  <conditionalFormatting sqref="GD9:GE58">
    <cfRule type="cellIs" dxfId="5" priority="53" operator="equal">
      <formula>0</formula>
    </cfRule>
  </conditionalFormatting>
  <conditionalFormatting sqref="GG9:GJ58">
    <cfRule type="cellIs" dxfId="5" priority="112" operator="equal">
      <formula>0</formula>
    </cfRule>
  </conditionalFormatting>
  <conditionalFormatting sqref="GK9:GN58">
    <cfRule type="cellIs" dxfId="5" priority="106" operator="equal">
      <formula>0</formula>
    </cfRule>
  </conditionalFormatting>
  <conditionalFormatting sqref="GO9:GR58">
    <cfRule type="cellIs" dxfId="5" priority="103" operator="equal">
      <formula>0</formula>
    </cfRule>
  </conditionalFormatting>
  <conditionalFormatting sqref="GS9:GV58">
    <cfRule type="cellIs" dxfId="5" priority="100" operator="equal">
      <formula>0</formula>
    </cfRule>
  </conditionalFormatting>
  <conditionalFormatting sqref="GW9:GZ58">
    <cfRule type="cellIs" dxfId="5" priority="97" operator="equal">
      <formula>0</formula>
    </cfRule>
  </conditionalFormatting>
  <conditionalFormatting sqref="HA9:HD58">
    <cfRule type="cellIs" dxfId="5" priority="94" operator="equal">
      <formula>0</formula>
    </cfRule>
  </conditionalFormatting>
  <conditionalFormatting sqref="HE9:HH58">
    <cfRule type="cellIs" dxfId="5" priority="91" operator="equal">
      <formula>0</formula>
    </cfRule>
  </conditionalFormatting>
  <conditionalFormatting sqref="HI9:HL58">
    <cfRule type="cellIs" dxfId="5" priority="88" operator="equal">
      <formula>0</formula>
    </cfRule>
  </conditionalFormatting>
  <conditionalFormatting sqref="HM9:HP58">
    <cfRule type="cellIs" dxfId="5" priority="85" operator="equal">
      <formula>0</formula>
    </cfRule>
  </conditionalFormatting>
  <conditionalFormatting sqref="HQ9:HT58">
    <cfRule type="cellIs" dxfId="5" priority="82" operator="equal">
      <formula>0</formula>
    </cfRule>
  </conditionalFormatting>
  <conditionalFormatting sqref="HU9:HX58">
    <cfRule type="cellIs" dxfId="5" priority="79" operator="equal">
      <formula>0</formula>
    </cfRule>
  </conditionalFormatting>
  <conditionalFormatting sqref="HY9:IB58">
    <cfRule type="cellIs" dxfId="5" priority="76" operator="equal">
      <formula>0</formula>
    </cfRule>
  </conditionalFormatting>
  <conditionalFormatting sqref="IC9:IF58">
    <cfRule type="cellIs" dxfId="5" priority="73" operator="equal">
      <formula>0</formula>
    </cfRule>
  </conditionalFormatting>
  <conditionalFormatting sqref="IG9:IJ58">
    <cfRule type="cellIs" dxfId="5" priority="70" operator="equal">
      <formula>0</formula>
    </cfRule>
  </conditionalFormatting>
  <conditionalFormatting sqref="IK9:IN58">
    <cfRule type="cellIs" dxfId="5" priority="67" operator="equal">
      <formula>0</formula>
    </cfRule>
  </conditionalFormatting>
  <conditionalFormatting sqref="IO9:IR58">
    <cfRule type="cellIs" dxfId="5" priority="64" operator="equal">
      <formula>0</formula>
    </cfRule>
  </conditionalFormatting>
  <conditionalFormatting sqref="IS9:IV58">
    <cfRule type="cellIs" dxfId="5" priority="61" operator="equal">
      <formula>0</formula>
    </cfRule>
  </conditionalFormatting>
  <conditionalFormatting sqref="IW9:IZ58">
    <cfRule type="cellIs" dxfId="5" priority="58" operator="equal">
      <formula>0</formula>
    </cfRule>
  </conditionalFormatting>
  <conditionalFormatting sqref="JA9:JD58">
    <cfRule type="cellIs" dxfId="5" priority="55" operator="equal">
      <formula>0</formula>
    </cfRule>
  </conditionalFormatting>
  <conditionalFormatting sqref="JE9:JH58">
    <cfRule type="cellIs" dxfId="5" priority="52" operator="equal">
      <formula>0</formula>
    </cfRule>
  </conditionalFormatting>
  <dataValidations count="2">
    <dataValidation allowBlank="1" sqref="CZ59:DG66;FT59:GA66;CQ59:CX66;FK59:FR66;CH59:CO66;FB59:FI66;BY59:CF66;ES59:EZ66;BP59:BW66;EJ59:EQ66;BG59:BN66;EA59:EH66;AX59:BE66;DR59:DY66;AO59:AV66;DI59:DP66;GG59:JH66;E59:AM66"/>
    <dataValidation type="decimal" operator="between" allowBlank="1" showErrorMessage="1" errorTitle="Salah input!!" error="Hanya gunakan Rentang Nilai 0-100!!" sqref="CZ9:DG58;FT9:GA58;CQ9:CX58;FK9:FR58;CH9:CO58;FB9:FI58;BY9:CF58;ES9:EZ58;BP9:BW58;EJ9:EQ58;BG9:BN58;EA9:EH58;AX9:BE58;DR9:DY58;AO9:AV58;DI9:DP58;GG9:JH58;E9:AM58">
      <formula1>0</formula1>
      <formula2>100</formula2>
    </dataValidation>
  </dataValidations>
  <pageMargins left="0.21" right="0.236220472440945" top="0.89" bottom="0.511811023622047" header="0.31496062992126" footer="0.275590551181102"/>
  <pageSetup paperSize="768" scale="75" orientation="landscape"/>
  <headerFooter>
    <oddFooter>&amp;R&amp;P</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00B0F0"/>
  </sheetPr>
  <dimension ref="A1:P72"/>
  <sheetViews>
    <sheetView topLeftCell="A15" workbookViewId="0">
      <selection activeCell="D28" sqref="D28"/>
    </sheetView>
  </sheetViews>
  <sheetFormatPr defaultColWidth="0" defaultRowHeight="15.75" zeroHeight="1"/>
  <cols>
    <col min="1" max="1" width="5.125" style="15" customWidth="1"/>
    <col min="2" max="2" width="17.125" style="15" customWidth="1"/>
    <col min="3" max="3" width="10.25" style="15" customWidth="1"/>
    <col min="4" max="4" width="10.75" style="15" customWidth="1"/>
    <col min="5" max="5" width="8" style="16" customWidth="1"/>
    <col min="6" max="6" width="8" style="15" customWidth="1"/>
    <col min="7" max="7" width="8" style="17" customWidth="1"/>
    <col min="8" max="8" width="8" style="16" customWidth="1"/>
    <col min="9" max="9" width="8" style="15" customWidth="1"/>
    <col min="10" max="10" width="8" style="17" customWidth="1"/>
    <col min="11" max="11" width="36.875" style="18" customWidth="1"/>
    <col min="12" max="12" width="18.75" style="19" hidden="1" customWidth="1"/>
    <col min="13" max="13" width="8.25" style="15" hidden="1" customWidth="1"/>
    <col min="14" max="14" width="6" style="15" hidden="1" customWidth="1"/>
    <col min="15" max="15" width="7.25" style="15" hidden="1" customWidth="1"/>
    <col min="16" max="16" width="5.125" style="15" hidden="1" customWidth="1"/>
    <col min="17" max="17" width="18.75" style="19" hidden="1" customWidth="1"/>
    <col min="18" max="18" width="7.25" style="19" hidden="1" customWidth="1"/>
    <col min="19" max="19" width="5.125" style="19" hidden="1" customWidth="1"/>
    <col min="20" max="16384" width="18.75" style="19" hidden="1"/>
  </cols>
  <sheetData>
    <row r="1" ht="24" customHeight="1" spans="1:16">
      <c r="A1" s="85" t="s">
        <v>202</v>
      </c>
      <c r="B1" s="86"/>
      <c r="C1" s="86"/>
      <c r="D1" s="86"/>
      <c r="E1" s="86"/>
      <c r="F1" s="86"/>
      <c r="G1" s="86"/>
      <c r="H1" s="86"/>
      <c r="I1" s="86"/>
      <c r="J1" s="119"/>
      <c r="K1" s="120" t="s">
        <v>203</v>
      </c>
      <c r="L1" s="64"/>
      <c r="M1" s="65"/>
      <c r="N1" s="65"/>
      <c r="O1" s="65"/>
      <c r="P1" s="65"/>
    </row>
    <row r="2" ht="18.75" customHeight="1" spans="1:12">
      <c r="A2" s="87"/>
      <c r="B2" s="87" t="s">
        <v>204</v>
      </c>
      <c r="C2" s="88" t="str">
        <f>": "&amp;RefGuru!D15</f>
        <v>: VERI USDI, S.E</v>
      </c>
      <c r="D2" s="89"/>
      <c r="E2" s="89"/>
      <c r="F2" s="89"/>
      <c r="G2" s="90" t="s">
        <v>205</v>
      </c>
      <c r="H2" s="90"/>
      <c r="I2" s="90"/>
      <c r="J2" s="90"/>
      <c r="K2" s="120"/>
      <c r="L2" s="64"/>
    </row>
    <row r="3" ht="18.75" customHeight="1" spans="1:12">
      <c r="A3" s="91"/>
      <c r="B3" s="66" t="s">
        <v>9</v>
      </c>
      <c r="C3" s="92" t="str">
        <f>": "&amp;RefGuru!D13</f>
        <v>: 8C</v>
      </c>
      <c r="D3" s="92"/>
      <c r="E3" s="93"/>
      <c r="F3" s="93"/>
      <c r="G3" s="94" t="s">
        <v>206</v>
      </c>
      <c r="H3" s="95" t="s">
        <v>207</v>
      </c>
      <c r="I3" s="121" t="s">
        <v>208</v>
      </c>
      <c r="J3" s="121" t="s">
        <v>124</v>
      </c>
      <c r="K3" s="120"/>
      <c r="L3" s="64"/>
    </row>
    <row r="4" ht="18.75" customHeight="1" spans="1:12">
      <c r="A4" s="96"/>
      <c r="B4" s="66" t="s">
        <v>209</v>
      </c>
      <c r="C4" s="66" t="str">
        <f>": "&amp;RefGuru!D11</f>
        <v>: Prakarya</v>
      </c>
      <c r="D4" s="97"/>
      <c r="E4" s="93"/>
      <c r="F4" s="93"/>
      <c r="G4" s="94" t="s">
        <v>210</v>
      </c>
      <c r="H4" s="98">
        <v>0.7</v>
      </c>
      <c r="I4" s="98">
        <v>0.3</v>
      </c>
      <c r="J4" s="122">
        <f>SUM(H4:I4)</f>
        <v>1</v>
      </c>
      <c r="K4" s="120"/>
      <c r="L4" s="64"/>
    </row>
    <row r="5" ht="18.75" customHeight="1" spans="1:16">
      <c r="A5" s="34" t="s">
        <v>13</v>
      </c>
      <c r="B5" s="34" t="s">
        <v>140</v>
      </c>
      <c r="C5" s="34" t="s">
        <v>15</v>
      </c>
      <c r="D5" s="34" t="s">
        <v>16</v>
      </c>
      <c r="E5" s="99" t="s">
        <v>211</v>
      </c>
      <c r="F5" s="100"/>
      <c r="G5" s="100"/>
      <c r="H5" s="100"/>
      <c r="I5" s="99" t="s">
        <v>212</v>
      </c>
      <c r="J5" s="123"/>
      <c r="K5" s="120"/>
      <c r="L5" s="64"/>
      <c r="M5" s="35" t="s">
        <v>213</v>
      </c>
      <c r="N5" s="36"/>
      <c r="O5" s="36"/>
      <c r="P5" s="36"/>
    </row>
    <row r="6" ht="17.25" customHeight="1" spans="1:16">
      <c r="A6" s="39"/>
      <c r="B6" s="39"/>
      <c r="C6" s="39"/>
      <c r="D6" s="39"/>
      <c r="E6" s="101" t="s">
        <v>207</v>
      </c>
      <c r="F6" s="102" t="s">
        <v>208</v>
      </c>
      <c r="G6" s="102" t="s">
        <v>214</v>
      </c>
      <c r="H6" s="103" t="s">
        <v>193</v>
      </c>
      <c r="I6" s="124" t="s">
        <v>215</v>
      </c>
      <c r="J6" s="125" t="s">
        <v>193</v>
      </c>
      <c r="K6" s="126">
        <f>COUNTA(siswa!C5:C54)</f>
        <v>28</v>
      </c>
      <c r="L6" s="64"/>
      <c r="M6" s="45">
        <v>7</v>
      </c>
      <c r="N6" s="46">
        <v>8</v>
      </c>
      <c r="O6" s="45">
        <v>9</v>
      </c>
      <c r="P6" s="46">
        <v>10</v>
      </c>
    </row>
    <row r="7" ht="24.75" customHeight="1" spans="1:16">
      <c r="A7" s="104"/>
      <c r="B7" s="104"/>
      <c r="C7" s="104"/>
      <c r="D7" s="104"/>
      <c r="E7" s="105">
        <v>1</v>
      </c>
      <c r="F7" s="106">
        <v>2</v>
      </c>
      <c r="G7" s="107">
        <v>3</v>
      </c>
      <c r="H7" s="108">
        <v>4</v>
      </c>
      <c r="I7" s="106">
        <v>5</v>
      </c>
      <c r="J7" s="127">
        <v>6</v>
      </c>
      <c r="K7" s="126" t="s">
        <v>216</v>
      </c>
      <c r="L7" s="64"/>
      <c r="M7" s="75" t="e">
        <f>#REF!</f>
        <v>#REF!</v>
      </c>
      <c r="N7" s="75" t="e">
        <f>#REF!</f>
        <v>#REF!</v>
      </c>
      <c r="O7" s="75" t="e">
        <f>#REF!</f>
        <v>#REF!</v>
      </c>
      <c r="P7" s="75" t="e">
        <f>#REF!</f>
        <v>#REF!</v>
      </c>
    </row>
    <row r="8" ht="24.75" hidden="1" customHeight="1" spans="1:16">
      <c r="A8" s="109">
        <v>1</v>
      </c>
      <c r="B8" s="110" t="str">
        <f>RekapAkhirSemester!B8</f>
        <v>ADELIA SELVIA</v>
      </c>
      <c r="C8" s="111">
        <f>RekapAkhirSemester!C8</f>
        <v>2708</v>
      </c>
      <c r="D8" s="111" t="str">
        <f>RekapAkhirSemester!D8</f>
        <v>0076418581</v>
      </c>
      <c r="E8" s="112">
        <f>'KI3'!FI9</f>
        <v>90</v>
      </c>
      <c r="F8" s="112">
        <f>'KI3'!FJ9</f>
        <v>74</v>
      </c>
      <c r="G8" s="112">
        <f>IFERROR(IF(F8=0,E8,ROUND((E8*$H$4)+(F8*$I$4),0)),"")</f>
        <v>85</v>
      </c>
      <c r="H8" s="113" t="str">
        <f>IFERROR(IF(G8="","",IF(G8&gt;=KONVERSI!$A$5,KONVERSI!$D$5,IF(G8&gt;=KONVERSI!$A$6,KONVERSI!$D$6,IF(G8&gt;=KONVERSI!$A$7,KONVERSI!$D$7,KONVERSI!$D$8)))),"")</f>
        <v>B</v>
      </c>
      <c r="I8" s="112" t="str">
        <f>'KI4'!GC9</f>
        <v/>
      </c>
      <c r="J8" s="112" t="str">
        <f>'KI4'!GD9</f>
        <v/>
      </c>
      <c r="K8" s="76" t="s">
        <v>217</v>
      </c>
      <c r="L8" s="64"/>
      <c r="M8" s="75" t="e">
        <f>#REF!</f>
        <v>#REF!</v>
      </c>
      <c r="N8" s="75" t="e">
        <f>#REF!</f>
        <v>#REF!</v>
      </c>
      <c r="O8" s="75" t="e">
        <f>#REF!</f>
        <v>#REF!</v>
      </c>
      <c r="P8" s="75" t="e">
        <f>#REF!</f>
        <v>#REF!</v>
      </c>
    </row>
    <row r="9" ht="24.75" hidden="1" customHeight="1" spans="1:16">
      <c r="A9" s="48">
        <v>2</v>
      </c>
      <c r="B9" s="110" t="str">
        <f>RekapAkhirSemester!B9</f>
        <v>AMBRESIUS NERI ELYANTO LUBIS</v>
      </c>
      <c r="C9" s="111">
        <f>RekapAkhirSemester!C9</f>
        <v>2717</v>
      </c>
      <c r="D9" s="111" t="str">
        <f>RekapAkhirSemester!D9</f>
        <v>0078375102</v>
      </c>
      <c r="E9" s="112">
        <f>'KI3'!FI10</f>
        <v>82</v>
      </c>
      <c r="F9" s="112">
        <f>'KI3'!FJ10</f>
        <v>74</v>
      </c>
      <c r="G9" s="112">
        <f t="shared" ref="G9:G57" si="0">IFERROR(IF(F9=0,E9,ROUND((E9*$H$4)+(F9*$I$4),0)),"")</f>
        <v>80</v>
      </c>
      <c r="H9" s="113" t="str">
        <f>IFERROR(IF(G9="","",IF(G9&gt;=KONVERSI!$A$5,KONVERSI!$D$5,IF(G9&gt;=KONVERSI!$A$6,KONVERSI!$D$6,IF(G9&gt;=KONVERSI!$A$7,KONVERSI!$D$7,KONVERSI!$D$8)))),"")</f>
        <v>C</v>
      </c>
      <c r="I9" s="112" t="str">
        <f>'KI4'!GC10</f>
        <v/>
      </c>
      <c r="J9" s="112" t="str">
        <f>'KI4'!GD10</f>
        <v/>
      </c>
      <c r="K9" s="128" t="str">
        <f>RefGuru!D3</f>
        <v>SMP NEGERI 1 LANGGAM</v>
      </c>
      <c r="L9" s="64"/>
      <c r="M9" s="75" t="e">
        <f>#REF!</f>
        <v>#REF!</v>
      </c>
      <c r="N9" s="75" t="e">
        <f>#REF!</f>
        <v>#REF!</v>
      </c>
      <c r="O9" s="75" t="e">
        <f>#REF!</f>
        <v>#REF!</v>
      </c>
      <c r="P9" s="75" t="e">
        <f>#REF!</f>
        <v>#REF!</v>
      </c>
    </row>
    <row r="10" ht="24.75" hidden="1" customHeight="1" spans="1:16">
      <c r="A10" s="48">
        <v>3</v>
      </c>
      <c r="B10" s="110" t="str">
        <f>RekapAkhirSemester!B10</f>
        <v>AQELA FIRDAUSI AHLA</v>
      </c>
      <c r="C10" s="111">
        <f>RekapAkhirSemester!C10</f>
        <v>2724</v>
      </c>
      <c r="D10" s="111" t="str">
        <f>RekapAkhirSemester!D10</f>
        <v>0085224303</v>
      </c>
      <c r="E10" s="112">
        <f>'KI3'!FI11</f>
        <v>93</v>
      </c>
      <c r="F10" s="112">
        <f>'KI3'!FJ11</f>
        <v>84</v>
      </c>
      <c r="G10" s="112">
        <f t="shared" si="0"/>
        <v>90</v>
      </c>
      <c r="H10" s="113" t="str">
        <f>IFERROR(IF(G10="","",IF(G10&gt;=KONVERSI!$A$5,KONVERSI!$D$5,IF(G10&gt;=KONVERSI!$A$6,KONVERSI!$D$6,IF(G10&gt;=KONVERSI!$A$7,KONVERSI!$D$7,KONVERSI!$D$8)))),"")</f>
        <v>B</v>
      </c>
      <c r="I10" s="112">
        <f>'KI4'!GC11</f>
        <v>90</v>
      </c>
      <c r="J10" s="112" t="str">
        <f>'KI4'!GD11</f>
        <v>B</v>
      </c>
      <c r="K10" s="69" t="s">
        <v>218</v>
      </c>
      <c r="L10" s="64"/>
      <c r="M10" s="75" t="e">
        <f>#REF!</f>
        <v>#REF!</v>
      </c>
      <c r="N10" s="75" t="e">
        <f>#REF!</f>
        <v>#REF!</v>
      </c>
      <c r="O10" s="75" t="e">
        <f>#REF!</f>
        <v>#REF!</v>
      </c>
      <c r="P10" s="75" t="e">
        <f>#REF!</f>
        <v>#REF!</v>
      </c>
    </row>
    <row r="11" ht="24.75" hidden="1" customHeight="1" spans="1:16">
      <c r="A11" s="48">
        <v>4</v>
      </c>
      <c r="B11" s="110" t="str">
        <f>RekapAkhirSemester!B11</f>
        <v>DAVINA MOZHA HARIYANTO</v>
      </c>
      <c r="C11" s="111">
        <f>RekapAkhirSemester!C11</f>
        <v>2740</v>
      </c>
      <c r="D11" s="111" t="str">
        <f>RekapAkhirSemester!D11</f>
        <v>0078185439</v>
      </c>
      <c r="E11" s="112">
        <f>'KI3'!FI12</f>
        <v>93</v>
      </c>
      <c r="F11" s="112">
        <f>'KI3'!FJ12</f>
        <v>88</v>
      </c>
      <c r="G11" s="112">
        <f t="shared" si="0"/>
        <v>92</v>
      </c>
      <c r="H11" s="113" t="str">
        <f>IFERROR(IF(G11="","",IF(G11&gt;=KONVERSI!$A$5,KONVERSI!$D$5,IF(G11&gt;=KONVERSI!$A$6,KONVERSI!$D$6,IF(G11&gt;=KONVERSI!$A$7,KONVERSI!$D$7,KONVERSI!$D$8)))),"")</f>
        <v>A</v>
      </c>
      <c r="I11" s="112">
        <f>'KI4'!GC12</f>
        <v>88</v>
      </c>
      <c r="J11" s="112" t="str">
        <f>'KI4'!GD12</f>
        <v>B</v>
      </c>
      <c r="K11" s="69" t="s">
        <v>219</v>
      </c>
      <c r="L11" s="64"/>
      <c r="M11" s="75" t="e">
        <f>#REF!</f>
        <v>#REF!</v>
      </c>
      <c r="N11" s="75" t="e">
        <f>#REF!</f>
        <v>#REF!</v>
      </c>
      <c r="O11" s="75" t="e">
        <f>#REF!</f>
        <v>#REF!</v>
      </c>
      <c r="P11" s="75" t="e">
        <f>#REF!</f>
        <v>#REF!</v>
      </c>
    </row>
    <row r="12" ht="24.75" hidden="1" customHeight="1" spans="1:16">
      <c r="A12" s="48">
        <v>5</v>
      </c>
      <c r="B12" s="110" t="str">
        <f>RekapAkhirSemester!B12</f>
        <v>DEWI PUSPITA</v>
      </c>
      <c r="C12" s="111">
        <f>RekapAkhirSemester!C12</f>
        <v>2746</v>
      </c>
      <c r="D12" s="111" t="str">
        <f>RekapAkhirSemester!D12</f>
        <v>0085929261</v>
      </c>
      <c r="E12" s="112">
        <f>'KI3'!FI13</f>
        <v>95</v>
      </c>
      <c r="F12" s="112">
        <f>'KI3'!FJ13</f>
        <v>92</v>
      </c>
      <c r="G12" s="112">
        <f t="shared" si="0"/>
        <v>94</v>
      </c>
      <c r="H12" s="113" t="str">
        <f>IFERROR(IF(G12="","",IF(G12&gt;=KONVERSI!$A$5,KONVERSI!$D$5,IF(G12&gt;=KONVERSI!$A$6,KONVERSI!$D$6,IF(G12&gt;=KONVERSI!$A$7,KONVERSI!$D$7,KONVERSI!$D$8)))),"")</f>
        <v>A</v>
      </c>
      <c r="I12" s="112">
        <f>'KI4'!GC13</f>
        <v>98</v>
      </c>
      <c r="J12" s="112" t="str">
        <f>'KI4'!GD13</f>
        <v>A</v>
      </c>
      <c r="K12" s="69"/>
      <c r="L12" s="64"/>
      <c r="M12" s="75" t="e">
        <f>#REF!</f>
        <v>#REF!</v>
      </c>
      <c r="N12" s="75" t="e">
        <f>#REF!</f>
        <v>#REF!</v>
      </c>
      <c r="O12" s="75" t="e">
        <f>#REF!</f>
        <v>#REF!</v>
      </c>
      <c r="P12" s="75" t="e">
        <f>#REF!</f>
        <v>#REF!</v>
      </c>
    </row>
    <row r="13" ht="24.75" hidden="1" customHeight="1" spans="1:16">
      <c r="A13" s="48">
        <v>6</v>
      </c>
      <c r="B13" s="110" t="str">
        <f>RekapAkhirSemester!B13</f>
        <v>ENGGAR WIDI CAHYONO</v>
      </c>
      <c r="C13" s="111">
        <f>RekapAkhirSemester!C13</f>
        <v>2754</v>
      </c>
      <c r="D13" s="111" t="str">
        <f>RekapAkhirSemester!D13</f>
        <v>0088952958</v>
      </c>
      <c r="E13" s="112">
        <f>'KI3'!FI14</f>
        <v>84</v>
      </c>
      <c r="F13" s="112">
        <f>'KI3'!FJ14</f>
        <v>88</v>
      </c>
      <c r="G13" s="112">
        <f t="shared" si="0"/>
        <v>85</v>
      </c>
      <c r="H13" s="113" t="str">
        <f>IFERROR(IF(G13="","",IF(G13&gt;=KONVERSI!$A$5,KONVERSI!$D$5,IF(G13&gt;=KONVERSI!$A$6,KONVERSI!$D$6,IF(G13&gt;=KONVERSI!$A$7,KONVERSI!$D$7,KONVERSI!$D$8)))),"")</f>
        <v>B</v>
      </c>
      <c r="I13" s="112" t="str">
        <f>'KI4'!GC14</f>
        <v/>
      </c>
      <c r="J13" s="112" t="str">
        <f>'KI4'!GD14</f>
        <v/>
      </c>
      <c r="K13" s="69"/>
      <c r="L13" s="64"/>
      <c r="M13" s="75" t="e">
        <f>#REF!</f>
        <v>#REF!</v>
      </c>
      <c r="N13" s="75" t="e">
        <f>#REF!</f>
        <v>#REF!</v>
      </c>
      <c r="O13" s="75" t="e">
        <f>#REF!</f>
        <v>#REF!</v>
      </c>
      <c r="P13" s="75" t="e">
        <f>#REF!</f>
        <v>#REF!</v>
      </c>
    </row>
    <row r="14" ht="24.75" hidden="1" customHeight="1" spans="1:16">
      <c r="A14" s="48">
        <v>7</v>
      </c>
      <c r="B14" s="110" t="str">
        <f>RekapAkhirSemester!B14</f>
        <v>ESTER IMELDA MANURUNG</v>
      </c>
      <c r="C14" s="111">
        <f>RekapAkhirSemester!C14</f>
        <v>2755</v>
      </c>
      <c r="D14" s="111" t="str">
        <f>RekapAkhirSemester!D14</f>
        <v>0079387483</v>
      </c>
      <c r="E14" s="112">
        <f>'KI3'!FI15</f>
        <v>89</v>
      </c>
      <c r="F14" s="112">
        <f>'KI3'!FJ15</f>
        <v>84</v>
      </c>
      <c r="G14" s="112">
        <f t="shared" si="0"/>
        <v>88</v>
      </c>
      <c r="H14" s="113" t="str">
        <f>IFERROR(IF(G14="","",IF(G14&gt;=KONVERSI!$A$5,KONVERSI!$D$5,IF(G14&gt;=KONVERSI!$A$6,KONVERSI!$D$6,IF(G14&gt;=KONVERSI!$A$7,KONVERSI!$D$7,KONVERSI!$D$8)))),"")</f>
        <v>B</v>
      </c>
      <c r="I14" s="112">
        <f>'KI4'!GC15</f>
        <v>90</v>
      </c>
      <c r="J14" s="112" t="str">
        <f>'KI4'!GD15</f>
        <v>B</v>
      </c>
      <c r="K14" s="69"/>
      <c r="L14" s="64"/>
      <c r="M14" s="75" t="e">
        <f>#REF!</f>
        <v>#REF!</v>
      </c>
      <c r="N14" s="75" t="e">
        <f>#REF!</f>
        <v>#REF!</v>
      </c>
      <c r="O14" s="75" t="e">
        <f>#REF!</f>
        <v>#REF!</v>
      </c>
      <c r="P14" s="75" t="e">
        <f>#REF!</f>
        <v>#REF!</v>
      </c>
    </row>
    <row r="15" ht="24.75" hidden="1" customHeight="1" spans="1:16">
      <c r="A15" s="48">
        <v>8</v>
      </c>
      <c r="B15" s="110" t="str">
        <f>RekapAkhirSemester!B15</f>
        <v>EUIS AGUSTINA W</v>
      </c>
      <c r="C15" s="111">
        <f>RekapAkhirSemester!C15</f>
        <v>2756</v>
      </c>
      <c r="D15" s="111" t="str">
        <f>RekapAkhirSemester!D15</f>
        <v>0077800322</v>
      </c>
      <c r="E15" s="112">
        <f>'KI3'!FI16</f>
        <v>87</v>
      </c>
      <c r="F15" s="112">
        <f>'KI3'!FJ16</f>
        <v>84</v>
      </c>
      <c r="G15" s="112">
        <f t="shared" si="0"/>
        <v>86</v>
      </c>
      <c r="H15" s="113" t="str">
        <f>IFERROR(IF(G15="","",IF(G15&gt;=KONVERSI!$A$5,KONVERSI!$D$5,IF(G15&gt;=KONVERSI!$A$6,KONVERSI!$D$6,IF(G15&gt;=KONVERSI!$A$7,KONVERSI!$D$7,KONVERSI!$D$8)))),"")</f>
        <v>B</v>
      </c>
      <c r="I15" s="112">
        <f>'KI4'!GC16</f>
        <v>90</v>
      </c>
      <c r="J15" s="112" t="str">
        <f>'KI4'!GD16</f>
        <v>B</v>
      </c>
      <c r="K15" s="69"/>
      <c r="L15" s="64"/>
      <c r="M15" s="75" t="e">
        <f>#REF!</f>
        <v>#REF!</v>
      </c>
      <c r="N15" s="75" t="e">
        <f>#REF!</f>
        <v>#REF!</v>
      </c>
      <c r="O15" s="75" t="e">
        <f>#REF!</f>
        <v>#REF!</v>
      </c>
      <c r="P15" s="75" t="e">
        <f>#REF!</f>
        <v>#REF!</v>
      </c>
    </row>
    <row r="16" ht="24.75" hidden="1" customHeight="1" spans="1:16">
      <c r="A16" s="48">
        <v>9</v>
      </c>
      <c r="B16" s="110" t="str">
        <f>RekapAkhirSemester!B16</f>
        <v>FACHRI ANDHIKA PUTRA</v>
      </c>
      <c r="C16" s="111">
        <f>RekapAkhirSemester!C16</f>
        <v>2757</v>
      </c>
      <c r="D16" s="111" t="str">
        <f>RekapAkhirSemester!D16</f>
        <v>0075445372</v>
      </c>
      <c r="E16" s="112">
        <f>'KI3'!FI17</f>
        <v>89</v>
      </c>
      <c r="F16" s="112">
        <f>'KI3'!FJ17</f>
        <v>88</v>
      </c>
      <c r="G16" s="112">
        <f t="shared" si="0"/>
        <v>89</v>
      </c>
      <c r="H16" s="113" t="str">
        <f>IFERROR(IF(G16="","",IF(G16&gt;=KONVERSI!$A$5,KONVERSI!$D$5,IF(G16&gt;=KONVERSI!$A$6,KONVERSI!$D$6,IF(G16&gt;=KONVERSI!$A$7,KONVERSI!$D$7,KONVERSI!$D$8)))),"")</f>
        <v>B</v>
      </c>
      <c r="I16" s="112" t="str">
        <f>'KI4'!GC17</f>
        <v/>
      </c>
      <c r="J16" s="112" t="str">
        <f>'KI4'!GD17</f>
        <v/>
      </c>
      <c r="K16" s="69"/>
      <c r="L16" s="64"/>
      <c r="M16" s="75" t="e">
        <f>#REF!</f>
        <v>#REF!</v>
      </c>
      <c r="N16" s="75" t="e">
        <f>#REF!</f>
        <v>#REF!</v>
      </c>
      <c r="O16" s="75" t="e">
        <f>#REF!</f>
        <v>#REF!</v>
      </c>
      <c r="P16" s="75" t="e">
        <f>#REF!</f>
        <v>#REF!</v>
      </c>
    </row>
    <row r="17" ht="24.75" hidden="1" customHeight="1" spans="1:16">
      <c r="A17" s="48">
        <v>10</v>
      </c>
      <c r="B17" s="110" t="str">
        <f>RekapAkhirSemester!B17</f>
        <v>FAIZ ADLY</v>
      </c>
      <c r="C17" s="111">
        <f>RekapAkhirSemester!C17</f>
        <v>2759</v>
      </c>
      <c r="D17" s="111" t="str">
        <f>RekapAkhirSemester!D17</f>
        <v>0089824121</v>
      </c>
      <c r="E17" s="112">
        <f>'KI3'!FI18</f>
        <v>87</v>
      </c>
      <c r="F17" s="112">
        <f>'KI3'!FJ18</f>
        <v>74</v>
      </c>
      <c r="G17" s="112">
        <f t="shared" si="0"/>
        <v>83</v>
      </c>
      <c r="H17" s="113" t="str">
        <f>IFERROR(IF(G17="","",IF(G17&gt;=KONVERSI!$A$5,KONVERSI!$D$5,IF(G17&gt;=KONVERSI!$A$6,KONVERSI!$D$6,IF(G17&gt;=KONVERSI!$A$7,KONVERSI!$D$7,KONVERSI!$D$8)))),"")</f>
        <v>B</v>
      </c>
      <c r="I17" s="112" t="str">
        <f>'KI4'!GC18</f>
        <v/>
      </c>
      <c r="J17" s="112" t="str">
        <f>'KI4'!GD18</f>
        <v/>
      </c>
      <c r="K17" s="69"/>
      <c r="L17" s="64"/>
      <c r="M17" s="75" t="e">
        <f>#REF!</f>
        <v>#REF!</v>
      </c>
      <c r="N17" s="75" t="e">
        <f>#REF!</f>
        <v>#REF!</v>
      </c>
      <c r="O17" s="75" t="e">
        <f>#REF!</f>
        <v>#REF!</v>
      </c>
      <c r="P17" s="75" t="e">
        <f>#REF!</f>
        <v>#REF!</v>
      </c>
    </row>
    <row r="18" ht="24.75" hidden="1" customHeight="1" spans="1:16">
      <c r="A18" s="48">
        <v>11</v>
      </c>
      <c r="B18" s="110" t="str">
        <f>RekapAkhirSemester!B18</f>
        <v>GEBRIEL ALFARO VIQINZO SIAHAAN</v>
      </c>
      <c r="C18" s="111">
        <f>RekapAkhirSemester!C18</f>
        <v>2766</v>
      </c>
      <c r="D18" s="111" t="str">
        <f>RekapAkhirSemester!D18</f>
        <v>0086359853</v>
      </c>
      <c r="E18" s="112">
        <f>'KI3'!FI19</f>
        <v>85</v>
      </c>
      <c r="F18" s="112">
        <f>'KI3'!FJ19</f>
        <v>84</v>
      </c>
      <c r="G18" s="112">
        <f t="shared" si="0"/>
        <v>85</v>
      </c>
      <c r="H18" s="113" t="str">
        <f>IFERROR(IF(G18="","",IF(G18&gt;=KONVERSI!$A$5,KONVERSI!$D$5,IF(G18&gt;=KONVERSI!$A$6,KONVERSI!$D$6,IF(G18&gt;=KONVERSI!$A$7,KONVERSI!$D$7,KONVERSI!$D$8)))),"")</f>
        <v>B</v>
      </c>
      <c r="I18" s="112" t="str">
        <f>'KI4'!GC19</f>
        <v/>
      </c>
      <c r="J18" s="112" t="str">
        <f>'KI4'!GD19</f>
        <v/>
      </c>
      <c r="K18" s="69"/>
      <c r="L18" s="64"/>
      <c r="M18" s="75" t="e">
        <f>#REF!</f>
        <v>#REF!</v>
      </c>
      <c r="N18" s="75" t="e">
        <f>#REF!</f>
        <v>#REF!</v>
      </c>
      <c r="O18" s="75" t="e">
        <f>#REF!</f>
        <v>#REF!</v>
      </c>
      <c r="P18" s="75" t="e">
        <f>#REF!</f>
        <v>#REF!</v>
      </c>
    </row>
    <row r="19" ht="24.75" hidden="1" customHeight="1" spans="1:16">
      <c r="A19" s="48">
        <v>12</v>
      </c>
      <c r="B19" s="110" t="str">
        <f>RekapAkhirSemester!B19</f>
        <v>IQBAL RAMADHAN</v>
      </c>
      <c r="C19" s="111">
        <f>RekapAkhirSemester!C19</f>
        <v>2774</v>
      </c>
      <c r="D19" s="111" t="str">
        <f>RekapAkhirSemester!D19</f>
        <v>0072560925</v>
      </c>
      <c r="E19" s="112">
        <f>'KI3'!FI20</f>
        <v>78</v>
      </c>
      <c r="F19" s="112">
        <f>'KI3'!FJ20</f>
        <v>82</v>
      </c>
      <c r="G19" s="112">
        <f t="shared" si="0"/>
        <v>79</v>
      </c>
      <c r="H19" s="113" t="str">
        <f>IFERROR(IF(G19="","",IF(G19&gt;=KONVERSI!$A$5,KONVERSI!$D$5,IF(G19&gt;=KONVERSI!$A$6,KONVERSI!$D$6,IF(G19&gt;=KONVERSI!$A$7,KONVERSI!$D$7,KONVERSI!$D$8)))),"")</f>
        <v>C</v>
      </c>
      <c r="I19" s="112" t="str">
        <f>'KI4'!GC20</f>
        <v/>
      </c>
      <c r="J19" s="112" t="str">
        <f>'KI4'!GD20</f>
        <v/>
      </c>
      <c r="K19" s="69"/>
      <c r="L19" s="64"/>
      <c r="M19" s="75" t="e">
        <f>#REF!</f>
        <v>#REF!</v>
      </c>
      <c r="N19" s="75" t="e">
        <f>#REF!</f>
        <v>#REF!</v>
      </c>
      <c r="O19" s="75" t="e">
        <f>#REF!</f>
        <v>#REF!</v>
      </c>
      <c r="P19" s="75" t="e">
        <f>#REF!</f>
        <v>#REF!</v>
      </c>
    </row>
    <row r="20" ht="24.75" hidden="1" customHeight="1" spans="1:16">
      <c r="A20" s="48">
        <v>13</v>
      </c>
      <c r="B20" s="110" t="str">
        <f>RekapAkhirSemester!B20</f>
        <v>JHONATAN MARCEL TAMPUBOLON</v>
      </c>
      <c r="C20" s="111">
        <f>RekapAkhirSemester!C20</f>
        <v>2777</v>
      </c>
      <c r="D20" s="111" t="str">
        <f>RekapAkhirSemester!D20</f>
        <v>0081472736</v>
      </c>
      <c r="E20" s="112">
        <f>'KI3'!FI21</f>
        <v>83</v>
      </c>
      <c r="F20" s="112">
        <f>'KI3'!FJ21</f>
        <v>88</v>
      </c>
      <c r="G20" s="112">
        <f t="shared" si="0"/>
        <v>85</v>
      </c>
      <c r="H20" s="113" t="str">
        <f>IFERROR(IF(G20="","",IF(G20&gt;=KONVERSI!$A$5,KONVERSI!$D$5,IF(G20&gt;=KONVERSI!$A$6,KONVERSI!$D$6,IF(G20&gt;=KONVERSI!$A$7,KONVERSI!$D$7,KONVERSI!$D$8)))),"")</f>
        <v>B</v>
      </c>
      <c r="I20" s="112">
        <f>'KI4'!GC21</f>
        <v>84</v>
      </c>
      <c r="J20" s="112" t="str">
        <f>'KI4'!GD21</f>
        <v>B</v>
      </c>
      <c r="K20" s="69"/>
      <c r="L20" s="64"/>
      <c r="M20" s="75" t="e">
        <f>#REF!</f>
        <v>#REF!</v>
      </c>
      <c r="N20" s="75" t="e">
        <f>#REF!</f>
        <v>#REF!</v>
      </c>
      <c r="O20" s="75" t="e">
        <f>#REF!</f>
        <v>#REF!</v>
      </c>
      <c r="P20" s="75" t="e">
        <f>#REF!</f>
        <v>#REF!</v>
      </c>
    </row>
    <row r="21" ht="24.75" hidden="1" customHeight="1" spans="1:16">
      <c r="A21" s="48">
        <v>14</v>
      </c>
      <c r="B21" s="110" t="str">
        <f>RekapAkhirSemester!B21</f>
        <v>JULFAN HANDIKA TELAUMBANUA</v>
      </c>
      <c r="C21" s="111">
        <f>RekapAkhirSemester!C21</f>
        <v>2781</v>
      </c>
      <c r="D21" s="111" t="str">
        <f>RekapAkhirSemester!D21</f>
        <v>0072125800</v>
      </c>
      <c r="E21" s="112">
        <f>'KI3'!FI22</f>
        <v>82</v>
      </c>
      <c r="F21" s="112">
        <f>'KI3'!FJ22</f>
        <v>88</v>
      </c>
      <c r="G21" s="112">
        <f t="shared" si="0"/>
        <v>84</v>
      </c>
      <c r="H21" s="113" t="str">
        <f>IFERROR(IF(G21="","",IF(G21&gt;=KONVERSI!$A$5,KONVERSI!$D$5,IF(G21&gt;=KONVERSI!$A$6,KONVERSI!$D$6,IF(G21&gt;=KONVERSI!$A$7,KONVERSI!$D$7,KONVERSI!$D$8)))),"")</f>
        <v>B</v>
      </c>
      <c r="I21" s="112">
        <f>'KI4'!GC22</f>
        <v>86</v>
      </c>
      <c r="J21" s="112" t="str">
        <f>'KI4'!GD22</f>
        <v>B</v>
      </c>
      <c r="K21" s="69"/>
      <c r="L21" s="64"/>
      <c r="M21" s="75" t="e">
        <f>#REF!</f>
        <v>#REF!</v>
      </c>
      <c r="N21" s="75" t="e">
        <f>#REF!</f>
        <v>#REF!</v>
      </c>
      <c r="O21" s="75" t="e">
        <f>#REF!</f>
        <v>#REF!</v>
      </c>
      <c r="P21" s="75" t="e">
        <f>#REF!</f>
        <v>#REF!</v>
      </c>
    </row>
    <row r="22" ht="24.75" hidden="1" customHeight="1" spans="1:16">
      <c r="A22" s="48">
        <v>15</v>
      </c>
      <c r="B22" s="110" t="str">
        <f>RekapAkhirSemester!B22</f>
        <v>JULI ROSISKA</v>
      </c>
      <c r="C22" s="111">
        <f>RekapAkhirSemester!C22</f>
        <v>2782</v>
      </c>
      <c r="D22" s="111" t="str">
        <f>RekapAkhirSemester!D22</f>
        <v>0078843844</v>
      </c>
      <c r="E22" s="112">
        <f>'KI3'!FI23</f>
        <v>89</v>
      </c>
      <c r="F22" s="112">
        <f>'KI3'!FJ23</f>
        <v>74</v>
      </c>
      <c r="G22" s="112">
        <f t="shared" si="0"/>
        <v>85</v>
      </c>
      <c r="H22" s="113" t="str">
        <f>IFERROR(IF(G22="","",IF(G22&gt;=KONVERSI!$A$5,KONVERSI!$D$5,IF(G22&gt;=KONVERSI!$A$6,KONVERSI!$D$6,IF(G22&gt;=KONVERSI!$A$7,KONVERSI!$D$7,KONVERSI!$D$8)))),"")</f>
        <v>B</v>
      </c>
      <c r="I22" s="112">
        <f>'KI4'!GC23</f>
        <v>88</v>
      </c>
      <c r="J22" s="112" t="str">
        <f>'KI4'!GD23</f>
        <v>B</v>
      </c>
      <c r="K22" s="69"/>
      <c r="L22" s="64"/>
      <c r="M22" s="75" t="e">
        <f>#REF!</f>
        <v>#REF!</v>
      </c>
      <c r="N22" s="75" t="e">
        <f>#REF!</f>
        <v>#REF!</v>
      </c>
      <c r="O22" s="75" t="e">
        <f>#REF!</f>
        <v>#REF!</v>
      </c>
      <c r="P22" s="75" t="e">
        <f>#REF!</f>
        <v>#REF!</v>
      </c>
    </row>
    <row r="23" ht="24.75" hidden="1" customHeight="1" spans="1:16">
      <c r="A23" s="48">
        <v>16</v>
      </c>
      <c r="B23" s="110" t="str">
        <f>RekapAkhirSemester!B23</f>
        <v>MAWARNI ZAI</v>
      </c>
      <c r="C23" s="111">
        <f>RekapAkhirSemester!C23</f>
        <v>2795</v>
      </c>
      <c r="D23" s="111" t="str">
        <f>RekapAkhirSemester!D23</f>
        <v>0078932423</v>
      </c>
      <c r="E23" s="112">
        <f>'KI3'!FI24</f>
        <v>87</v>
      </c>
      <c r="F23" s="112">
        <f>'KI3'!FJ24</f>
        <v>74</v>
      </c>
      <c r="G23" s="112">
        <f t="shared" si="0"/>
        <v>83</v>
      </c>
      <c r="H23" s="113" t="str">
        <f>IFERROR(IF(G23="","",IF(G23&gt;=KONVERSI!$A$5,KONVERSI!$D$5,IF(G23&gt;=KONVERSI!$A$6,KONVERSI!$D$6,IF(G23&gt;=KONVERSI!$A$7,KONVERSI!$D$7,KONVERSI!$D$8)))),"")</f>
        <v>B</v>
      </c>
      <c r="I23" s="112">
        <f>'KI4'!GC24</f>
        <v>86</v>
      </c>
      <c r="J23" s="112" t="str">
        <f>'KI4'!GD24</f>
        <v>B</v>
      </c>
      <c r="K23" s="69"/>
      <c r="L23" s="64"/>
      <c r="M23" s="75" t="e">
        <f>#REF!</f>
        <v>#REF!</v>
      </c>
      <c r="N23" s="75" t="e">
        <f>#REF!</f>
        <v>#REF!</v>
      </c>
      <c r="O23" s="75" t="e">
        <f>#REF!</f>
        <v>#REF!</v>
      </c>
      <c r="P23" s="75" t="e">
        <f>#REF!</f>
        <v>#REF!</v>
      </c>
    </row>
    <row r="24" ht="24.75" hidden="1" customHeight="1" spans="1:16">
      <c r="A24" s="48">
        <v>17</v>
      </c>
      <c r="B24" s="110" t="str">
        <f>RekapAkhirSemester!B24</f>
        <v>MUHAMMAD JUNAIDI SAPUTRA</v>
      </c>
      <c r="C24" s="111">
        <f>RekapAkhirSemester!C24</f>
        <v>2804</v>
      </c>
      <c r="D24" s="111" t="str">
        <f>RekapAkhirSemester!D24</f>
        <v>0083680463</v>
      </c>
      <c r="E24" s="112">
        <f>'KI3'!FI25</f>
        <v>88</v>
      </c>
      <c r="F24" s="112">
        <f>'KI3'!FJ25</f>
        <v>88</v>
      </c>
      <c r="G24" s="112">
        <f t="shared" si="0"/>
        <v>88</v>
      </c>
      <c r="H24" s="113" t="str">
        <f>IFERROR(IF(G24="","",IF(G24&gt;=KONVERSI!$A$5,KONVERSI!$D$5,IF(G24&gt;=KONVERSI!$A$6,KONVERSI!$D$6,IF(G24&gt;=KONVERSI!$A$7,KONVERSI!$D$7,KONVERSI!$D$8)))),"")</f>
        <v>B</v>
      </c>
      <c r="I24" s="112" t="str">
        <f>'KI4'!GC25</f>
        <v/>
      </c>
      <c r="J24" s="112" t="str">
        <f>'KI4'!GD25</f>
        <v/>
      </c>
      <c r="K24" s="69"/>
      <c r="L24" s="64"/>
      <c r="M24" s="75" t="e">
        <f>#REF!</f>
        <v>#REF!</v>
      </c>
      <c r="N24" s="75" t="e">
        <f>#REF!</f>
        <v>#REF!</v>
      </c>
      <c r="O24" s="75" t="e">
        <f>#REF!</f>
        <v>#REF!</v>
      </c>
      <c r="P24" s="75" t="e">
        <f>#REF!</f>
        <v>#REF!</v>
      </c>
    </row>
    <row r="25" ht="24.75" hidden="1" customHeight="1" spans="1:16">
      <c r="A25" s="48">
        <v>18</v>
      </c>
      <c r="B25" s="110" t="str">
        <f>RekapAkhirSemester!B25</f>
        <v>MUHAMMAD SAHIT</v>
      </c>
      <c r="C25" s="111">
        <f>RekapAkhirSemester!C25</f>
        <v>2805</v>
      </c>
      <c r="D25" s="111" t="str">
        <f>RekapAkhirSemester!D25</f>
        <v>0072107516</v>
      </c>
      <c r="E25" s="112">
        <f>'KI3'!FI26</f>
        <v>76</v>
      </c>
      <c r="F25" s="112">
        <f>'KI3'!FJ26</f>
        <v>74</v>
      </c>
      <c r="G25" s="112">
        <f t="shared" si="0"/>
        <v>75</v>
      </c>
      <c r="H25" s="113" t="str">
        <f>IFERROR(IF(G25="","",IF(G25&gt;=KONVERSI!$A$5,KONVERSI!$D$5,IF(G25&gt;=KONVERSI!$A$6,KONVERSI!$D$6,IF(G25&gt;=KONVERSI!$A$7,KONVERSI!$D$7,KONVERSI!$D$8)))),"")</f>
        <v>C</v>
      </c>
      <c r="I25" s="112" t="str">
        <f>'KI4'!GC26</f>
        <v/>
      </c>
      <c r="J25" s="112" t="str">
        <f>'KI4'!GD26</f>
        <v/>
      </c>
      <c r="K25" s="69"/>
      <c r="L25" s="64"/>
      <c r="M25" s="75" t="e">
        <f>#REF!</f>
        <v>#REF!</v>
      </c>
      <c r="N25" s="75" t="e">
        <f>#REF!</f>
        <v>#REF!</v>
      </c>
      <c r="O25" s="75" t="e">
        <f>#REF!</f>
        <v>#REF!</v>
      </c>
      <c r="P25" s="75" t="e">
        <f>#REF!</f>
        <v>#REF!</v>
      </c>
    </row>
    <row r="26" ht="24.75" hidden="1" customHeight="1" spans="1:16">
      <c r="A26" s="48">
        <v>19</v>
      </c>
      <c r="B26" s="110" t="str">
        <f>RekapAkhirSemester!B26</f>
        <v>OLIVIA OCTAVIA PARHUSIP</v>
      </c>
      <c r="C26" s="111">
        <f>RekapAkhirSemester!C26</f>
        <v>2820</v>
      </c>
      <c r="D26" s="111" t="str">
        <f>RekapAkhirSemester!D26</f>
        <v>0085664996</v>
      </c>
      <c r="E26" s="112">
        <f>'KI3'!FI27</f>
        <v>87</v>
      </c>
      <c r="F26" s="112">
        <f>'KI3'!FJ27</f>
        <v>74</v>
      </c>
      <c r="G26" s="112">
        <f t="shared" si="0"/>
        <v>83</v>
      </c>
      <c r="H26" s="113" t="str">
        <f>IFERROR(IF(G26="","",IF(G26&gt;=KONVERSI!$A$5,KONVERSI!$D$5,IF(G26&gt;=KONVERSI!$A$6,KONVERSI!$D$6,IF(G26&gt;=KONVERSI!$A$7,KONVERSI!$D$7,KONVERSI!$D$8)))),"")</f>
        <v>B</v>
      </c>
      <c r="I26" s="112">
        <f>'KI4'!GC27</f>
        <v>88</v>
      </c>
      <c r="J26" s="112" t="str">
        <f>'KI4'!GD27</f>
        <v>B</v>
      </c>
      <c r="K26" s="69"/>
      <c r="L26" s="64"/>
      <c r="M26" s="75" t="e">
        <f>#REF!</f>
        <v>#REF!</v>
      </c>
      <c r="N26" s="75" t="e">
        <f>#REF!</f>
        <v>#REF!</v>
      </c>
      <c r="O26" s="75" t="e">
        <f>#REF!</f>
        <v>#REF!</v>
      </c>
      <c r="P26" s="75" t="e">
        <f>#REF!</f>
        <v>#REF!</v>
      </c>
    </row>
    <row r="27" ht="24.75" hidden="1" customHeight="1" spans="1:16">
      <c r="A27" s="48">
        <v>20</v>
      </c>
      <c r="B27" s="110" t="str">
        <f>RekapAkhirSemester!B27</f>
        <v>RICKY VELY SITANGGANG</v>
      </c>
      <c r="C27" s="111">
        <f>RekapAkhirSemester!C27</f>
        <v>2830</v>
      </c>
      <c r="D27" s="111" t="str">
        <f>RekapAkhirSemester!D27</f>
        <v>0081662285</v>
      </c>
      <c r="E27" s="112">
        <f>'KI3'!FI28</f>
        <v>86</v>
      </c>
      <c r="F27" s="112">
        <f>'KI3'!FJ28</f>
        <v>74</v>
      </c>
      <c r="G27" s="112">
        <f t="shared" si="0"/>
        <v>82</v>
      </c>
      <c r="H27" s="113" t="str">
        <f>IFERROR(IF(G27="","",IF(G27&gt;=KONVERSI!$A$5,KONVERSI!$D$5,IF(G27&gt;=KONVERSI!$A$6,KONVERSI!$D$6,IF(G27&gt;=KONVERSI!$A$7,KONVERSI!$D$7,KONVERSI!$D$8)))),"")</f>
        <v>C</v>
      </c>
      <c r="I27" s="112">
        <f>'KI4'!GC28</f>
        <v>84</v>
      </c>
      <c r="J27" s="112" t="str">
        <f>'KI4'!GD28</f>
        <v>B</v>
      </c>
      <c r="K27" s="69"/>
      <c r="L27" s="64"/>
      <c r="M27" s="75" t="e">
        <f>#REF!</f>
        <v>#REF!</v>
      </c>
      <c r="N27" s="75" t="e">
        <f>#REF!</f>
        <v>#REF!</v>
      </c>
      <c r="O27" s="75" t="e">
        <f>#REF!</f>
        <v>#REF!</v>
      </c>
      <c r="P27" s="75" t="e">
        <f>#REF!</f>
        <v>#REF!</v>
      </c>
    </row>
    <row r="28" ht="24.75" hidden="1" customHeight="1" spans="1:16">
      <c r="A28" s="48">
        <v>21</v>
      </c>
      <c r="B28" s="110" t="str">
        <f>RekapAkhirSemester!B28</f>
        <v>RISKI HARUN ARITONANG</v>
      </c>
      <c r="C28" s="111">
        <f>RekapAkhirSemester!C28</f>
        <v>2832</v>
      </c>
      <c r="D28" s="111" t="str">
        <f>RekapAkhirSemester!D28</f>
        <v>0079010307</v>
      </c>
      <c r="E28" s="112">
        <f>'KI3'!FI29</f>
        <v>84</v>
      </c>
      <c r="F28" s="112">
        <f>'KI3'!FJ29</f>
        <v>74</v>
      </c>
      <c r="G28" s="112">
        <f t="shared" si="0"/>
        <v>81</v>
      </c>
      <c r="H28" s="113" t="str">
        <f>IFERROR(IF(G28="","",IF(G28&gt;=KONVERSI!$A$5,KONVERSI!$D$5,IF(G28&gt;=KONVERSI!$A$6,KONVERSI!$D$6,IF(G28&gt;=KONVERSI!$A$7,KONVERSI!$D$7,KONVERSI!$D$8)))),"")</f>
        <v>C</v>
      </c>
      <c r="I28" s="112" t="str">
        <f>'KI4'!GC29</f>
        <v/>
      </c>
      <c r="J28" s="112" t="str">
        <f>'KI4'!GD29</f>
        <v/>
      </c>
      <c r="K28" s="69"/>
      <c r="L28" s="64"/>
      <c r="M28" s="75" t="e">
        <f>#REF!</f>
        <v>#REF!</v>
      </c>
      <c r="N28" s="75" t="e">
        <f>#REF!</f>
        <v>#REF!</v>
      </c>
      <c r="O28" s="75" t="e">
        <f>#REF!</f>
        <v>#REF!</v>
      </c>
      <c r="P28" s="75" t="e">
        <f>#REF!</f>
        <v>#REF!</v>
      </c>
    </row>
    <row r="29" ht="24.75" hidden="1" customHeight="1" spans="1:16">
      <c r="A29" s="48">
        <v>22</v>
      </c>
      <c r="B29" s="110" t="str">
        <f>RekapAkhirSemester!B29</f>
        <v>RIZAL AFRIANDI HUTAGAOL</v>
      </c>
      <c r="C29" s="111">
        <f>RekapAkhirSemester!C29</f>
        <v>2834</v>
      </c>
      <c r="D29" s="111" t="str">
        <f>RekapAkhirSemester!D29</f>
        <v>0079205396</v>
      </c>
      <c r="E29" s="112">
        <f>'KI3'!FI30</f>
        <v>86</v>
      </c>
      <c r="F29" s="112">
        <f>'KI3'!FJ30</f>
        <v>74</v>
      </c>
      <c r="G29" s="112">
        <f t="shared" si="0"/>
        <v>82</v>
      </c>
      <c r="H29" s="113" t="str">
        <f>IFERROR(IF(G29="","",IF(G29&gt;=KONVERSI!$A$5,KONVERSI!$D$5,IF(G29&gt;=KONVERSI!$A$6,KONVERSI!$D$6,IF(G29&gt;=KONVERSI!$A$7,KONVERSI!$D$7,KONVERSI!$D$8)))),"")</f>
        <v>C</v>
      </c>
      <c r="I29" s="112">
        <f>'KI4'!GC30</f>
        <v>94</v>
      </c>
      <c r="J29" s="112" t="str">
        <f>'KI4'!GD30</f>
        <v>A</v>
      </c>
      <c r="K29" s="69"/>
      <c r="L29" s="64"/>
      <c r="M29" s="75" t="e">
        <f>#REF!</f>
        <v>#REF!</v>
      </c>
      <c r="N29" s="75" t="e">
        <f>#REF!</f>
        <v>#REF!</v>
      </c>
      <c r="O29" s="75" t="e">
        <f>#REF!</f>
        <v>#REF!</v>
      </c>
      <c r="P29" s="75" t="e">
        <f>#REF!</f>
        <v>#REF!</v>
      </c>
    </row>
    <row r="30" ht="24.75" hidden="1" customHeight="1" spans="1:16">
      <c r="A30" s="48">
        <v>23</v>
      </c>
      <c r="B30" s="110" t="str">
        <f>RekapAkhirSemester!B30</f>
        <v>T. SYARIFAH RAISYA KHAIRANI</v>
      </c>
      <c r="C30" s="111">
        <f>RekapAkhirSemester!C30</f>
        <v>2847</v>
      </c>
      <c r="D30" s="111" t="str">
        <f>RekapAkhirSemester!D30</f>
        <v>0089443712</v>
      </c>
      <c r="E30" s="112">
        <f>'KI3'!FI31</f>
        <v>91</v>
      </c>
      <c r="F30" s="112">
        <f>'KI3'!FJ31</f>
        <v>84</v>
      </c>
      <c r="G30" s="112">
        <f t="shared" si="0"/>
        <v>89</v>
      </c>
      <c r="H30" s="113" t="str">
        <f>IFERROR(IF(G30="","",IF(G30&gt;=KONVERSI!$A$5,KONVERSI!$D$5,IF(G30&gt;=KONVERSI!$A$6,KONVERSI!$D$6,IF(G30&gt;=KONVERSI!$A$7,KONVERSI!$D$7,KONVERSI!$D$8)))),"")</f>
        <v>B</v>
      </c>
      <c r="I30" s="112">
        <f>'KI4'!GC31</f>
        <v>98</v>
      </c>
      <c r="J30" s="112" t="str">
        <f>'KI4'!GD31</f>
        <v>A</v>
      </c>
      <c r="K30" s="69"/>
      <c r="L30" s="64"/>
      <c r="M30" s="75" t="e">
        <f>#REF!</f>
        <v>#REF!</v>
      </c>
      <c r="N30" s="75" t="e">
        <f>#REF!</f>
        <v>#REF!</v>
      </c>
      <c r="O30" s="75" t="e">
        <f>#REF!</f>
        <v>#REF!</v>
      </c>
      <c r="P30" s="75" t="e">
        <f>#REF!</f>
        <v>#REF!</v>
      </c>
    </row>
    <row r="31" ht="24.75" hidden="1" customHeight="1" spans="1:16">
      <c r="A31" s="48">
        <v>24</v>
      </c>
      <c r="B31" s="110" t="str">
        <f>RekapAkhirSemester!B31</f>
        <v>TAGON BOAS BARUARA</v>
      </c>
      <c r="C31" s="111">
        <f>RekapAkhirSemester!C31</f>
        <v>2848</v>
      </c>
      <c r="D31" s="111" t="str">
        <f>RekapAkhirSemester!D31</f>
        <v>0088075987</v>
      </c>
      <c r="E31" s="112">
        <f>'KI3'!FI32</f>
        <v>90</v>
      </c>
      <c r="F31" s="112">
        <f>'KI3'!FJ32</f>
        <v>90</v>
      </c>
      <c r="G31" s="112">
        <f t="shared" si="0"/>
        <v>90</v>
      </c>
      <c r="H31" s="113" t="str">
        <f>IFERROR(IF(G31="","",IF(G31&gt;=KONVERSI!$A$5,KONVERSI!$D$5,IF(G31&gt;=KONVERSI!$A$6,KONVERSI!$D$6,IF(G31&gt;=KONVERSI!$A$7,KONVERSI!$D$7,KONVERSI!$D$8)))),"")</f>
        <v>B</v>
      </c>
      <c r="I31" s="112">
        <f>'KI4'!GC32</f>
        <v>88</v>
      </c>
      <c r="J31" s="112" t="str">
        <f>'KI4'!GD32</f>
        <v>B</v>
      </c>
      <c r="K31" s="69"/>
      <c r="L31" s="64"/>
      <c r="M31" s="75" t="e">
        <f>#REF!</f>
        <v>#REF!</v>
      </c>
      <c r="N31" s="75" t="e">
        <f>#REF!</f>
        <v>#REF!</v>
      </c>
      <c r="O31" s="75" t="e">
        <f>#REF!</f>
        <v>#REF!</v>
      </c>
      <c r="P31" s="75" t="e">
        <f>#REF!</f>
        <v>#REF!</v>
      </c>
    </row>
    <row r="32" ht="24.75" hidden="1" customHeight="1" spans="1:16">
      <c r="A32" s="48">
        <v>25</v>
      </c>
      <c r="B32" s="110" t="str">
        <f>RekapAkhirSemester!B32</f>
        <v>TRIAS RAMADAN PASARIBU</v>
      </c>
      <c r="C32" s="111">
        <f>RekapAkhirSemester!C32</f>
        <v>2854</v>
      </c>
      <c r="D32" s="111" t="str">
        <f>RekapAkhirSemester!D32</f>
        <v>0073859790</v>
      </c>
      <c r="E32" s="112">
        <f>'KI3'!FI33</f>
        <v>77</v>
      </c>
      <c r="F32" s="112">
        <f>'KI3'!FJ33</f>
        <v>74</v>
      </c>
      <c r="G32" s="112">
        <f t="shared" si="0"/>
        <v>76</v>
      </c>
      <c r="H32" s="113" t="str">
        <f>IFERROR(IF(G32="","",IF(G32&gt;=KONVERSI!$A$5,KONVERSI!$D$5,IF(G32&gt;=KONVERSI!$A$6,KONVERSI!$D$6,IF(G32&gt;=KONVERSI!$A$7,KONVERSI!$D$7,KONVERSI!$D$8)))),"")</f>
        <v>C</v>
      </c>
      <c r="I32" s="112" t="str">
        <f>'KI4'!GC33</f>
        <v/>
      </c>
      <c r="J32" s="112" t="str">
        <f>'KI4'!GD33</f>
        <v/>
      </c>
      <c r="K32" s="69"/>
      <c r="L32" s="64"/>
      <c r="M32" s="75" t="e">
        <f>#REF!</f>
        <v>#REF!</v>
      </c>
      <c r="N32" s="75" t="e">
        <f>#REF!</f>
        <v>#REF!</v>
      </c>
      <c r="O32" s="75" t="e">
        <f>#REF!</f>
        <v>#REF!</v>
      </c>
      <c r="P32" s="75" t="e">
        <f>#REF!</f>
        <v>#REF!</v>
      </c>
    </row>
    <row r="33" ht="24.75" hidden="1" customHeight="1" spans="1:16">
      <c r="A33" s="48">
        <v>26</v>
      </c>
      <c r="B33" s="110" t="str">
        <f>RekapAkhirSemester!B33</f>
        <v>TUAHMAN</v>
      </c>
      <c r="C33" s="111">
        <f>RekapAkhirSemester!C33</f>
        <v>2856</v>
      </c>
      <c r="D33" s="111" t="str">
        <f>RekapAkhirSemester!D33</f>
        <v>0074996561</v>
      </c>
      <c r="E33" s="112">
        <f>'KI3'!FI34</f>
        <v>44</v>
      </c>
      <c r="F33" s="112" t="str">
        <f>'KI3'!FJ34</f>
        <v/>
      </c>
      <c r="G33" s="112" t="str">
        <f t="shared" si="0"/>
        <v/>
      </c>
      <c r="H33" s="113" t="str">
        <f>IFERROR(IF(G33="","",IF(G33&gt;=KONVERSI!$A$5,KONVERSI!$D$5,IF(G33&gt;=KONVERSI!$A$6,KONVERSI!$D$6,IF(G33&gt;=KONVERSI!$A$7,KONVERSI!$D$7,KONVERSI!$D$8)))),"")</f>
        <v/>
      </c>
      <c r="I33" s="112" t="str">
        <f>'KI4'!GC34</f>
        <v/>
      </c>
      <c r="J33" s="112" t="str">
        <f>'KI4'!GD34</f>
        <v/>
      </c>
      <c r="K33" s="69"/>
      <c r="L33" s="64"/>
      <c r="M33" s="75" t="e">
        <f>#REF!</f>
        <v>#REF!</v>
      </c>
      <c r="N33" s="75" t="e">
        <f>#REF!</f>
        <v>#REF!</v>
      </c>
      <c r="O33" s="75" t="e">
        <f>#REF!</f>
        <v>#REF!</v>
      </c>
      <c r="P33" s="75" t="e">
        <f>#REF!</f>
        <v>#REF!</v>
      </c>
    </row>
    <row r="34" ht="24.75" hidden="1" customHeight="1" spans="1:16">
      <c r="A34" s="48">
        <v>27</v>
      </c>
      <c r="B34" s="110" t="str">
        <f>RekapAkhirSemester!B34</f>
        <v>VHARIL SUHAIB SIMBOLON</v>
      </c>
      <c r="C34" s="111">
        <f>RekapAkhirSemester!C34</f>
        <v>2858</v>
      </c>
      <c r="D34" s="111" t="str">
        <f>RekapAkhirSemester!D34</f>
        <v>0085321326</v>
      </c>
      <c r="E34" s="112">
        <f>'KI3'!FI35</f>
        <v>81</v>
      </c>
      <c r="F34" s="112">
        <f>'KI3'!FJ35</f>
        <v>84</v>
      </c>
      <c r="G34" s="112">
        <f t="shared" si="0"/>
        <v>82</v>
      </c>
      <c r="H34" s="113" t="str">
        <f>IFERROR(IF(G34="","",IF(G34&gt;=KONVERSI!$A$5,KONVERSI!$D$5,IF(G34&gt;=KONVERSI!$A$6,KONVERSI!$D$6,IF(G34&gt;=KONVERSI!$A$7,KONVERSI!$D$7,KONVERSI!$D$8)))),"")</f>
        <v>C</v>
      </c>
      <c r="I34" s="112" t="str">
        <f>'KI4'!GC35</f>
        <v/>
      </c>
      <c r="J34" s="112" t="str">
        <f>'KI4'!GD35</f>
        <v/>
      </c>
      <c r="K34" s="69"/>
      <c r="L34" s="64"/>
      <c r="M34" s="75" t="e">
        <f>#REF!</f>
        <v>#REF!</v>
      </c>
      <c r="N34" s="75" t="e">
        <f>#REF!</f>
        <v>#REF!</v>
      </c>
      <c r="O34" s="75" t="e">
        <f>#REF!</f>
        <v>#REF!</v>
      </c>
      <c r="P34" s="75" t="e">
        <f>#REF!</f>
        <v>#REF!</v>
      </c>
    </row>
    <row r="35" ht="24.75" hidden="1" customHeight="1" spans="1:16">
      <c r="A35" s="48">
        <v>28</v>
      </c>
      <c r="B35" s="110" t="str">
        <f>RekapAkhirSemester!B35</f>
        <v>SISKA DIANA PUTRI</v>
      </c>
      <c r="C35" s="111">
        <f>RekapAkhirSemester!C35</f>
        <v>2871</v>
      </c>
      <c r="D35" s="111" t="str">
        <f>RekapAkhirSemester!D35</f>
        <v>0087659070</v>
      </c>
      <c r="E35" s="112">
        <f>'KI3'!FI36</f>
        <v>88</v>
      </c>
      <c r="F35" s="112">
        <f>'KI3'!FJ36</f>
        <v>84</v>
      </c>
      <c r="G35" s="112">
        <f t="shared" si="0"/>
        <v>87</v>
      </c>
      <c r="H35" s="113" t="str">
        <f>IFERROR(IF(G35="","",IF(G35&gt;=KONVERSI!$A$5,KONVERSI!$D$5,IF(G35&gt;=KONVERSI!$A$6,KONVERSI!$D$6,IF(G35&gt;=KONVERSI!$A$7,KONVERSI!$D$7,KONVERSI!$D$8)))),"")</f>
        <v>B</v>
      </c>
      <c r="I35" s="112">
        <f>'KI4'!GC36</f>
        <v>86</v>
      </c>
      <c r="J35" s="112" t="str">
        <f>'KI4'!GD36</f>
        <v>B</v>
      </c>
      <c r="K35" s="69"/>
      <c r="L35" s="64"/>
      <c r="M35" s="75" t="e">
        <f>#REF!</f>
        <v>#REF!</v>
      </c>
      <c r="N35" s="75" t="e">
        <f>#REF!</f>
        <v>#REF!</v>
      </c>
      <c r="O35" s="75" t="e">
        <f>#REF!</f>
        <v>#REF!</v>
      </c>
      <c r="P35" s="75" t="e">
        <f>#REF!</f>
        <v>#REF!</v>
      </c>
    </row>
    <row r="36" ht="24.75" hidden="1" customHeight="1" spans="1:16">
      <c r="A36" s="48">
        <v>29</v>
      </c>
      <c r="B36" s="110">
        <f>RekapAkhirSemester!B36</f>
        <v>0</v>
      </c>
      <c r="C36" s="111">
        <f>RekapAkhirSemester!C36</f>
        <v>0</v>
      </c>
      <c r="D36" s="111">
        <f>RekapAkhirSemester!D36</f>
        <v>0</v>
      </c>
      <c r="E36" s="112" t="str">
        <f>'KI3'!FI37</f>
        <v/>
      </c>
      <c r="F36" s="112">
        <f>'KI3'!FJ37</f>
        <v>0</v>
      </c>
      <c r="G36" s="112" t="str">
        <f t="shared" si="0"/>
        <v/>
      </c>
      <c r="H36" s="113" t="str">
        <f>IFERROR(IF(G36="","",IF(G36&gt;=KONVERSI!$A$5,KONVERSI!$D$5,IF(G36&gt;=KONVERSI!$A$6,KONVERSI!$D$6,IF(G36&gt;=KONVERSI!$A$7,KONVERSI!$D$7,KONVERSI!$D$8)))),"")</f>
        <v/>
      </c>
      <c r="I36" s="112" t="str">
        <f>'KI4'!GC37</f>
        <v/>
      </c>
      <c r="J36" s="112" t="str">
        <f>'KI4'!GD37</f>
        <v/>
      </c>
      <c r="K36" s="69"/>
      <c r="L36" s="64"/>
      <c r="M36" s="75" t="e">
        <f>#REF!</f>
        <v>#REF!</v>
      </c>
      <c r="N36" s="75" t="e">
        <f>#REF!</f>
        <v>#REF!</v>
      </c>
      <c r="O36" s="75" t="e">
        <f>#REF!</f>
        <v>#REF!</v>
      </c>
      <c r="P36" s="75" t="e">
        <f>#REF!</f>
        <v>#REF!</v>
      </c>
    </row>
    <row r="37" ht="24.75" hidden="1" customHeight="1" spans="1:16">
      <c r="A37" s="48">
        <v>30</v>
      </c>
      <c r="B37" s="110">
        <f>RekapAkhirSemester!B37</f>
        <v>0</v>
      </c>
      <c r="C37" s="111">
        <f>RekapAkhirSemester!C37</f>
        <v>0</v>
      </c>
      <c r="D37" s="111">
        <f>RekapAkhirSemester!D37</f>
        <v>0</v>
      </c>
      <c r="E37" s="112" t="str">
        <f>'KI3'!FI38</f>
        <v/>
      </c>
      <c r="F37" s="112">
        <f>'KI3'!FJ38</f>
        <v>0</v>
      </c>
      <c r="G37" s="112" t="str">
        <f t="shared" si="0"/>
        <v/>
      </c>
      <c r="H37" s="113" t="str">
        <f>IFERROR(IF(G37="","",IF(G37&gt;=KONVERSI!$A$5,KONVERSI!$D$5,IF(G37&gt;=KONVERSI!$A$6,KONVERSI!$D$6,IF(G37&gt;=KONVERSI!$A$7,KONVERSI!$D$7,KONVERSI!$D$8)))),"")</f>
        <v/>
      </c>
      <c r="I37" s="112" t="str">
        <f>'KI4'!GC38</f>
        <v/>
      </c>
      <c r="J37" s="112" t="str">
        <f>'KI4'!GD38</f>
        <v/>
      </c>
      <c r="K37" s="69"/>
      <c r="L37" s="64"/>
      <c r="M37" s="75" t="e">
        <f>#REF!</f>
        <v>#REF!</v>
      </c>
      <c r="N37" s="75" t="e">
        <f>#REF!</f>
        <v>#REF!</v>
      </c>
      <c r="O37" s="75" t="e">
        <f>#REF!</f>
        <v>#REF!</v>
      </c>
      <c r="P37" s="75" t="e">
        <f>#REF!</f>
        <v>#REF!</v>
      </c>
    </row>
    <row r="38" ht="24.75" hidden="1" customHeight="1" spans="1:16">
      <c r="A38" s="48">
        <v>31</v>
      </c>
      <c r="B38" s="110">
        <f>RekapAkhirSemester!B38</f>
        <v>0</v>
      </c>
      <c r="C38" s="111">
        <f>RekapAkhirSemester!C38</f>
        <v>0</v>
      </c>
      <c r="D38" s="111">
        <f>RekapAkhirSemester!D38</f>
        <v>0</v>
      </c>
      <c r="E38" s="112" t="str">
        <f>'KI3'!FI39</f>
        <v/>
      </c>
      <c r="F38" s="112">
        <f>'KI3'!FJ39</f>
        <v>0</v>
      </c>
      <c r="G38" s="112" t="str">
        <f t="shared" si="0"/>
        <v/>
      </c>
      <c r="H38" s="113" t="str">
        <f>IFERROR(IF(G38="","",IF(G38&gt;=KONVERSI!$A$5,KONVERSI!$D$5,IF(G38&gt;=KONVERSI!$A$6,KONVERSI!$D$6,IF(G38&gt;=KONVERSI!$A$7,KONVERSI!$D$7,KONVERSI!$D$8)))),"")</f>
        <v/>
      </c>
      <c r="I38" s="112" t="str">
        <f>'KI4'!GC39</f>
        <v/>
      </c>
      <c r="J38" s="112" t="str">
        <f>'KI4'!GD39</f>
        <v/>
      </c>
      <c r="K38" s="69"/>
      <c r="L38" s="64"/>
      <c r="M38" s="75" t="e">
        <f>#REF!</f>
        <v>#REF!</v>
      </c>
      <c r="N38" s="75" t="e">
        <f>#REF!</f>
        <v>#REF!</v>
      </c>
      <c r="O38" s="75" t="e">
        <f>#REF!</f>
        <v>#REF!</v>
      </c>
      <c r="P38" s="75" t="e">
        <f>#REF!</f>
        <v>#REF!</v>
      </c>
    </row>
    <row r="39" ht="24.75" hidden="1" customHeight="1" spans="1:16">
      <c r="A39" s="48">
        <v>32</v>
      </c>
      <c r="B39" s="110">
        <f>RekapAkhirSemester!B39</f>
        <v>0</v>
      </c>
      <c r="C39" s="111">
        <f>RekapAkhirSemester!C39</f>
        <v>0</v>
      </c>
      <c r="D39" s="111">
        <f>RekapAkhirSemester!D39</f>
        <v>0</v>
      </c>
      <c r="E39" s="112" t="str">
        <f>'KI3'!FI40</f>
        <v/>
      </c>
      <c r="F39" s="112">
        <f>'KI3'!FJ40</f>
        <v>0</v>
      </c>
      <c r="G39" s="112" t="str">
        <f t="shared" si="0"/>
        <v/>
      </c>
      <c r="H39" s="113" t="str">
        <f>IFERROR(IF(G39="","",IF(G39&gt;=KONVERSI!$A$5,KONVERSI!$D$5,IF(G39&gt;=KONVERSI!$A$6,KONVERSI!$D$6,IF(G39&gt;=KONVERSI!$A$7,KONVERSI!$D$7,KONVERSI!$D$8)))),"")</f>
        <v/>
      </c>
      <c r="I39" s="112" t="str">
        <f>'KI4'!GC40</f>
        <v/>
      </c>
      <c r="J39" s="112" t="str">
        <f>'KI4'!GD40</f>
        <v/>
      </c>
      <c r="K39" s="69"/>
      <c r="L39" s="64"/>
      <c r="M39" s="75" t="e">
        <f>#REF!</f>
        <v>#REF!</v>
      </c>
      <c r="N39" s="75" t="e">
        <f>#REF!</f>
        <v>#REF!</v>
      </c>
      <c r="O39" s="75" t="e">
        <f>#REF!</f>
        <v>#REF!</v>
      </c>
      <c r="P39" s="75" t="e">
        <f>#REF!</f>
        <v>#REF!</v>
      </c>
    </row>
    <row r="40" ht="24.75" hidden="1" customHeight="1" spans="1:16">
      <c r="A40" s="48">
        <v>33</v>
      </c>
      <c r="B40" s="110">
        <f>RekapAkhirSemester!B40</f>
        <v>0</v>
      </c>
      <c r="C40" s="111">
        <f>RekapAkhirSemester!C40</f>
        <v>0</v>
      </c>
      <c r="D40" s="111">
        <f>RekapAkhirSemester!D40</f>
        <v>0</v>
      </c>
      <c r="E40" s="112" t="str">
        <f>'KI3'!FI41</f>
        <v/>
      </c>
      <c r="F40" s="112">
        <f>'KI3'!FJ41</f>
        <v>0</v>
      </c>
      <c r="G40" s="112" t="str">
        <f t="shared" si="0"/>
        <v/>
      </c>
      <c r="H40" s="113" t="str">
        <f>IFERROR(IF(G40="","",IF(G40&gt;=KONVERSI!$A$5,KONVERSI!$D$5,IF(G40&gt;=KONVERSI!$A$6,KONVERSI!$D$6,IF(G40&gt;=KONVERSI!$A$7,KONVERSI!$D$7,KONVERSI!$D$8)))),"")</f>
        <v/>
      </c>
      <c r="I40" s="112" t="str">
        <f>'KI4'!GC41</f>
        <v/>
      </c>
      <c r="J40" s="112" t="str">
        <f>'KI4'!GD41</f>
        <v/>
      </c>
      <c r="K40" s="69"/>
      <c r="L40" s="64"/>
      <c r="M40" s="75" t="e">
        <f>#REF!</f>
        <v>#REF!</v>
      </c>
      <c r="N40" s="75" t="e">
        <f>#REF!</f>
        <v>#REF!</v>
      </c>
      <c r="O40" s="75" t="e">
        <f>#REF!</f>
        <v>#REF!</v>
      </c>
      <c r="P40" s="75" t="e">
        <f>#REF!</f>
        <v>#REF!</v>
      </c>
    </row>
    <row r="41" ht="24.75" hidden="1" customHeight="1" spans="1:16">
      <c r="A41" s="48">
        <v>34</v>
      </c>
      <c r="B41" s="110">
        <f>RekapAkhirSemester!B41</f>
        <v>0</v>
      </c>
      <c r="C41" s="111">
        <f>RekapAkhirSemester!C41</f>
        <v>0</v>
      </c>
      <c r="D41" s="111">
        <f>RekapAkhirSemester!D41</f>
        <v>0</v>
      </c>
      <c r="E41" s="112" t="str">
        <f>'KI3'!FI42</f>
        <v/>
      </c>
      <c r="F41" s="112">
        <f>'KI3'!FJ42</f>
        <v>0</v>
      </c>
      <c r="G41" s="112" t="str">
        <f t="shared" si="0"/>
        <v/>
      </c>
      <c r="H41" s="113" t="str">
        <f>IFERROR(IF(G41="","",IF(G41&gt;=KONVERSI!$A$5,KONVERSI!$D$5,IF(G41&gt;=KONVERSI!$A$6,KONVERSI!$D$6,IF(G41&gt;=KONVERSI!$A$7,KONVERSI!$D$7,KONVERSI!$D$8)))),"")</f>
        <v/>
      </c>
      <c r="I41" s="112" t="str">
        <f>'KI4'!GC42</f>
        <v/>
      </c>
      <c r="J41" s="112" t="str">
        <f>'KI4'!GD42</f>
        <v/>
      </c>
      <c r="K41" s="69"/>
      <c r="L41" s="64"/>
      <c r="M41" s="75" t="e">
        <f>#REF!</f>
        <v>#REF!</v>
      </c>
      <c r="N41" s="75" t="e">
        <f>#REF!</f>
        <v>#REF!</v>
      </c>
      <c r="O41" s="75" t="e">
        <f>#REF!</f>
        <v>#REF!</v>
      </c>
      <c r="P41" s="75" t="e">
        <f>#REF!</f>
        <v>#REF!</v>
      </c>
    </row>
    <row r="42" ht="24.75" hidden="1" customHeight="1" spans="1:16">
      <c r="A42" s="48">
        <v>35</v>
      </c>
      <c r="B42" s="110">
        <f>RekapAkhirSemester!B42</f>
        <v>0</v>
      </c>
      <c r="C42" s="111">
        <f>RekapAkhirSemester!C42</f>
        <v>0</v>
      </c>
      <c r="D42" s="111">
        <f>RekapAkhirSemester!D42</f>
        <v>0</v>
      </c>
      <c r="E42" s="112" t="str">
        <f>'KI3'!FI43</f>
        <v/>
      </c>
      <c r="F42" s="112">
        <f>'KI3'!FJ43</f>
        <v>0</v>
      </c>
      <c r="G42" s="112" t="str">
        <f t="shared" si="0"/>
        <v/>
      </c>
      <c r="H42" s="113" t="str">
        <f>IFERROR(IF(G42="","",IF(G42&gt;=KONVERSI!$A$5,KONVERSI!$D$5,IF(G42&gt;=KONVERSI!$A$6,KONVERSI!$D$6,IF(G42&gt;=KONVERSI!$A$7,KONVERSI!$D$7,KONVERSI!$D$8)))),"")</f>
        <v/>
      </c>
      <c r="I42" s="112" t="str">
        <f>'KI4'!GC43</f>
        <v/>
      </c>
      <c r="J42" s="112" t="str">
        <f>'KI4'!GD43</f>
        <v/>
      </c>
      <c r="K42" s="69"/>
      <c r="L42" s="64"/>
      <c r="M42" s="75" t="e">
        <f>#REF!</f>
        <v>#REF!</v>
      </c>
      <c r="N42" s="75" t="e">
        <f>#REF!</f>
        <v>#REF!</v>
      </c>
      <c r="O42" s="75" t="e">
        <f>#REF!</f>
        <v>#REF!</v>
      </c>
      <c r="P42" s="75" t="e">
        <f>#REF!</f>
        <v>#REF!</v>
      </c>
    </row>
    <row r="43" ht="24.75" hidden="1" customHeight="1" spans="1:16">
      <c r="A43" s="48">
        <v>36</v>
      </c>
      <c r="B43" s="110">
        <f>RekapAkhirSemester!B43</f>
        <v>0</v>
      </c>
      <c r="C43" s="111">
        <f>RekapAkhirSemester!C43</f>
        <v>0</v>
      </c>
      <c r="D43" s="111">
        <f>RekapAkhirSemester!D43</f>
        <v>0</v>
      </c>
      <c r="E43" s="112" t="str">
        <f>'KI3'!FI44</f>
        <v/>
      </c>
      <c r="F43" s="112">
        <f>'KI3'!FJ44</f>
        <v>0</v>
      </c>
      <c r="G43" s="112" t="str">
        <f t="shared" si="0"/>
        <v/>
      </c>
      <c r="H43" s="113" t="str">
        <f>IFERROR(IF(G43="","",IF(G43&gt;=KONVERSI!$A$5,KONVERSI!$D$5,IF(G43&gt;=KONVERSI!$A$6,KONVERSI!$D$6,IF(G43&gt;=KONVERSI!$A$7,KONVERSI!$D$7,KONVERSI!$D$8)))),"")</f>
        <v/>
      </c>
      <c r="I43" s="112" t="str">
        <f>'KI4'!GC44</f>
        <v/>
      </c>
      <c r="J43" s="112" t="str">
        <f>'KI4'!GD44</f>
        <v/>
      </c>
      <c r="K43" s="69"/>
      <c r="L43" s="64"/>
      <c r="M43" s="75" t="e">
        <f>#REF!</f>
        <v>#REF!</v>
      </c>
      <c r="N43" s="75" t="e">
        <f>#REF!</f>
        <v>#REF!</v>
      </c>
      <c r="O43" s="75" t="e">
        <f>#REF!</f>
        <v>#REF!</v>
      </c>
      <c r="P43" s="75" t="e">
        <f>#REF!</f>
        <v>#REF!</v>
      </c>
    </row>
    <row r="44" ht="24.75" hidden="1" customHeight="1" spans="1:16">
      <c r="A44" s="48">
        <v>37</v>
      </c>
      <c r="B44" s="110">
        <f>RekapAkhirSemester!B44</f>
        <v>0</v>
      </c>
      <c r="C44" s="111">
        <f>RekapAkhirSemester!C44</f>
        <v>0</v>
      </c>
      <c r="D44" s="111">
        <f>RekapAkhirSemester!D44</f>
        <v>0</v>
      </c>
      <c r="E44" s="112" t="str">
        <f>'KI3'!FI45</f>
        <v/>
      </c>
      <c r="F44" s="112">
        <f>'KI3'!FJ45</f>
        <v>0</v>
      </c>
      <c r="G44" s="112" t="str">
        <f t="shared" si="0"/>
        <v/>
      </c>
      <c r="H44" s="113" t="str">
        <f>IFERROR(IF(G44="","",IF(G44&gt;=KONVERSI!$A$5,KONVERSI!$D$5,IF(G44&gt;=KONVERSI!$A$6,KONVERSI!$D$6,IF(G44&gt;=KONVERSI!$A$7,KONVERSI!$D$7,KONVERSI!$D$8)))),"")</f>
        <v/>
      </c>
      <c r="I44" s="112" t="str">
        <f>'KI4'!GC45</f>
        <v/>
      </c>
      <c r="J44" s="112" t="str">
        <f>'KI4'!GD45</f>
        <v/>
      </c>
      <c r="K44" s="69"/>
      <c r="L44" s="64"/>
      <c r="M44" s="75" t="e">
        <f>#REF!</f>
        <v>#REF!</v>
      </c>
      <c r="N44" s="75" t="e">
        <f>#REF!</f>
        <v>#REF!</v>
      </c>
      <c r="O44" s="75" t="e">
        <f>#REF!</f>
        <v>#REF!</v>
      </c>
      <c r="P44" s="75" t="e">
        <f>#REF!</f>
        <v>#REF!</v>
      </c>
    </row>
    <row r="45" ht="24.75" hidden="1" customHeight="1" spans="1:16">
      <c r="A45" s="48">
        <v>38</v>
      </c>
      <c r="B45" s="110">
        <f>RekapAkhirSemester!B45</f>
        <v>0</v>
      </c>
      <c r="C45" s="111">
        <f>RekapAkhirSemester!C45</f>
        <v>0</v>
      </c>
      <c r="D45" s="111">
        <f>RekapAkhirSemester!D45</f>
        <v>0</v>
      </c>
      <c r="E45" s="112" t="str">
        <f>'KI3'!FI46</f>
        <v/>
      </c>
      <c r="F45" s="112">
        <f>'KI3'!FJ46</f>
        <v>0</v>
      </c>
      <c r="G45" s="112" t="str">
        <f t="shared" si="0"/>
        <v/>
      </c>
      <c r="H45" s="113" t="str">
        <f>IFERROR(IF(G45="","",IF(G45&gt;=KONVERSI!$A$5,KONVERSI!$D$5,IF(G45&gt;=KONVERSI!$A$6,KONVERSI!$D$6,IF(G45&gt;=KONVERSI!$A$7,KONVERSI!$D$7,KONVERSI!$D$8)))),"")</f>
        <v/>
      </c>
      <c r="I45" s="112" t="str">
        <f>'KI4'!GC46</f>
        <v/>
      </c>
      <c r="J45" s="112" t="str">
        <f>'KI4'!GD46</f>
        <v/>
      </c>
      <c r="K45" s="69"/>
      <c r="L45" s="64"/>
      <c r="M45" s="75" t="e">
        <f>#REF!</f>
        <v>#REF!</v>
      </c>
      <c r="N45" s="75" t="e">
        <f>#REF!</f>
        <v>#REF!</v>
      </c>
      <c r="O45" s="75" t="e">
        <f>#REF!</f>
        <v>#REF!</v>
      </c>
      <c r="P45" s="75" t="e">
        <f>#REF!</f>
        <v>#REF!</v>
      </c>
    </row>
    <row r="46" ht="24.75" hidden="1" customHeight="1" spans="1:16">
      <c r="A46" s="48">
        <v>39</v>
      </c>
      <c r="B46" s="110">
        <f>RekapAkhirSemester!B46</f>
        <v>0</v>
      </c>
      <c r="C46" s="111">
        <f>RekapAkhirSemester!C46</f>
        <v>0</v>
      </c>
      <c r="D46" s="111">
        <f>RekapAkhirSemester!D46</f>
        <v>0</v>
      </c>
      <c r="E46" s="112" t="str">
        <f>'KI3'!FI47</f>
        <v/>
      </c>
      <c r="F46" s="112">
        <f>'KI3'!FJ47</f>
        <v>0</v>
      </c>
      <c r="G46" s="112" t="str">
        <f t="shared" si="0"/>
        <v/>
      </c>
      <c r="H46" s="113" t="str">
        <f>IFERROR(IF(G46="","",IF(G46&gt;=KONVERSI!$A$5,KONVERSI!$D$5,IF(G46&gt;=KONVERSI!$A$6,KONVERSI!$D$6,IF(G46&gt;=KONVERSI!$A$7,KONVERSI!$D$7,KONVERSI!$D$8)))),"")</f>
        <v/>
      </c>
      <c r="I46" s="112" t="str">
        <f>'KI4'!GC47</f>
        <v/>
      </c>
      <c r="J46" s="112" t="str">
        <f>'KI4'!GD47</f>
        <v/>
      </c>
      <c r="K46" s="69"/>
      <c r="L46" s="64"/>
      <c r="M46" s="75" t="e">
        <f>#REF!</f>
        <v>#REF!</v>
      </c>
      <c r="N46" s="75" t="e">
        <f>#REF!</f>
        <v>#REF!</v>
      </c>
      <c r="O46" s="75" t="e">
        <f>#REF!</f>
        <v>#REF!</v>
      </c>
      <c r="P46" s="75" t="e">
        <f>#REF!</f>
        <v>#REF!</v>
      </c>
    </row>
    <row r="47" ht="24.75" hidden="1" customHeight="1" spans="1:16">
      <c r="A47" s="48">
        <v>40</v>
      </c>
      <c r="B47" s="110">
        <f>RekapAkhirSemester!B47</f>
        <v>0</v>
      </c>
      <c r="C47" s="111">
        <f>RekapAkhirSemester!C47</f>
        <v>0</v>
      </c>
      <c r="D47" s="111">
        <f>RekapAkhirSemester!D47</f>
        <v>0</v>
      </c>
      <c r="E47" s="112" t="str">
        <f>'KI3'!FI48</f>
        <v/>
      </c>
      <c r="F47" s="112">
        <f>'KI3'!FJ48</f>
        <v>0</v>
      </c>
      <c r="G47" s="112" t="str">
        <f t="shared" si="0"/>
        <v/>
      </c>
      <c r="H47" s="113" t="str">
        <f>IFERROR(IF(G47="","",IF(G47&gt;=KONVERSI!$A$5,KONVERSI!$D$5,IF(G47&gt;=KONVERSI!$A$6,KONVERSI!$D$6,IF(G47&gt;=KONVERSI!$A$7,KONVERSI!$D$7,KONVERSI!$D$8)))),"")</f>
        <v/>
      </c>
      <c r="I47" s="112" t="str">
        <f>'KI4'!GC48</f>
        <v/>
      </c>
      <c r="J47" s="112" t="str">
        <f>'KI4'!GD48</f>
        <v/>
      </c>
      <c r="K47" s="69"/>
      <c r="L47" s="64"/>
      <c r="M47" s="75" t="e">
        <f>#REF!</f>
        <v>#REF!</v>
      </c>
      <c r="N47" s="75" t="e">
        <f>#REF!</f>
        <v>#REF!</v>
      </c>
      <c r="O47" s="75" t="e">
        <f>#REF!</f>
        <v>#REF!</v>
      </c>
      <c r="P47" s="75" t="e">
        <f>#REF!</f>
        <v>#REF!</v>
      </c>
    </row>
    <row r="48" ht="24.75" hidden="1" customHeight="1" spans="1:16">
      <c r="A48" s="48">
        <v>41</v>
      </c>
      <c r="B48" s="110">
        <f>RekapAkhirSemester!B48</f>
        <v>0</v>
      </c>
      <c r="C48" s="111">
        <f>RekapAkhirSemester!C48</f>
        <v>0</v>
      </c>
      <c r="D48" s="111">
        <f>RekapAkhirSemester!D48</f>
        <v>0</v>
      </c>
      <c r="E48" s="112" t="str">
        <f>'KI3'!FI49</f>
        <v/>
      </c>
      <c r="F48" s="112">
        <f>'KI3'!FJ49</f>
        <v>0</v>
      </c>
      <c r="G48" s="112" t="str">
        <f t="shared" si="0"/>
        <v/>
      </c>
      <c r="H48" s="113" t="str">
        <f>IFERROR(IF(G48="","",IF(G48&gt;=KONVERSI!$A$5,KONVERSI!$D$5,IF(G48&gt;=KONVERSI!$A$6,KONVERSI!$D$6,IF(G48&gt;=KONVERSI!$A$7,KONVERSI!$D$7,KONVERSI!$D$8)))),"")</f>
        <v/>
      </c>
      <c r="I48" s="112" t="str">
        <f>'KI4'!GC49</f>
        <v/>
      </c>
      <c r="J48" s="112" t="str">
        <f>'KI4'!GD49</f>
        <v/>
      </c>
      <c r="K48" s="69"/>
      <c r="L48" s="64"/>
      <c r="M48" s="75" t="e">
        <f>#REF!</f>
        <v>#REF!</v>
      </c>
      <c r="N48" s="75" t="e">
        <f>#REF!</f>
        <v>#REF!</v>
      </c>
      <c r="O48" s="75" t="e">
        <f>#REF!</f>
        <v>#REF!</v>
      </c>
      <c r="P48" s="75" t="e">
        <f>#REF!</f>
        <v>#REF!</v>
      </c>
    </row>
    <row r="49" ht="24.75" hidden="1" customHeight="1" spans="1:16">
      <c r="A49" s="48">
        <v>42</v>
      </c>
      <c r="B49" s="110">
        <f>RekapAkhirSemester!B49</f>
        <v>0</v>
      </c>
      <c r="C49" s="111">
        <f>RekapAkhirSemester!C49</f>
        <v>0</v>
      </c>
      <c r="D49" s="111">
        <f>RekapAkhirSemester!D49</f>
        <v>0</v>
      </c>
      <c r="E49" s="112" t="str">
        <f>'KI3'!FI50</f>
        <v/>
      </c>
      <c r="F49" s="112">
        <f>'KI3'!FJ50</f>
        <v>0</v>
      </c>
      <c r="G49" s="112" t="str">
        <f t="shared" si="0"/>
        <v/>
      </c>
      <c r="H49" s="113" t="str">
        <f>IFERROR(IF(G49="","",IF(G49&gt;=KONVERSI!$A$5,KONVERSI!$D$5,IF(G49&gt;=KONVERSI!$A$6,KONVERSI!$D$6,IF(G49&gt;=KONVERSI!$A$7,KONVERSI!$D$7,KONVERSI!$D$8)))),"")</f>
        <v/>
      </c>
      <c r="I49" s="112" t="str">
        <f>'KI4'!GC50</f>
        <v/>
      </c>
      <c r="J49" s="112" t="str">
        <f>'KI4'!GD50</f>
        <v/>
      </c>
      <c r="K49" s="69"/>
      <c r="L49" s="64"/>
      <c r="M49" s="75" t="e">
        <f>#REF!</f>
        <v>#REF!</v>
      </c>
      <c r="N49" s="75" t="e">
        <f>#REF!</f>
        <v>#REF!</v>
      </c>
      <c r="O49" s="75" t="e">
        <f>#REF!</f>
        <v>#REF!</v>
      </c>
      <c r="P49" s="75" t="e">
        <f>#REF!</f>
        <v>#REF!</v>
      </c>
    </row>
    <row r="50" ht="24.75" hidden="1" customHeight="1" spans="1:16">
      <c r="A50" s="48">
        <v>43</v>
      </c>
      <c r="B50" s="110">
        <f>RekapAkhirSemester!B50</f>
        <v>0</v>
      </c>
      <c r="C50" s="111">
        <f>RekapAkhirSemester!C50</f>
        <v>0</v>
      </c>
      <c r="D50" s="111">
        <f>RekapAkhirSemester!D50</f>
        <v>0</v>
      </c>
      <c r="E50" s="112" t="str">
        <f>'KI3'!FI51</f>
        <v/>
      </c>
      <c r="F50" s="112">
        <f>'KI3'!FJ51</f>
        <v>0</v>
      </c>
      <c r="G50" s="112" t="str">
        <f t="shared" si="0"/>
        <v/>
      </c>
      <c r="H50" s="113" t="str">
        <f>IFERROR(IF(G50="","",IF(G50&gt;=KONVERSI!$A$5,KONVERSI!$D$5,IF(G50&gt;=KONVERSI!$A$6,KONVERSI!$D$6,IF(G50&gt;=KONVERSI!$A$7,KONVERSI!$D$7,KONVERSI!$D$8)))),"")</f>
        <v/>
      </c>
      <c r="I50" s="112" t="str">
        <f>'KI4'!GC51</f>
        <v/>
      </c>
      <c r="J50" s="112" t="str">
        <f>'KI4'!GD51</f>
        <v/>
      </c>
      <c r="K50" s="69"/>
      <c r="L50" s="64"/>
      <c r="M50" s="75" t="e">
        <f>#REF!</f>
        <v>#REF!</v>
      </c>
      <c r="N50" s="75" t="e">
        <f>#REF!</f>
        <v>#REF!</v>
      </c>
      <c r="O50" s="75" t="e">
        <f>#REF!</f>
        <v>#REF!</v>
      </c>
      <c r="P50" s="75" t="e">
        <f>#REF!</f>
        <v>#REF!</v>
      </c>
    </row>
    <row r="51" ht="24.75" hidden="1" customHeight="1" spans="1:16">
      <c r="A51" s="48">
        <v>44</v>
      </c>
      <c r="B51" s="110">
        <f>RekapAkhirSemester!B51</f>
        <v>0</v>
      </c>
      <c r="C51" s="111">
        <f>RekapAkhirSemester!C51</f>
        <v>0</v>
      </c>
      <c r="D51" s="111">
        <f>RekapAkhirSemester!D51</f>
        <v>0</v>
      </c>
      <c r="E51" s="112" t="str">
        <f>'KI3'!FI52</f>
        <v/>
      </c>
      <c r="F51" s="112">
        <f>'KI3'!FJ52</f>
        <v>0</v>
      </c>
      <c r="G51" s="112" t="str">
        <f t="shared" si="0"/>
        <v/>
      </c>
      <c r="H51" s="113" t="str">
        <f>IFERROR(IF(G51="","",IF(G51&gt;=KONVERSI!$A$5,KONVERSI!$D$5,IF(G51&gt;=KONVERSI!$A$6,KONVERSI!$D$6,IF(G51&gt;=KONVERSI!$A$7,KONVERSI!$D$7,KONVERSI!$D$8)))),"")</f>
        <v/>
      </c>
      <c r="I51" s="112" t="str">
        <f>'KI4'!GC52</f>
        <v/>
      </c>
      <c r="J51" s="112" t="str">
        <f>'KI4'!GD52</f>
        <v/>
      </c>
      <c r="K51" s="69"/>
      <c r="L51" s="64"/>
      <c r="M51" s="75" t="e">
        <f>#REF!</f>
        <v>#REF!</v>
      </c>
      <c r="N51" s="75" t="e">
        <f>#REF!</f>
        <v>#REF!</v>
      </c>
      <c r="O51" s="75" t="e">
        <f>#REF!</f>
        <v>#REF!</v>
      </c>
      <c r="P51" s="75" t="e">
        <f>#REF!</f>
        <v>#REF!</v>
      </c>
    </row>
    <row r="52" ht="24.75" hidden="1" customHeight="1" spans="1:16">
      <c r="A52" s="48">
        <v>45</v>
      </c>
      <c r="B52" s="110">
        <f>RekapAkhirSemester!B52</f>
        <v>0</v>
      </c>
      <c r="C52" s="111">
        <f>RekapAkhirSemester!C52</f>
        <v>0</v>
      </c>
      <c r="D52" s="111">
        <f>RekapAkhirSemester!D52</f>
        <v>0</v>
      </c>
      <c r="E52" s="112" t="str">
        <f>'KI3'!FI53</f>
        <v/>
      </c>
      <c r="F52" s="112">
        <f>'KI3'!FJ53</f>
        <v>0</v>
      </c>
      <c r="G52" s="112" t="str">
        <f t="shared" si="0"/>
        <v/>
      </c>
      <c r="H52" s="113" t="str">
        <f>IFERROR(IF(G52="","",IF(G52&gt;=KONVERSI!$A$5,KONVERSI!$D$5,IF(G52&gt;=KONVERSI!$A$6,KONVERSI!$D$6,IF(G52&gt;=KONVERSI!$A$7,KONVERSI!$D$7,KONVERSI!$D$8)))),"")</f>
        <v/>
      </c>
      <c r="I52" s="112" t="str">
        <f>'KI4'!GC53</f>
        <v/>
      </c>
      <c r="J52" s="112" t="str">
        <f>'KI4'!GD53</f>
        <v/>
      </c>
      <c r="K52" s="69"/>
      <c r="L52" s="64"/>
      <c r="M52" s="75" t="e">
        <f>#REF!</f>
        <v>#REF!</v>
      </c>
      <c r="N52" s="75" t="e">
        <f>#REF!</f>
        <v>#REF!</v>
      </c>
      <c r="O52" s="75" t="e">
        <f>#REF!</f>
        <v>#REF!</v>
      </c>
      <c r="P52" s="75" t="e">
        <f>#REF!</f>
        <v>#REF!</v>
      </c>
    </row>
    <row r="53" ht="24.75" hidden="1" customHeight="1" spans="1:16">
      <c r="A53" s="48">
        <v>46</v>
      </c>
      <c r="B53" s="110">
        <f>RekapAkhirSemester!B53</f>
        <v>0</v>
      </c>
      <c r="C53" s="111">
        <f>RekapAkhirSemester!C53</f>
        <v>0</v>
      </c>
      <c r="D53" s="111">
        <f>RekapAkhirSemester!D53</f>
        <v>0</v>
      </c>
      <c r="E53" s="112" t="str">
        <f>'KI3'!FI54</f>
        <v/>
      </c>
      <c r="F53" s="112">
        <f>'KI3'!FJ54</f>
        <v>0</v>
      </c>
      <c r="G53" s="112" t="str">
        <f t="shared" si="0"/>
        <v/>
      </c>
      <c r="H53" s="113" t="str">
        <f>IFERROR(IF(G53="","",IF(G53&gt;=KONVERSI!$A$5,KONVERSI!$D$5,IF(G53&gt;=KONVERSI!$A$6,KONVERSI!$D$6,IF(G53&gt;=KONVERSI!$A$7,KONVERSI!$D$7,KONVERSI!$D$8)))),"")</f>
        <v/>
      </c>
      <c r="I53" s="112" t="str">
        <f>'KI4'!GC54</f>
        <v/>
      </c>
      <c r="J53" s="112" t="str">
        <f>'KI4'!GD54</f>
        <v/>
      </c>
      <c r="K53" s="69"/>
      <c r="L53" s="64"/>
      <c r="M53" s="75" t="e">
        <f>#REF!</f>
        <v>#REF!</v>
      </c>
      <c r="N53" s="75" t="e">
        <f>#REF!</f>
        <v>#REF!</v>
      </c>
      <c r="O53" s="75" t="e">
        <f>#REF!</f>
        <v>#REF!</v>
      </c>
      <c r="P53" s="75" t="e">
        <f>#REF!</f>
        <v>#REF!</v>
      </c>
    </row>
    <row r="54" ht="24.75" hidden="1" customHeight="1" spans="1:16">
      <c r="A54" s="48">
        <v>47</v>
      </c>
      <c r="B54" s="110">
        <f>RekapAkhirSemester!B54</f>
        <v>0</v>
      </c>
      <c r="C54" s="111">
        <f>RekapAkhirSemester!C54</f>
        <v>0</v>
      </c>
      <c r="D54" s="111">
        <f>RekapAkhirSemester!D54</f>
        <v>0</v>
      </c>
      <c r="E54" s="112" t="str">
        <f>'KI3'!FI55</f>
        <v/>
      </c>
      <c r="F54" s="112">
        <f>'KI3'!FJ55</f>
        <v>0</v>
      </c>
      <c r="G54" s="112" t="str">
        <f t="shared" si="0"/>
        <v/>
      </c>
      <c r="H54" s="113" t="str">
        <f>IFERROR(IF(G54="","",IF(G54&gt;=KONVERSI!$A$5,KONVERSI!$D$5,IF(G54&gt;=KONVERSI!$A$6,KONVERSI!$D$6,IF(G54&gt;=KONVERSI!$A$7,KONVERSI!$D$7,KONVERSI!$D$8)))),"")</f>
        <v/>
      </c>
      <c r="I54" s="112" t="str">
        <f>'KI4'!GC55</f>
        <v/>
      </c>
      <c r="J54" s="112" t="str">
        <f>'KI4'!GD55</f>
        <v/>
      </c>
      <c r="K54" s="69"/>
      <c r="L54" s="64"/>
      <c r="M54" s="75" t="e">
        <f>#REF!</f>
        <v>#REF!</v>
      </c>
      <c r="N54" s="75" t="e">
        <f>#REF!</f>
        <v>#REF!</v>
      </c>
      <c r="O54" s="75" t="e">
        <f>#REF!</f>
        <v>#REF!</v>
      </c>
      <c r="P54" s="75" t="e">
        <f>#REF!</f>
        <v>#REF!</v>
      </c>
    </row>
    <row r="55" ht="24.75" hidden="1" customHeight="1" spans="1:16">
      <c r="A55" s="48">
        <v>48</v>
      </c>
      <c r="B55" s="110">
        <f>RekapAkhirSemester!B55</f>
        <v>0</v>
      </c>
      <c r="C55" s="111">
        <f>RekapAkhirSemester!C55</f>
        <v>0</v>
      </c>
      <c r="D55" s="111">
        <f>RekapAkhirSemester!D55</f>
        <v>0</v>
      </c>
      <c r="E55" s="112" t="str">
        <f>'KI3'!FI56</f>
        <v/>
      </c>
      <c r="F55" s="112">
        <f>'KI3'!FJ56</f>
        <v>0</v>
      </c>
      <c r="G55" s="112" t="str">
        <f t="shared" si="0"/>
        <v/>
      </c>
      <c r="H55" s="113" t="str">
        <f>IFERROR(IF(G55="","",IF(G55&gt;=KONVERSI!$A$5,KONVERSI!$D$5,IF(G55&gt;=KONVERSI!$A$6,KONVERSI!$D$6,IF(G55&gt;=KONVERSI!$A$7,KONVERSI!$D$7,KONVERSI!$D$8)))),"")</f>
        <v/>
      </c>
      <c r="I55" s="112" t="str">
        <f>'KI4'!GC56</f>
        <v/>
      </c>
      <c r="J55" s="112" t="str">
        <f>'KI4'!GD56</f>
        <v/>
      </c>
      <c r="K55" s="69"/>
      <c r="L55" s="64"/>
      <c r="M55" s="75" t="e">
        <f>#REF!</f>
        <v>#REF!</v>
      </c>
      <c r="N55" s="75" t="e">
        <f>#REF!</f>
        <v>#REF!</v>
      </c>
      <c r="O55" s="75" t="e">
        <f>#REF!</f>
        <v>#REF!</v>
      </c>
      <c r="P55" s="75" t="e">
        <f>#REF!</f>
        <v>#REF!</v>
      </c>
    </row>
    <row r="56" ht="24.75" hidden="1" customHeight="1" spans="1:16">
      <c r="A56" s="48">
        <v>49</v>
      </c>
      <c r="B56" s="110">
        <f>RekapAkhirSemester!B56</f>
        <v>0</v>
      </c>
      <c r="C56" s="111">
        <f>RekapAkhirSemester!C56</f>
        <v>0</v>
      </c>
      <c r="D56" s="111">
        <f>RekapAkhirSemester!D56</f>
        <v>0</v>
      </c>
      <c r="E56" s="112" t="str">
        <f>'KI3'!FI57</f>
        <v/>
      </c>
      <c r="F56" s="112">
        <f>'KI3'!FJ57</f>
        <v>0</v>
      </c>
      <c r="G56" s="112" t="str">
        <f t="shared" si="0"/>
        <v/>
      </c>
      <c r="H56" s="113" t="str">
        <f>IFERROR(IF(G56="","",IF(G56&gt;=KONVERSI!$A$5,KONVERSI!$D$5,IF(G56&gt;=KONVERSI!$A$6,KONVERSI!$D$6,IF(G56&gt;=KONVERSI!$A$7,KONVERSI!$D$7,KONVERSI!$D$8)))),"")</f>
        <v/>
      </c>
      <c r="I56" s="112" t="str">
        <f>'KI4'!GC57</f>
        <v/>
      </c>
      <c r="J56" s="112" t="str">
        <f>'KI4'!GD57</f>
        <v/>
      </c>
      <c r="K56" s="69"/>
      <c r="L56" s="64"/>
      <c r="M56" s="75" t="e">
        <f>#REF!</f>
        <v>#REF!</v>
      </c>
      <c r="N56" s="75" t="e">
        <f>#REF!</f>
        <v>#REF!</v>
      </c>
      <c r="O56" s="75" t="e">
        <f>#REF!</f>
        <v>#REF!</v>
      </c>
      <c r="P56" s="75" t="e">
        <f>#REF!</f>
        <v>#REF!</v>
      </c>
    </row>
    <row r="57" ht="16.5" hidden="1" customHeight="1" spans="1:16">
      <c r="A57" s="48">
        <v>50</v>
      </c>
      <c r="B57" s="110">
        <f>RekapAkhirSemester!B57</f>
        <v>0</v>
      </c>
      <c r="C57" s="111">
        <f>RekapAkhirSemester!C57</f>
        <v>0</v>
      </c>
      <c r="D57" s="111">
        <f>RekapAkhirSemester!D57</f>
        <v>0</v>
      </c>
      <c r="E57" s="112" t="str">
        <f>'KI3'!FI58</f>
        <v/>
      </c>
      <c r="F57" s="112">
        <f>'KI3'!FJ58</f>
        <v>0</v>
      </c>
      <c r="G57" s="112" t="str">
        <f t="shared" si="0"/>
        <v/>
      </c>
      <c r="H57" s="113" t="str">
        <f>IFERROR(IF(G57="","",IF(G57&gt;=KONVERSI!$A$5,KONVERSI!$D$5,IF(G57&gt;=KONVERSI!$A$6,KONVERSI!$D$6,IF(G57&gt;=KONVERSI!$A$7,KONVERSI!$D$7,KONVERSI!$D$8)))),"")</f>
        <v/>
      </c>
      <c r="I57" s="112" t="str">
        <f>'KI4'!GC58</f>
        <v/>
      </c>
      <c r="J57" s="112" t="str">
        <f>'KI4'!GD58</f>
        <v/>
      </c>
      <c r="K57" s="69"/>
      <c r="L57" s="64"/>
      <c r="M57" s="78"/>
      <c r="N57" s="78"/>
      <c r="O57" s="78"/>
      <c r="P57" s="78"/>
    </row>
    <row r="58" ht="24" customHeight="1" spans="1:13">
      <c r="A58" s="80"/>
      <c r="B58" s="80"/>
      <c r="C58" s="80"/>
      <c r="D58" s="80"/>
      <c r="E58" s="114"/>
      <c r="F58" s="78"/>
      <c r="G58" s="115"/>
      <c r="H58" s="114"/>
      <c r="I58" s="78"/>
      <c r="J58" s="115"/>
      <c r="K58" s="69"/>
      <c r="L58" s="64"/>
      <c r="M58" s="60" t="s">
        <v>220</v>
      </c>
    </row>
    <row r="59" ht="24" customHeight="1" spans="2:13">
      <c r="B59" s="116" t="s">
        <v>221</v>
      </c>
      <c r="C59" s="60"/>
      <c r="G59" s="60" t="s">
        <v>222</v>
      </c>
      <c r="K59" s="69"/>
      <c r="L59" s="64"/>
      <c r="M59" s="60" t="s">
        <v>223</v>
      </c>
    </row>
    <row r="60" customHeight="1" spans="2:16">
      <c r="B60" s="60" t="s">
        <v>224</v>
      </c>
      <c r="C60" s="60"/>
      <c r="G60" s="60" t="s">
        <v>223</v>
      </c>
      <c r="K60" s="69"/>
      <c r="L60" s="64"/>
      <c r="M60" s="79"/>
      <c r="N60" s="80"/>
      <c r="O60" s="80"/>
      <c r="P60" s="80"/>
    </row>
    <row r="61" ht="17.25" customHeight="1" spans="2:16">
      <c r="B61" s="117"/>
      <c r="C61" s="60"/>
      <c r="G61" s="117"/>
      <c r="K61" s="69"/>
      <c r="L61" s="64"/>
      <c r="M61" s="79"/>
      <c r="N61" s="80"/>
      <c r="O61" s="80"/>
      <c r="P61" s="80"/>
    </row>
    <row r="62" ht="17.25" customHeight="1" spans="2:16">
      <c r="B62" s="117"/>
      <c r="C62" s="60"/>
      <c r="G62" s="117"/>
      <c r="K62" s="69"/>
      <c r="L62" s="64"/>
      <c r="M62" s="79"/>
      <c r="N62" s="80"/>
      <c r="O62" s="80"/>
      <c r="P62" s="80"/>
    </row>
    <row r="63" ht="15" customHeight="1" spans="2:16">
      <c r="B63" s="117"/>
      <c r="C63" s="60"/>
      <c r="G63" s="117"/>
      <c r="K63" s="69"/>
      <c r="L63" s="64"/>
      <c r="M63" s="81" t="str">
        <f>G3</f>
        <v>KET</v>
      </c>
      <c r="N63" s="80"/>
      <c r="O63" s="80"/>
      <c r="P63" s="80"/>
    </row>
    <row r="64" ht="15" customHeight="1" spans="2:16">
      <c r="B64" s="118" t="s">
        <v>225</v>
      </c>
      <c r="C64" s="60"/>
      <c r="G64" s="118" t="str">
        <f>RefGuru!D15</f>
        <v>VERI USDI, S.E</v>
      </c>
      <c r="K64" s="69"/>
      <c r="L64" s="64"/>
      <c r="M64" s="79" t="e">
        <f>#REF!</f>
        <v>#REF!</v>
      </c>
      <c r="N64" s="80"/>
      <c r="O64" s="80"/>
      <c r="P64" s="80"/>
    </row>
    <row r="65" ht="15" customHeight="1" spans="2:16">
      <c r="B65" s="117" t="s">
        <v>226</v>
      </c>
      <c r="C65" s="60"/>
      <c r="G65" s="129" t="str">
        <f>"NIP. "&amp;RefGuru!D21</f>
        <v>NIP. </v>
      </c>
      <c r="K65" s="69"/>
      <c r="L65" s="64"/>
      <c r="M65" s="82"/>
      <c r="N65" s="82"/>
      <c r="O65" s="82"/>
      <c r="P65" s="82"/>
    </row>
    <row r="66" ht="15" customHeight="1" spans="1:10">
      <c r="A66" s="82"/>
      <c r="B66" s="82"/>
      <c r="C66" s="82"/>
      <c r="D66" s="82"/>
      <c r="E66" s="83"/>
      <c r="F66" s="82"/>
      <c r="G66" s="84"/>
      <c r="H66" s="83"/>
      <c r="I66" s="82"/>
      <c r="J66" s="84"/>
    </row>
    <row r="67" ht="15" hidden="1" customHeight="1"/>
    <row r="68" ht="15" hidden="1" customHeight="1"/>
    <row r="69" ht="15" hidden="1" customHeight="1"/>
    <row r="70" hidden="1"/>
    <row r="71" hidden="1"/>
    <row r="72" hidden="1"/>
  </sheetData>
  <sheetProtection password="F8E5" sheet="1" objects="1"/>
  <mergeCells count="11">
    <mergeCell ref="A1:J1"/>
    <mergeCell ref="C2:F2"/>
    <mergeCell ref="G2:J2"/>
    <mergeCell ref="C3:D3"/>
    <mergeCell ref="E5:H5"/>
    <mergeCell ref="I5:J5"/>
    <mergeCell ref="A5:A7"/>
    <mergeCell ref="B5:B7"/>
    <mergeCell ref="C5:C7"/>
    <mergeCell ref="D5:D7"/>
    <mergeCell ref="K1:K5"/>
  </mergeCells>
  <conditionalFormatting sqref="H8:H57">
    <cfRule type="containsBlanks" dxfId="4" priority="2">
      <formula>LEN(TRIM(H8))=0</formula>
    </cfRule>
    <cfRule type="cellIs" dxfId="1" priority="1" operator="lessThan">
      <formula>#REF!</formula>
    </cfRule>
    <cfRule type="cellIs" dxfId="1" priority="3" operator="lessThan">
      <formula>$DW$4</formula>
    </cfRule>
  </conditionalFormatting>
  <conditionalFormatting sqref="M7:P56;I8:J57;E8:G57">
    <cfRule type="cellIs" dxfId="6" priority="4" operator="equal">
      <formula>0</formula>
    </cfRule>
  </conditionalFormatting>
  <conditionalFormatting sqref="B8:D57">
    <cfRule type="cellIs" dxfId="7" priority="5" operator="equal">
      <formula>0</formula>
    </cfRule>
  </conditionalFormatting>
  <conditionalFormatting sqref="E8:G57">
    <cfRule type="cellIs" dxfId="6" priority="6" operator="equal">
      <formula>0</formula>
    </cfRule>
    <cfRule type="cellIs" dxfId="1" priority="7" operator="lessThan">
      <formula>#REF!</formula>
    </cfRule>
  </conditionalFormatting>
  <dataValidations count="1">
    <dataValidation allowBlank="1" sqref="M7:P56;I8:J57;E8:G57"/>
  </dataValidations>
  <pageMargins left="0.7" right="0.7" top="0.75" bottom="0.75" header="0.3" footer="0.3"/>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0070C0"/>
    <pageSetUpPr fitToPage="1"/>
  </sheetPr>
  <dimension ref="A1:Q66"/>
  <sheetViews>
    <sheetView showGridLines="0" zoomScale="90" zoomScaleNormal="90" topLeftCell="A58" workbookViewId="0">
      <selection activeCell="E8" sqref="E8:J57"/>
    </sheetView>
  </sheetViews>
  <sheetFormatPr defaultColWidth="0" defaultRowHeight="0" customHeight="1" zeroHeight="1"/>
  <cols>
    <col min="1" max="1" width="5.125" style="15" customWidth="1"/>
    <col min="2" max="2" width="17.125" style="15" customWidth="1"/>
    <col min="3" max="3" width="10.25" style="15" customWidth="1"/>
    <col min="4" max="4" width="10.75" style="15" customWidth="1"/>
    <col min="5" max="5" width="9.625" style="16" customWidth="1"/>
    <col min="6" max="6" width="8" style="15" customWidth="1"/>
    <col min="7" max="7" width="30.25" style="17" customWidth="1"/>
    <col min="8" max="8" width="8.375" style="16" customWidth="1"/>
    <col min="9" max="9" width="7.625" style="15" customWidth="1"/>
    <col min="10" max="10" width="33.25" style="17" customWidth="1"/>
    <col min="11" max="11" width="30.625" style="18" customWidth="1"/>
    <col min="12" max="12" width="18.75" style="19" hidden="1" customWidth="1"/>
    <col min="13" max="13" width="8.25" style="15" hidden="1" customWidth="1"/>
    <col min="14" max="14" width="6" style="15" hidden="1" customWidth="1"/>
    <col min="15" max="15" width="7.25" style="15" hidden="1" customWidth="1"/>
    <col min="16" max="16" width="5.125" style="15" hidden="1" customWidth="1"/>
    <col min="17" max="17" width="18.75" style="19" hidden="1" customWidth="1"/>
    <col min="18" max="18" width="7.25" style="19" hidden="1" customWidth="1"/>
    <col min="19" max="19" width="5.125" style="19" hidden="1" customWidth="1"/>
    <col min="20" max="16384" width="18.75" style="19" hidden="1"/>
  </cols>
  <sheetData>
    <row r="1" ht="24" customHeight="1" spans="1:16">
      <c r="A1" s="20" t="s">
        <v>227</v>
      </c>
      <c r="B1" s="21"/>
      <c r="C1" s="21"/>
      <c r="D1" s="21"/>
      <c r="E1" s="21"/>
      <c r="F1" s="21"/>
      <c r="G1" s="21"/>
      <c r="H1" s="21"/>
      <c r="I1" s="21"/>
      <c r="J1" s="62"/>
      <c r="K1" s="63" t="s">
        <v>228</v>
      </c>
      <c r="L1" s="64"/>
      <c r="M1" s="65"/>
      <c r="N1" s="65"/>
      <c r="O1" s="65"/>
      <c r="P1" s="65"/>
    </row>
    <row r="2" ht="18.75" customHeight="1" spans="1:12">
      <c r="A2" s="22" t="str">
        <f>'KI4'!B2</f>
        <v>SMP NEGERI 1 LANGGAM</v>
      </c>
      <c r="B2" s="23"/>
      <c r="C2" s="23"/>
      <c r="D2" s="24"/>
      <c r="F2" s="25" t="s">
        <v>118</v>
      </c>
      <c r="G2" s="26" t="str">
        <f>'KI4'!H2</f>
        <v>Prakarya</v>
      </c>
      <c r="I2" s="33" t="s">
        <v>119</v>
      </c>
      <c r="J2" s="66" t="str">
        <f>'KI3'!M2</f>
        <v>8C</v>
      </c>
      <c r="K2" s="63"/>
      <c r="L2" s="64"/>
    </row>
    <row r="3" ht="18.75" customHeight="1" spans="1:12">
      <c r="A3" s="27"/>
      <c r="B3" s="28"/>
      <c r="C3" s="28"/>
      <c r="D3" s="29"/>
      <c r="F3" s="25" t="s">
        <v>129</v>
      </c>
      <c r="G3" s="26" t="str">
        <f>'KI4'!H3</f>
        <v>VERI USDI, S.E</v>
      </c>
      <c r="I3" s="33" t="s">
        <v>130</v>
      </c>
      <c r="J3" s="66" t="str">
        <f>'KI3'!M3</f>
        <v>Ganjil</v>
      </c>
      <c r="K3" s="63"/>
      <c r="L3" s="64"/>
    </row>
    <row r="4" ht="18.75" customHeight="1" spans="1:17">
      <c r="A4" s="30"/>
      <c r="B4" s="31"/>
      <c r="C4" s="31"/>
      <c r="D4" s="32"/>
      <c r="F4" s="33" t="s">
        <v>134</v>
      </c>
      <c r="G4" s="26" t="str">
        <f>'KI4'!H4</f>
        <v>-</v>
      </c>
      <c r="I4" s="33" t="s">
        <v>135</v>
      </c>
      <c r="J4" s="66" t="str">
        <f>'KI3'!M4</f>
        <v>2021/2022</v>
      </c>
      <c r="K4" s="63"/>
      <c r="L4" s="64"/>
      <c r="Q4" s="19">
        <f>COUNTA(siswa!C5:C51)</f>
        <v>28</v>
      </c>
    </row>
    <row r="5" ht="18.75" customHeight="1" spans="1:16">
      <c r="A5" s="34" t="s">
        <v>13</v>
      </c>
      <c r="B5" s="34" t="s">
        <v>140</v>
      </c>
      <c r="C5" s="34" t="s">
        <v>15</v>
      </c>
      <c r="D5" s="34" t="s">
        <v>16</v>
      </c>
      <c r="E5" s="35" t="s">
        <v>229</v>
      </c>
      <c r="F5" s="36"/>
      <c r="G5" s="37"/>
      <c r="H5" s="38" t="s">
        <v>230</v>
      </c>
      <c r="I5" s="36"/>
      <c r="J5" s="67"/>
      <c r="K5" s="63"/>
      <c r="L5" s="64"/>
      <c r="M5" s="35" t="s">
        <v>213</v>
      </c>
      <c r="N5" s="36"/>
      <c r="O5" s="36"/>
      <c r="P5" s="36"/>
    </row>
    <row r="6" ht="24" customHeight="1" spans="1:16">
      <c r="A6" s="39"/>
      <c r="B6" s="39"/>
      <c r="C6" s="39"/>
      <c r="D6" s="39"/>
      <c r="E6" s="40" t="s">
        <v>231</v>
      </c>
      <c r="F6" s="41" t="s">
        <v>193</v>
      </c>
      <c r="G6" s="41" t="s">
        <v>232</v>
      </c>
      <c r="H6" s="42" t="s">
        <v>233</v>
      </c>
      <c r="I6" s="68" t="s">
        <v>193</v>
      </c>
      <c r="J6" s="68" t="s">
        <v>232</v>
      </c>
      <c r="K6" s="69"/>
      <c r="L6" s="64"/>
      <c r="M6" s="492" t="s">
        <v>234</v>
      </c>
      <c r="N6" s="492" t="s">
        <v>235</v>
      </c>
      <c r="O6" s="492" t="s">
        <v>236</v>
      </c>
      <c r="P6" s="492" t="s">
        <v>237</v>
      </c>
    </row>
    <row r="7" ht="15.75" customHeight="1" spans="1:16">
      <c r="A7" s="43"/>
      <c r="B7" s="43"/>
      <c r="C7" s="43"/>
      <c r="D7" s="43"/>
      <c r="E7" s="44">
        <v>1</v>
      </c>
      <c r="F7" s="45">
        <v>2</v>
      </c>
      <c r="G7" s="46">
        <v>3</v>
      </c>
      <c r="H7" s="47">
        <v>4</v>
      </c>
      <c r="I7" s="45">
        <v>5</v>
      </c>
      <c r="J7" s="46">
        <v>6</v>
      </c>
      <c r="K7" s="71">
        <f>COUNTA(siswa!C5:C54)</f>
        <v>28</v>
      </c>
      <c r="L7" s="64"/>
      <c r="M7" s="45">
        <v>7</v>
      </c>
      <c r="N7" s="46">
        <v>8</v>
      </c>
      <c r="O7" s="45">
        <v>9</v>
      </c>
      <c r="P7" s="46">
        <v>10</v>
      </c>
    </row>
    <row r="8" ht="44.25" hidden="1" customHeight="1" spans="1:16">
      <c r="A8" s="48">
        <v>1</v>
      </c>
      <c r="B8" s="49" t="str">
        <f>siswa!C5</f>
        <v>ADELIA SELVIA</v>
      </c>
      <c r="C8" s="50">
        <f>siswa!D5</f>
        <v>2708</v>
      </c>
      <c r="D8" s="50" t="str">
        <f>siswa!E5</f>
        <v>0076418581</v>
      </c>
      <c r="E8" s="51">
        <f>'KI3'!FL9</f>
        <v>85</v>
      </c>
      <c r="F8" s="51" t="str">
        <f>'KI3'!FM9</f>
        <v>B</v>
      </c>
      <c r="G8" s="52" t="str">
        <f>IF(E8="","",'KI3'!QG9)</f>
        <v>Baik dalam jenis, sifat, karakter dan teknik pengolahan kerang, kaca, keramik dan botol plasti.  </v>
      </c>
      <c r="H8" s="51" t="str">
        <f>'KI4'!GC9</f>
        <v/>
      </c>
      <c r="I8" s="72" t="str">
        <f>'KI4'!GD9</f>
        <v/>
      </c>
      <c r="J8" s="73" t="str">
        <f>IF(H8="","",'KI4'!NR9)</f>
        <v/>
      </c>
      <c r="K8" s="74" t="s">
        <v>216</v>
      </c>
      <c r="L8" s="64"/>
      <c r="M8" s="75" t="e">
        <f>#REF!</f>
        <v>#REF!</v>
      </c>
      <c r="N8" s="75" t="e">
        <f>#REF!</f>
        <v>#REF!</v>
      </c>
      <c r="O8" s="75" t="e">
        <f>#REF!</f>
        <v>#REF!</v>
      </c>
      <c r="P8" s="75" t="e">
        <f>#REF!</f>
        <v>#REF!</v>
      </c>
    </row>
    <row r="9" ht="44.25" hidden="1" customHeight="1" spans="1:16">
      <c r="A9" s="48">
        <v>2</v>
      </c>
      <c r="B9" s="49" t="str">
        <f>siswa!C6</f>
        <v>AMBRESIUS NERI ELYANTO LUBIS</v>
      </c>
      <c r="C9" s="50">
        <f>siswa!D6</f>
        <v>2717</v>
      </c>
      <c r="D9" s="50" t="str">
        <f>siswa!E6</f>
        <v>0078375102</v>
      </c>
      <c r="E9" s="51">
        <f>'KI3'!FL10</f>
        <v>79</v>
      </c>
      <c r="F9" s="51" t="str">
        <f>'KI3'!FM10</f>
        <v>C</v>
      </c>
      <c r="G9" s="52" t="str">
        <f>IF(E9="","",'KI3'!QG10)</f>
        <v>Cukup Baik dalam prinsip perancangan, pembuatan dan penyajian produk kerajinan kerang, kaca, keramik dan botol plastik yang kreatif dan inovati.  </v>
      </c>
      <c r="H9" s="51" t="str">
        <f>'KI4'!GC10</f>
        <v/>
      </c>
      <c r="I9" s="72" t="str">
        <f>'KI4'!GD10</f>
        <v/>
      </c>
      <c r="J9" s="73" t="str">
        <f>IF(H9="","",'KI4'!NR10)</f>
        <v/>
      </c>
      <c r="K9" s="76" t="s">
        <v>217</v>
      </c>
      <c r="L9" s="64"/>
      <c r="M9" s="75" t="e">
        <f>#REF!</f>
        <v>#REF!</v>
      </c>
      <c r="N9" s="75" t="e">
        <f>#REF!</f>
        <v>#REF!</v>
      </c>
      <c r="O9" s="75" t="e">
        <f>#REF!</f>
        <v>#REF!</v>
      </c>
      <c r="P9" s="75" t="e">
        <f>#REF!</f>
        <v>#REF!</v>
      </c>
    </row>
    <row r="10" ht="44.25" hidden="1" customHeight="1" spans="1:16">
      <c r="A10" s="48">
        <v>3</v>
      </c>
      <c r="B10" s="49" t="str">
        <f>siswa!C7</f>
        <v>AQELA FIRDAUSI AHLA</v>
      </c>
      <c r="C10" s="50">
        <f>siswa!D7</f>
        <v>2724</v>
      </c>
      <c r="D10" s="50" t="str">
        <f>siswa!E7</f>
        <v>0085224303</v>
      </c>
      <c r="E10" s="51">
        <f>'KI3'!FL11</f>
        <v>90</v>
      </c>
      <c r="F10" s="51" t="str">
        <f>'KI3'!FM11</f>
        <v>B</v>
      </c>
      <c r="G10" s="52" t="str">
        <f>IF(E10="","",'KI3'!QG11)</f>
        <v>Sangat baik dalam prinsip perancangan, pembuatan dan penyajian produk kerajinan kerang, kaca, keramik dan botol plastik yang kreatif dan inovati.  </v>
      </c>
      <c r="H10" s="51">
        <f>'KI4'!GC11</f>
        <v>90</v>
      </c>
      <c r="I10" s="72" t="str">
        <f>'KI4'!GD11</f>
        <v>B</v>
      </c>
      <c r="J10" s="73" t="str">
        <f>IF(H10="","",'KI4'!NR11)</f>
        <v>Terampil dalam memilih jenis, bahan dan teknik pengolahan kerang, kaca, keramik dan botol plastik sesuai dengan potensi daerah setempatperancangan pembuatan dan penyajian kerajinan kerang, kaca, keramik dan botol plastik yang kreatif dan inovati.  </v>
      </c>
      <c r="K10" s="77" t="str">
        <f>A2</f>
        <v>SMP NEGERI 1 LANGGAM</v>
      </c>
      <c r="L10" s="64"/>
      <c r="M10" s="75" t="e">
        <f>#REF!</f>
        <v>#REF!</v>
      </c>
      <c r="N10" s="75" t="e">
        <f>#REF!</f>
        <v>#REF!</v>
      </c>
      <c r="O10" s="75" t="e">
        <f>#REF!</f>
        <v>#REF!</v>
      </c>
      <c r="P10" s="75" t="e">
        <f>#REF!</f>
        <v>#REF!</v>
      </c>
    </row>
    <row r="11" ht="44.25" hidden="1" customHeight="1" spans="1:16">
      <c r="A11" s="48">
        <v>4</v>
      </c>
      <c r="B11" s="49" t="str">
        <f>siswa!C8</f>
        <v>DAVINA MOZHA HARIYANTO</v>
      </c>
      <c r="C11" s="50">
        <f>siswa!D8</f>
        <v>2740</v>
      </c>
      <c r="D11" s="50" t="str">
        <f>siswa!E8</f>
        <v>0078185439</v>
      </c>
      <c r="E11" s="51">
        <f>'KI3'!FL12</f>
        <v>91</v>
      </c>
      <c r="F11" s="51" t="str">
        <f>'KI3'!FM12</f>
        <v>B</v>
      </c>
      <c r="G11" s="52" t="str">
        <f>IF(E11="","",'KI3'!QG12)</f>
        <v>Sangat baik dalam prinsip perancangan, pembuatan dan penyajian produk kerajinan kerang, kaca, keramik dan botol plastik yang kreatif dan inovati.  </v>
      </c>
      <c r="H11" s="51">
        <f>'KI4'!GC12</f>
        <v>88</v>
      </c>
      <c r="I11" s="72" t="str">
        <f>'KI4'!GD12</f>
        <v>B</v>
      </c>
      <c r="J11" s="73" t="str">
        <f>IF(H11="","",'KI4'!NR12)</f>
        <v>Terampil dalam memilih jenis, bahan dan teknik pengolahan kerang, kaca, keramik dan botol plastik sesuai dengan potensi daerah setempatperancangan pembuatan dan penyajian kerajinan kerang, kaca, keramik dan botol plastik yang kreatif dan inovati.  </v>
      </c>
      <c r="K11" s="69"/>
      <c r="L11" s="64"/>
      <c r="M11" s="75" t="e">
        <f>#REF!</f>
        <v>#REF!</v>
      </c>
      <c r="N11" s="75" t="e">
        <f>#REF!</f>
        <v>#REF!</v>
      </c>
      <c r="O11" s="75" t="e">
        <f>#REF!</f>
        <v>#REF!</v>
      </c>
      <c r="P11" s="75" t="e">
        <f>#REF!</f>
        <v>#REF!</v>
      </c>
    </row>
    <row r="12" ht="44.25" hidden="1" customHeight="1" spans="1:16">
      <c r="A12" s="48">
        <v>5</v>
      </c>
      <c r="B12" s="49" t="str">
        <f>siswa!C9</f>
        <v>DEWI PUSPITA</v>
      </c>
      <c r="C12" s="50">
        <f>siswa!D9</f>
        <v>2746</v>
      </c>
      <c r="D12" s="50" t="str">
        <f>siswa!E9</f>
        <v>0085929261</v>
      </c>
      <c r="E12" s="51">
        <f>'KI3'!FL13</f>
        <v>94</v>
      </c>
      <c r="F12" s="51" t="str">
        <f>'KI3'!FM13</f>
        <v>A</v>
      </c>
      <c r="G12" s="52" t="str">
        <f>IF(E12="","",'KI3'!QG13)</f>
        <v>Sangat baik dalam prinsip perancangan, pembuatan dan penyajian produk kerajinan kerang, kaca, keramik dan botol plastik yang kreatif dan inovati.  </v>
      </c>
      <c r="H12" s="51">
        <f>'KI4'!GC13</f>
        <v>98</v>
      </c>
      <c r="I12" s="72" t="str">
        <f>'KI4'!GD13</f>
        <v>A</v>
      </c>
      <c r="J12" s="73" t="str">
        <f>IF(H12="","",'KI4'!NR13)</f>
        <v>Sangat terampil dalam memilih jenis, bahan dan teknik pengolahan kerang, kaca, keramik dan botol plastik sesuai dengan potensi daerah setempatperancangan pembuatan dan penyajian kerajinan kerang, kaca, keramik dan botol plastik yang kreatif dan inovati.  </v>
      </c>
      <c r="K12" s="69"/>
      <c r="L12" s="64"/>
      <c r="M12" s="75" t="e">
        <f>#REF!</f>
        <v>#REF!</v>
      </c>
      <c r="N12" s="75" t="e">
        <f>#REF!</f>
        <v>#REF!</v>
      </c>
      <c r="O12" s="75" t="e">
        <f>#REF!</f>
        <v>#REF!</v>
      </c>
      <c r="P12" s="75" t="e">
        <f>#REF!</f>
        <v>#REF!</v>
      </c>
    </row>
    <row r="13" ht="44.25" hidden="1" customHeight="1" spans="1:16">
      <c r="A13" s="48">
        <v>6</v>
      </c>
      <c r="B13" s="49" t="str">
        <f>siswa!C10</f>
        <v>ENGGAR WIDI CAHYONO</v>
      </c>
      <c r="C13" s="50">
        <f>siswa!D10</f>
        <v>2754</v>
      </c>
      <c r="D13" s="50" t="str">
        <f>siswa!E10</f>
        <v>0088952958</v>
      </c>
      <c r="E13" s="51">
        <f>'KI3'!FL14</f>
        <v>85</v>
      </c>
      <c r="F13" s="51" t="str">
        <f>'KI3'!FM14</f>
        <v>B</v>
      </c>
      <c r="G13" s="52" t="str">
        <f>IF(E13="","",'KI3'!QG14)</f>
        <v>Baik dalam prinsip perancangan, pembuatan dan penyajian produk kerajinan kerang, kaca, keramik dan botol plastik yang kreatif dan inovati.  </v>
      </c>
      <c r="H13" s="51" t="str">
        <f>'KI4'!GC14</f>
        <v/>
      </c>
      <c r="I13" s="72" t="str">
        <f>'KI4'!GD14</f>
        <v/>
      </c>
      <c r="J13" s="73" t="str">
        <f>IF(H13="","",'KI4'!NR14)</f>
        <v/>
      </c>
      <c r="K13" s="69"/>
      <c r="L13" s="64"/>
      <c r="M13" s="75" t="e">
        <f>#REF!</f>
        <v>#REF!</v>
      </c>
      <c r="N13" s="75" t="e">
        <f>#REF!</f>
        <v>#REF!</v>
      </c>
      <c r="O13" s="75" t="e">
        <f>#REF!</f>
        <v>#REF!</v>
      </c>
      <c r="P13" s="75" t="e">
        <f>#REF!</f>
        <v>#REF!</v>
      </c>
    </row>
    <row r="14" ht="44.25" hidden="1" customHeight="1" spans="1:16">
      <c r="A14" s="48">
        <v>7</v>
      </c>
      <c r="B14" s="49" t="str">
        <f>siswa!C11</f>
        <v>ESTER IMELDA MANURUNG</v>
      </c>
      <c r="C14" s="50">
        <f>siswa!D11</f>
        <v>2755</v>
      </c>
      <c r="D14" s="50" t="str">
        <f>siswa!E11</f>
        <v>0079387483</v>
      </c>
      <c r="E14" s="51">
        <f>'KI3'!FL15</f>
        <v>87</v>
      </c>
      <c r="F14" s="51" t="str">
        <f>'KI3'!FM15</f>
        <v>B</v>
      </c>
      <c r="G14" s="52" t="str">
        <f>IF(E14="","",'KI3'!QG15)</f>
        <v>Baik dalam jenis, sifat, karakter dan teknik pengolahan kerang, kaca, keramik dan botol plasti.  </v>
      </c>
      <c r="H14" s="51">
        <f>'KI4'!GC15</f>
        <v>90</v>
      </c>
      <c r="I14" s="72" t="str">
        <f>'KI4'!GD15</f>
        <v>B</v>
      </c>
      <c r="J14" s="73" t="str">
        <f>IF(H14="","",'KI4'!NR15)</f>
        <v>Terampil dalam memilih jenis, bahan dan teknik pengolahan kerang, kaca, keramik dan botol plastik sesuai dengan potensi daerah setempatperancangan pembuatan dan penyajian kerajinan kerang, kaca, keramik dan botol plastik yang kreatif dan inovati.  </v>
      </c>
      <c r="K14" s="69"/>
      <c r="L14" s="64"/>
      <c r="M14" s="75" t="e">
        <f>#REF!</f>
        <v>#REF!</v>
      </c>
      <c r="N14" s="75" t="e">
        <f>#REF!</f>
        <v>#REF!</v>
      </c>
      <c r="O14" s="75" t="e">
        <f>#REF!</f>
        <v>#REF!</v>
      </c>
      <c r="P14" s="75" t="e">
        <f>#REF!</f>
        <v>#REF!</v>
      </c>
    </row>
    <row r="15" ht="44.25" hidden="1" customHeight="1" spans="1:16">
      <c r="A15" s="48">
        <v>8</v>
      </c>
      <c r="B15" s="49" t="str">
        <f>siswa!C12</f>
        <v>EUIS AGUSTINA W</v>
      </c>
      <c r="C15" s="50">
        <f>siswa!D12</f>
        <v>2756</v>
      </c>
      <c r="D15" s="50" t="str">
        <f>siswa!E12</f>
        <v>0077800322</v>
      </c>
      <c r="E15" s="51">
        <f>'KI3'!FL16</f>
        <v>86</v>
      </c>
      <c r="F15" s="51" t="str">
        <f>'KI3'!FM16</f>
        <v>B</v>
      </c>
      <c r="G15" s="52" t="str">
        <f>IF(E15="","",'KI3'!QG16)</f>
        <v>Baik dalam prinsip perancangan, pembuatan dan penyajian produk kerajinan kerang, kaca, keramik dan botol plastik yang kreatif dan inovati.  </v>
      </c>
      <c r="H15" s="51">
        <f>'KI4'!GC16</f>
        <v>90</v>
      </c>
      <c r="I15" s="72" t="str">
        <f>'KI4'!GD16</f>
        <v>B</v>
      </c>
      <c r="J15" s="73" t="str">
        <f>IF(H15="","",'KI4'!NR16)</f>
        <v>Terampil dalam memilih jenis, bahan dan teknik pengolahan kerang, kaca, keramik dan botol plastik sesuai dengan potensi daerah setempatperancangan pembuatan dan penyajian kerajinan kerang, kaca, keramik dan botol plastik yang kreatif dan inovati.  </v>
      </c>
      <c r="K15" s="69"/>
      <c r="L15" s="64"/>
      <c r="M15" s="75" t="e">
        <f>#REF!</f>
        <v>#REF!</v>
      </c>
      <c r="N15" s="75" t="e">
        <f>#REF!</f>
        <v>#REF!</v>
      </c>
      <c r="O15" s="75" t="e">
        <f>#REF!</f>
        <v>#REF!</v>
      </c>
      <c r="P15" s="75" t="e">
        <f>#REF!</f>
        <v>#REF!</v>
      </c>
    </row>
    <row r="16" ht="44.25" hidden="1" customHeight="1" spans="1:16">
      <c r="A16" s="48">
        <v>9</v>
      </c>
      <c r="B16" s="49" t="str">
        <f>siswa!C13</f>
        <v>FACHRI ANDHIKA PUTRA</v>
      </c>
      <c r="C16" s="50">
        <f>siswa!D13</f>
        <v>2757</v>
      </c>
      <c r="D16" s="50" t="str">
        <f>siswa!E13</f>
        <v>0075445372</v>
      </c>
      <c r="E16" s="51">
        <f>'KI3'!FL17</f>
        <v>89</v>
      </c>
      <c r="F16" s="51" t="str">
        <f>'KI3'!FM17</f>
        <v>B</v>
      </c>
      <c r="G16" s="52" t="str">
        <f>IF(E16="","",'KI3'!QG17)</f>
        <v>Baik dalam jenis, sifat, karakter dan teknik pengolahan kerang, kaca, keramik dan botol plasti.  </v>
      </c>
      <c r="H16" s="51" t="str">
        <f>'KI4'!GC17</f>
        <v/>
      </c>
      <c r="I16" s="72" t="str">
        <f>'KI4'!GD17</f>
        <v/>
      </c>
      <c r="J16" s="73" t="str">
        <f>IF(H16="","",'KI4'!NR17)</f>
        <v/>
      </c>
      <c r="K16" s="69"/>
      <c r="L16" s="64"/>
      <c r="M16" s="75" t="e">
        <f>#REF!</f>
        <v>#REF!</v>
      </c>
      <c r="N16" s="75" t="e">
        <f>#REF!</f>
        <v>#REF!</v>
      </c>
      <c r="O16" s="75" t="e">
        <f>#REF!</f>
        <v>#REF!</v>
      </c>
      <c r="P16" s="75" t="e">
        <f>#REF!</f>
        <v>#REF!</v>
      </c>
    </row>
    <row r="17" ht="44.25" hidden="1" customHeight="1" spans="1:16">
      <c r="A17" s="48">
        <v>10</v>
      </c>
      <c r="B17" s="49" t="str">
        <f>siswa!C14</f>
        <v>FAIZ ADLY</v>
      </c>
      <c r="C17" s="50">
        <f>siswa!D14</f>
        <v>2759</v>
      </c>
      <c r="D17" s="50" t="str">
        <f>siswa!E14</f>
        <v>0089824121</v>
      </c>
      <c r="E17" s="51">
        <f>'KI3'!FL18</f>
        <v>83</v>
      </c>
      <c r="F17" s="51" t="str">
        <f>'KI3'!FM18</f>
        <v>B</v>
      </c>
      <c r="G17" s="52" t="str">
        <f>IF(E17="","",'KI3'!QG18)</f>
        <v>Baik dalam jenis, sifat, karakter dan teknik pengolahan kerang, kaca, keramik dan botol plasti.  </v>
      </c>
      <c r="H17" s="51" t="str">
        <f>'KI4'!GC18</f>
        <v/>
      </c>
      <c r="I17" s="72" t="str">
        <f>'KI4'!GD18</f>
        <v/>
      </c>
      <c r="J17" s="73" t="str">
        <f>IF(H17="","",'KI4'!NR18)</f>
        <v/>
      </c>
      <c r="K17" s="69"/>
      <c r="L17" s="64"/>
      <c r="M17" s="75" t="e">
        <f>#REF!</f>
        <v>#REF!</v>
      </c>
      <c r="N17" s="75" t="e">
        <f>#REF!</f>
        <v>#REF!</v>
      </c>
      <c r="O17" s="75" t="e">
        <f>#REF!</f>
        <v>#REF!</v>
      </c>
      <c r="P17" s="75" t="e">
        <f>#REF!</f>
        <v>#REF!</v>
      </c>
    </row>
    <row r="18" ht="44.25" hidden="1" customHeight="1" spans="1:16">
      <c r="A18" s="48">
        <v>11</v>
      </c>
      <c r="B18" s="49" t="str">
        <f>siswa!C15</f>
        <v>GEBRIEL ALFARO VIQINZO SIAHAAN</v>
      </c>
      <c r="C18" s="50">
        <f>siswa!D15</f>
        <v>2766</v>
      </c>
      <c r="D18" s="50" t="str">
        <f>siswa!E15</f>
        <v>0086359853</v>
      </c>
      <c r="E18" s="51">
        <f>'KI3'!FL19</f>
        <v>85</v>
      </c>
      <c r="F18" s="51" t="str">
        <f>'KI3'!FM19</f>
        <v>B</v>
      </c>
      <c r="G18" s="52" t="str">
        <f>IF(E18="","",'KI3'!QG19)</f>
        <v>Baik dalam jenis, sifat, karakter dan teknik pengolahan kerang, kaca, keramik dan botol plasti.  </v>
      </c>
      <c r="H18" s="51" t="str">
        <f>'KI4'!GC19</f>
        <v/>
      </c>
      <c r="I18" s="72" t="str">
        <f>'KI4'!GD19</f>
        <v/>
      </c>
      <c r="J18" s="73" t="str">
        <f>IF(H18="","",'KI4'!NR19)</f>
        <v/>
      </c>
      <c r="K18" s="69"/>
      <c r="L18" s="64"/>
      <c r="M18" s="75" t="e">
        <f>#REF!</f>
        <v>#REF!</v>
      </c>
      <c r="N18" s="75" t="e">
        <f>#REF!</f>
        <v>#REF!</v>
      </c>
      <c r="O18" s="75" t="e">
        <f>#REF!</f>
        <v>#REF!</v>
      </c>
      <c r="P18" s="75" t="e">
        <f>#REF!</f>
        <v>#REF!</v>
      </c>
    </row>
    <row r="19" ht="44.25" hidden="1" customHeight="1" spans="1:16">
      <c r="A19" s="48">
        <v>12</v>
      </c>
      <c r="B19" s="49" t="str">
        <f>siswa!C16</f>
        <v>IQBAL RAMADHAN</v>
      </c>
      <c r="C19" s="50">
        <f>siswa!D16</f>
        <v>2774</v>
      </c>
      <c r="D19" s="50" t="str">
        <f>siswa!E16</f>
        <v>0072560925</v>
      </c>
      <c r="E19" s="51">
        <f>'KI3'!FL20</f>
        <v>79</v>
      </c>
      <c r="F19" s="51" t="str">
        <f>'KI3'!FM20</f>
        <v>C</v>
      </c>
      <c r="G19" s="52" t="str">
        <f>IF(E19="","",'KI3'!QG20)</f>
        <v>Baik dalam jenis, sifat, karakter dan teknik pengolahan kerang, kaca, keramik dan botol plasti.  Cukup Baik dalamprinsip perancangan, pembuatan dan penyajian produk kerajinan kerang, kaca, keramik dan botol plastik yang kreatif dan inovati.</v>
      </c>
      <c r="H19" s="51" t="str">
        <f>'KI4'!GC20</f>
        <v/>
      </c>
      <c r="I19" s="72" t="str">
        <f>'KI4'!GD20</f>
        <v/>
      </c>
      <c r="J19" s="73" t="str">
        <f>IF(H19="","",'KI4'!NR20)</f>
        <v/>
      </c>
      <c r="K19" s="69"/>
      <c r="L19" s="64"/>
      <c r="M19" s="75" t="e">
        <f>#REF!</f>
        <v>#REF!</v>
      </c>
      <c r="N19" s="75" t="e">
        <f>#REF!</f>
        <v>#REF!</v>
      </c>
      <c r="O19" s="75" t="e">
        <f>#REF!</f>
        <v>#REF!</v>
      </c>
      <c r="P19" s="75" t="e">
        <f>#REF!</f>
        <v>#REF!</v>
      </c>
    </row>
    <row r="20" ht="44.25" hidden="1" customHeight="1" spans="1:16">
      <c r="A20" s="48">
        <v>13</v>
      </c>
      <c r="B20" s="49" t="str">
        <f>siswa!C17</f>
        <v>JHONATAN MARCEL TAMPUBOLON</v>
      </c>
      <c r="C20" s="50">
        <f>siswa!D17</f>
        <v>2777</v>
      </c>
      <c r="D20" s="50" t="str">
        <f>siswa!E17</f>
        <v>0081472736</v>
      </c>
      <c r="E20" s="51">
        <f>'KI3'!FL21</f>
        <v>85</v>
      </c>
      <c r="F20" s="51" t="str">
        <f>'KI3'!FM21</f>
        <v>B</v>
      </c>
      <c r="G20" s="52" t="str">
        <f>IF(E20="","",'KI3'!QG21)</f>
        <v>Baik dalam prinsip perancangan, pembuatan dan penyajian produk kerajinan kerang, kaca, keramik dan botol plastik yang kreatif dan inovati.  Cukup Baik dalamjenis, sifat, karakter dan teknik pengolahan kerang, kaca, keramik dan botol plasti.</v>
      </c>
      <c r="H20" s="51">
        <f>'KI4'!GC21</f>
        <v>84</v>
      </c>
      <c r="I20" s="72" t="str">
        <f>'KI4'!GD21</f>
        <v>B</v>
      </c>
      <c r="J20" s="73" t="str">
        <f>IF(H20="","",'KI4'!NR21)</f>
        <v>Terampil dalam memilih jenis, bahan dan teknik pengolahan kerang, kaca, keramik dan botol plastik sesuai dengan potensi daerah setempatperancangan pembuatan dan penyajian kerajinan kerang, kaca, keramik dan botol plastik yang kreatif dan inovati.  </v>
      </c>
      <c r="K20" s="69"/>
      <c r="L20" s="64"/>
      <c r="M20" s="75" t="e">
        <f>#REF!</f>
        <v>#REF!</v>
      </c>
      <c r="N20" s="75" t="e">
        <f>#REF!</f>
        <v>#REF!</v>
      </c>
      <c r="O20" s="75" t="e">
        <f>#REF!</f>
        <v>#REF!</v>
      </c>
      <c r="P20" s="75" t="e">
        <f>#REF!</f>
        <v>#REF!</v>
      </c>
    </row>
    <row r="21" ht="44.25" hidden="1" customHeight="1" spans="1:16">
      <c r="A21" s="48">
        <v>14</v>
      </c>
      <c r="B21" s="49" t="str">
        <f>siswa!C18</f>
        <v>JULFAN HANDIKA TELAUMBANUA</v>
      </c>
      <c r="C21" s="50">
        <f>siswa!D18</f>
        <v>2781</v>
      </c>
      <c r="D21" s="50" t="str">
        <f>siswa!E18</f>
        <v>0072125800</v>
      </c>
      <c r="E21" s="51">
        <f>'KI3'!FL22</f>
        <v>84</v>
      </c>
      <c r="F21" s="51" t="str">
        <f>'KI3'!FM22</f>
        <v>B</v>
      </c>
      <c r="G21" s="52" t="str">
        <f>IF(E21="","",'KI3'!QG22)</f>
        <v>Baik dalam prinsip perancangan, pembuatan dan penyajian produk kerajinan kerang, kaca, keramik dan botol plastik yang kreatif dan inovati.  Cukup Baik dalamjenis, sifat, karakter dan teknik pengolahan kerang, kaca, keramik dan botol plasti.</v>
      </c>
      <c r="H21" s="51">
        <f>'KI4'!GC22</f>
        <v>86</v>
      </c>
      <c r="I21" s="72" t="str">
        <f>'KI4'!GD22</f>
        <v>B</v>
      </c>
      <c r="J21" s="73" t="str">
        <f>IF(H21="","",'KI4'!NR22)</f>
        <v>Terampil dalam memilih jenis, bahan dan teknik pengolahan kerang, kaca, keramik dan botol plastik sesuai dengan potensi daerah setempatperancangan pembuatan dan penyajian kerajinan kerang, kaca, keramik dan botol plastik yang kreatif dan inovati.  </v>
      </c>
      <c r="K21" s="69"/>
      <c r="L21" s="64"/>
      <c r="M21" s="75" t="e">
        <f>#REF!</f>
        <v>#REF!</v>
      </c>
      <c r="N21" s="75" t="e">
        <f>#REF!</f>
        <v>#REF!</v>
      </c>
      <c r="O21" s="75" t="e">
        <f>#REF!</f>
        <v>#REF!</v>
      </c>
      <c r="P21" s="75" t="e">
        <f>#REF!</f>
        <v>#REF!</v>
      </c>
    </row>
    <row r="22" ht="44.25" hidden="1" customHeight="1" spans="1:16">
      <c r="A22" s="48">
        <v>15</v>
      </c>
      <c r="B22" s="49" t="str">
        <f>siswa!C19</f>
        <v>JULI ROSISKA</v>
      </c>
      <c r="C22" s="50">
        <f>siswa!D19</f>
        <v>2782</v>
      </c>
      <c r="D22" s="50" t="str">
        <f>siswa!E19</f>
        <v>0078843844</v>
      </c>
      <c r="E22" s="51">
        <f>'KI3'!FL23</f>
        <v>84</v>
      </c>
      <c r="F22" s="51" t="str">
        <f>'KI3'!FM23</f>
        <v>B</v>
      </c>
      <c r="G22" s="52" t="str">
        <f>IF(E22="","",'KI3'!QG23)</f>
        <v>Baik dalam jenis, sifat, karakter dan teknik pengolahan kerang, kaca, keramik dan botol plasti.  </v>
      </c>
      <c r="H22" s="51">
        <f>'KI4'!GC23</f>
        <v>88</v>
      </c>
      <c r="I22" s="72" t="str">
        <f>'KI4'!GD23</f>
        <v>B</v>
      </c>
      <c r="J22" s="73" t="str">
        <f>IF(H22="","",'KI4'!NR23)</f>
        <v>Terampil dalam memilih jenis, bahan dan teknik pengolahan kerang, kaca, keramik dan botol plastik sesuai dengan potensi daerah setempatperancangan pembuatan dan penyajian kerajinan kerang, kaca, keramik dan botol plastik yang kreatif dan inovati.  </v>
      </c>
      <c r="K22" s="69"/>
      <c r="L22" s="64"/>
      <c r="M22" s="75" t="e">
        <f>#REF!</f>
        <v>#REF!</v>
      </c>
      <c r="N22" s="75" t="e">
        <f>#REF!</f>
        <v>#REF!</v>
      </c>
      <c r="O22" s="75" t="e">
        <f>#REF!</f>
        <v>#REF!</v>
      </c>
      <c r="P22" s="75" t="e">
        <f>#REF!</f>
        <v>#REF!</v>
      </c>
    </row>
    <row r="23" ht="44.25" hidden="1" customHeight="1" spans="1:16">
      <c r="A23" s="48">
        <v>16</v>
      </c>
      <c r="B23" s="49" t="str">
        <f>siswa!C20</f>
        <v>MAWARNI ZAI</v>
      </c>
      <c r="C23" s="50">
        <f>siswa!D20</f>
        <v>2795</v>
      </c>
      <c r="D23" s="50" t="str">
        <f>siswa!E20</f>
        <v>0078932423</v>
      </c>
      <c r="E23" s="51">
        <f>'KI3'!FL24</f>
        <v>83</v>
      </c>
      <c r="F23" s="51" t="str">
        <f>'KI3'!FM24</f>
        <v>B</v>
      </c>
      <c r="G23" s="52" t="str">
        <f>IF(E23="","",'KI3'!QG24)</f>
        <v>Baik dalam prinsip perancangan, pembuatan dan penyajian produk kerajinan kerang, kaca, keramik dan botol plastik yang kreatif dan inovati.  </v>
      </c>
      <c r="H23" s="51">
        <f>'KI4'!GC24</f>
        <v>86</v>
      </c>
      <c r="I23" s="72" t="str">
        <f>'KI4'!GD24</f>
        <v>B</v>
      </c>
      <c r="J23" s="73" t="str">
        <f>IF(H23="","",'KI4'!NR24)</f>
        <v>Terampil dalam memilih jenis, bahan dan teknik pengolahan kerang, kaca, keramik dan botol plastik sesuai dengan potensi daerah setempatperancangan pembuatan dan penyajian kerajinan kerang, kaca, keramik dan botol plastik yang kreatif dan inovati.  </v>
      </c>
      <c r="K23" s="69"/>
      <c r="L23" s="64"/>
      <c r="M23" s="75" t="e">
        <f>#REF!</f>
        <v>#REF!</v>
      </c>
      <c r="N23" s="75" t="e">
        <f>#REF!</f>
        <v>#REF!</v>
      </c>
      <c r="O23" s="75" t="e">
        <f>#REF!</f>
        <v>#REF!</v>
      </c>
      <c r="P23" s="75" t="e">
        <f>#REF!</f>
        <v>#REF!</v>
      </c>
    </row>
    <row r="24" ht="44.25" hidden="1" customHeight="1" spans="1:16">
      <c r="A24" s="48">
        <v>17</v>
      </c>
      <c r="B24" s="49" t="str">
        <f>siswa!C21</f>
        <v>MUHAMMAD JUNAIDI SAPUTRA</v>
      </c>
      <c r="C24" s="50">
        <f>siswa!D21</f>
        <v>2804</v>
      </c>
      <c r="D24" s="50" t="str">
        <f>siswa!E21</f>
        <v>0083680463</v>
      </c>
      <c r="E24" s="51">
        <f>'KI3'!FL25</f>
        <v>88</v>
      </c>
      <c r="F24" s="51" t="str">
        <f>'KI3'!FM25</f>
        <v>B</v>
      </c>
      <c r="G24" s="52" t="str">
        <f>IF(E24="","",'KI3'!QG25)</f>
        <v>Baik dalam jenis, sifat, karakter dan teknik pengolahan kerang, kaca, keramik dan botol plasti.  </v>
      </c>
      <c r="H24" s="51" t="str">
        <f>'KI4'!GC25</f>
        <v/>
      </c>
      <c r="I24" s="72" t="str">
        <f>'KI4'!GD25</f>
        <v/>
      </c>
      <c r="J24" s="73" t="str">
        <f>IF(H24="","",'KI4'!NR25)</f>
        <v/>
      </c>
      <c r="K24" s="69"/>
      <c r="L24" s="64"/>
      <c r="M24" s="75" t="e">
        <f>#REF!</f>
        <v>#REF!</v>
      </c>
      <c r="N24" s="75" t="e">
        <f>#REF!</f>
        <v>#REF!</v>
      </c>
      <c r="O24" s="75" t="e">
        <f>#REF!</f>
        <v>#REF!</v>
      </c>
      <c r="P24" s="75" t="e">
        <f>#REF!</f>
        <v>#REF!</v>
      </c>
    </row>
    <row r="25" ht="44.25" hidden="1" customHeight="1" spans="1:16">
      <c r="A25" s="48">
        <v>18</v>
      </c>
      <c r="B25" s="49" t="str">
        <f>siswa!C22</f>
        <v>MUHAMMAD SAHIT</v>
      </c>
      <c r="C25" s="50">
        <f>siswa!D22</f>
        <v>2805</v>
      </c>
      <c r="D25" s="50" t="str">
        <f>siswa!E22</f>
        <v>0072107516</v>
      </c>
      <c r="E25" s="51">
        <f>'KI3'!FL26</f>
        <v>75</v>
      </c>
      <c r="F25" s="51" t="str">
        <f>'KI3'!FM26</f>
        <v>C</v>
      </c>
      <c r="G25" s="52" t="str">
        <f>IF(E25="","",'KI3'!QG26)</f>
        <v>Cukup Baik dalam jenis, sifat, karakter dan teknik pengolahan kerang, kaca, keramik dan botol plasti.  </v>
      </c>
      <c r="H25" s="51" t="str">
        <f>'KI4'!GC26</f>
        <v/>
      </c>
      <c r="I25" s="72" t="str">
        <f>'KI4'!GD26</f>
        <v/>
      </c>
      <c r="J25" s="73" t="str">
        <f>IF(H25="","",'KI4'!NR26)</f>
        <v/>
      </c>
      <c r="K25" s="69"/>
      <c r="L25" s="64"/>
      <c r="M25" s="75" t="e">
        <f>#REF!</f>
        <v>#REF!</v>
      </c>
      <c r="N25" s="75" t="e">
        <f>#REF!</f>
        <v>#REF!</v>
      </c>
      <c r="O25" s="75" t="e">
        <f>#REF!</f>
        <v>#REF!</v>
      </c>
      <c r="P25" s="75" t="e">
        <f>#REF!</f>
        <v>#REF!</v>
      </c>
    </row>
    <row r="26" ht="44.25" hidden="1" customHeight="1" spans="1:16">
      <c r="A26" s="48">
        <v>19</v>
      </c>
      <c r="B26" s="49" t="str">
        <f>siswa!C23</f>
        <v>OLIVIA OCTAVIA PARHUSIP</v>
      </c>
      <c r="C26" s="50">
        <f>siswa!D23</f>
        <v>2820</v>
      </c>
      <c r="D26" s="50" t="str">
        <f>siswa!E23</f>
        <v>0085664996</v>
      </c>
      <c r="E26" s="51">
        <f>'KI3'!FL27</f>
        <v>83</v>
      </c>
      <c r="F26" s="51" t="str">
        <f>'KI3'!FM27</f>
        <v>B</v>
      </c>
      <c r="G26" s="52" t="str">
        <f>IF(E26="","",'KI3'!QG27)</f>
        <v>Baik dalam prinsip perancangan, pembuatan dan penyajian produk kerajinan kerang, kaca, keramik dan botol plastik yang kreatif dan inovati.  </v>
      </c>
      <c r="H26" s="51">
        <f>'KI4'!GC27</f>
        <v>88</v>
      </c>
      <c r="I26" s="72" t="str">
        <f>'KI4'!GD27</f>
        <v>B</v>
      </c>
      <c r="J26" s="73" t="str">
        <f>IF(H26="","",'KI4'!NR27)</f>
        <v>Terampil dalam memilih jenis, bahan dan teknik pengolahan kerang, kaca, keramik dan botol plastik sesuai dengan potensi daerah setempatperancangan pembuatan dan penyajian kerajinan kerang, kaca, keramik dan botol plastik yang kreatif dan inovati.  </v>
      </c>
      <c r="K26" s="69"/>
      <c r="L26" s="64"/>
      <c r="M26" s="75" t="e">
        <f>#REF!</f>
        <v>#REF!</v>
      </c>
      <c r="N26" s="75" t="e">
        <f>#REF!</f>
        <v>#REF!</v>
      </c>
      <c r="O26" s="75" t="e">
        <f>#REF!</f>
        <v>#REF!</v>
      </c>
      <c r="P26" s="75" t="e">
        <f>#REF!</f>
        <v>#REF!</v>
      </c>
    </row>
    <row r="27" ht="44.25" hidden="1" customHeight="1" spans="1:16">
      <c r="A27" s="48">
        <v>20</v>
      </c>
      <c r="B27" s="49" t="str">
        <f>siswa!C24</f>
        <v>RICKY VELY SITANGGANG</v>
      </c>
      <c r="C27" s="50">
        <f>siswa!D24</f>
        <v>2830</v>
      </c>
      <c r="D27" s="50" t="str">
        <f>siswa!E24</f>
        <v>0081662285</v>
      </c>
      <c r="E27" s="51">
        <f>'KI3'!FL28</f>
        <v>82</v>
      </c>
      <c r="F27" s="51" t="str">
        <f>'KI3'!FM28</f>
        <v>C</v>
      </c>
      <c r="G27" s="52" t="str">
        <f>IF(E27="","",'KI3'!QG28)</f>
        <v>Baik dalam jenis, sifat, karakter dan teknik pengolahan kerang, kaca, keramik dan botol plasti.  </v>
      </c>
      <c r="H27" s="51">
        <f>'KI4'!GC28</f>
        <v>84</v>
      </c>
      <c r="I27" s="72" t="str">
        <f>'KI4'!GD28</f>
        <v>B</v>
      </c>
      <c r="J27" s="73" t="str">
        <f>IF(H27="","",'KI4'!NR28)</f>
        <v>Terampil dalam memilih jenis, bahan dan teknik pengolahan kerang, kaca, keramik dan botol plastik sesuai dengan potensi daerah setempatperancangan pembuatan dan penyajian kerajinan kerang, kaca, keramik dan botol plastik yang kreatif dan inovati.  </v>
      </c>
      <c r="K27" s="69"/>
      <c r="L27" s="64"/>
      <c r="M27" s="75" t="e">
        <f>#REF!</f>
        <v>#REF!</v>
      </c>
      <c r="N27" s="75" t="e">
        <f>#REF!</f>
        <v>#REF!</v>
      </c>
      <c r="O27" s="75" t="e">
        <f>#REF!</f>
        <v>#REF!</v>
      </c>
      <c r="P27" s="75" t="e">
        <f>#REF!</f>
        <v>#REF!</v>
      </c>
    </row>
    <row r="28" ht="44.25" hidden="1" customHeight="1" spans="1:16">
      <c r="A28" s="48">
        <v>21</v>
      </c>
      <c r="B28" s="49" t="str">
        <f>siswa!C25</f>
        <v>RISKI HARUN ARITONANG</v>
      </c>
      <c r="C28" s="50">
        <f>siswa!D25</f>
        <v>2832</v>
      </c>
      <c r="D28" s="50" t="str">
        <f>siswa!E25</f>
        <v>0079010307</v>
      </c>
      <c r="E28" s="51">
        <f>'KI3'!FL29</f>
        <v>81</v>
      </c>
      <c r="F28" s="51" t="str">
        <f>'KI3'!FM29</f>
        <v>C</v>
      </c>
      <c r="G28" s="52" t="str">
        <f>IF(E28="","",'KI3'!QG29)</f>
        <v>Baik dalam prinsip perancangan, pembuatan dan penyajian produk kerajinan kerang, kaca, keramik dan botol plastik yang kreatif dan inovati.  </v>
      </c>
      <c r="H28" s="51" t="str">
        <f>'KI4'!GC29</f>
        <v/>
      </c>
      <c r="I28" s="72" t="str">
        <f>'KI4'!GD29</f>
        <v/>
      </c>
      <c r="J28" s="73" t="str">
        <f>IF(H28="","",'KI4'!NR29)</f>
        <v/>
      </c>
      <c r="K28" s="69"/>
      <c r="L28" s="64"/>
      <c r="M28" s="75" t="e">
        <f>#REF!</f>
        <v>#REF!</v>
      </c>
      <c r="N28" s="75" t="e">
        <f>#REF!</f>
        <v>#REF!</v>
      </c>
      <c r="O28" s="75" t="e">
        <f>#REF!</f>
        <v>#REF!</v>
      </c>
      <c r="P28" s="75" t="e">
        <f>#REF!</f>
        <v>#REF!</v>
      </c>
    </row>
    <row r="29" ht="44.25" hidden="1" customHeight="1" spans="1:16">
      <c r="A29" s="48">
        <v>22</v>
      </c>
      <c r="B29" s="49" t="str">
        <f>siswa!C26</f>
        <v>RIZAL AFRIANDI HUTAGAOL</v>
      </c>
      <c r="C29" s="50">
        <f>siswa!D26</f>
        <v>2834</v>
      </c>
      <c r="D29" s="50" t="str">
        <f>siswa!E26</f>
        <v>0079205396</v>
      </c>
      <c r="E29" s="51">
        <f>'KI3'!FL30</f>
        <v>82</v>
      </c>
      <c r="F29" s="51" t="str">
        <f>'KI3'!FM30</f>
        <v>C</v>
      </c>
      <c r="G29" s="52" t="str">
        <f>IF(E29="","",'KI3'!QG30)</f>
        <v>Baik dalam jenis, sifat, karakter dan teknik pengolahan kerang, kaca, keramik dan botol plasti.  </v>
      </c>
      <c r="H29" s="51">
        <f>'KI4'!GC30</f>
        <v>94</v>
      </c>
      <c r="I29" s="72" t="str">
        <f>'KI4'!GD30</f>
        <v>A</v>
      </c>
      <c r="J29" s="73" t="str">
        <f>IF(H29="","",'KI4'!NR30)</f>
        <v>Sangat terampil dalam memilih jenis, bahan dan teknik pengolahan kerang, kaca, keramik dan botol plastik sesuai dengan potensi daerah setempatperancangan pembuatan dan penyajian kerajinan kerang, kaca, keramik dan botol plastik yang kreatif dan inovati.  </v>
      </c>
      <c r="K29" s="69"/>
      <c r="L29" s="64"/>
      <c r="M29" s="75" t="e">
        <f>#REF!</f>
        <v>#REF!</v>
      </c>
      <c r="N29" s="75" t="e">
        <f>#REF!</f>
        <v>#REF!</v>
      </c>
      <c r="O29" s="75" t="e">
        <f>#REF!</f>
        <v>#REF!</v>
      </c>
      <c r="P29" s="75" t="e">
        <f>#REF!</f>
        <v>#REF!</v>
      </c>
    </row>
    <row r="30" ht="44.25" hidden="1" customHeight="1" spans="1:16">
      <c r="A30" s="48">
        <v>23</v>
      </c>
      <c r="B30" s="49" t="str">
        <f>siswa!C27</f>
        <v>T. SYARIFAH RAISYA KHAIRANI</v>
      </c>
      <c r="C30" s="50">
        <f>siswa!D27</f>
        <v>2847</v>
      </c>
      <c r="D30" s="50" t="str">
        <f>siswa!E27</f>
        <v>0089443712</v>
      </c>
      <c r="E30" s="51">
        <f>'KI3'!FL31</f>
        <v>89</v>
      </c>
      <c r="F30" s="51" t="str">
        <f>'KI3'!FM31</f>
        <v>B</v>
      </c>
      <c r="G30" s="52" t="str">
        <f>IF(E30="","",'KI3'!QG31)</f>
        <v>Sangat baik dalam jenis, sifat, karakter dan teknik pengolahan kerang, kaca, keramik dan botol plasti.  Baik dalamprinsip perancangan, pembuatan dan penyajian produk kerajinan kerang, kaca, keramik dan botol plastik yang kreatif dan inovati.</v>
      </c>
      <c r="H30" s="51">
        <f>'KI4'!GC31</f>
        <v>98</v>
      </c>
      <c r="I30" s="72" t="str">
        <f>'KI4'!GD31</f>
        <v>A</v>
      </c>
      <c r="J30" s="73" t="str">
        <f>IF(H30="","",'KI4'!NR31)</f>
        <v>Sangat terampil dalam memilih jenis, bahan dan teknik pengolahan kerang, kaca, keramik dan botol plastik sesuai dengan potensi daerah setempatperancangan pembuatan dan penyajian kerajinan kerang, kaca, keramik dan botol plastik yang kreatif dan inovati.  </v>
      </c>
      <c r="K30" s="69"/>
      <c r="L30" s="64"/>
      <c r="M30" s="75" t="e">
        <f>#REF!</f>
        <v>#REF!</v>
      </c>
      <c r="N30" s="75" t="e">
        <f>#REF!</f>
        <v>#REF!</v>
      </c>
      <c r="O30" s="75" t="e">
        <f>#REF!</f>
        <v>#REF!</v>
      </c>
      <c r="P30" s="75" t="e">
        <f>#REF!</f>
        <v>#REF!</v>
      </c>
    </row>
    <row r="31" ht="44.25" hidden="1" customHeight="1" spans="1:16">
      <c r="A31" s="48">
        <v>24</v>
      </c>
      <c r="B31" s="49" t="str">
        <f>siswa!C28</f>
        <v>TAGON BOAS BARUARA</v>
      </c>
      <c r="C31" s="50">
        <f>siswa!D28</f>
        <v>2848</v>
      </c>
      <c r="D31" s="50" t="str">
        <f>siswa!E28</f>
        <v>0088075987</v>
      </c>
      <c r="E31" s="51">
        <f>'KI3'!FL32</f>
        <v>90</v>
      </c>
      <c r="F31" s="51" t="str">
        <f>'KI3'!FM32</f>
        <v>B</v>
      </c>
      <c r="G31" s="52" t="str">
        <f>IF(E31="","",'KI3'!QG32)</f>
        <v>Sangat baik dalam jenis, sifat, karakter dan teknik pengolahan kerang, kaca, keramik dan botol plasti.  Baik dalamprinsip perancangan, pembuatan dan penyajian produk kerajinan kerang, kaca, keramik dan botol plastik yang kreatif dan inovati.</v>
      </c>
      <c r="H31" s="51">
        <f>'KI4'!GC32</f>
        <v>88</v>
      </c>
      <c r="I31" s="72" t="str">
        <f>'KI4'!GD32</f>
        <v>B</v>
      </c>
      <c r="J31" s="73" t="str">
        <f>IF(H31="","",'KI4'!NR32)</f>
        <v>Terampil dalam memilih jenis, bahan dan teknik pengolahan kerang, kaca, keramik dan botol plastik sesuai dengan potensi daerah setempatperancangan pembuatan dan penyajian kerajinan kerang, kaca, keramik dan botol plastik yang kreatif dan inovati.  </v>
      </c>
      <c r="K31" s="69"/>
      <c r="L31" s="64"/>
      <c r="M31" s="75" t="e">
        <f>#REF!</f>
        <v>#REF!</v>
      </c>
      <c r="N31" s="75" t="e">
        <f>#REF!</f>
        <v>#REF!</v>
      </c>
      <c r="O31" s="75" t="e">
        <f>#REF!</f>
        <v>#REF!</v>
      </c>
      <c r="P31" s="75" t="e">
        <f>#REF!</f>
        <v>#REF!</v>
      </c>
    </row>
    <row r="32" ht="44.25" hidden="1" customHeight="1" spans="1:16">
      <c r="A32" s="48">
        <v>25</v>
      </c>
      <c r="B32" s="49" t="str">
        <f>siswa!C29</f>
        <v>TRIAS RAMADAN PASARIBU</v>
      </c>
      <c r="C32" s="50">
        <f>siswa!D29</f>
        <v>2854</v>
      </c>
      <c r="D32" s="50" t="str">
        <f>siswa!E29</f>
        <v>0073859790</v>
      </c>
      <c r="E32" s="51">
        <f>'KI3'!FL33</f>
        <v>76</v>
      </c>
      <c r="F32" s="51" t="str">
        <f>'KI3'!FM33</f>
        <v>C</v>
      </c>
      <c r="G32" s="52" t="str">
        <f>IF(E32="","",'KI3'!QG33)</f>
        <v>Cukup Baik dalam jenis, sifat, karakter dan teknik pengolahan kerang, kaca, keramik dan botol plasti.  </v>
      </c>
      <c r="H32" s="51" t="str">
        <f>'KI4'!GC33</f>
        <v/>
      </c>
      <c r="I32" s="72" t="str">
        <f>'KI4'!GD33</f>
        <v/>
      </c>
      <c r="J32" s="73" t="str">
        <f>IF(H32="","",'KI4'!NR33)</f>
        <v/>
      </c>
      <c r="K32" s="69"/>
      <c r="L32" s="64"/>
      <c r="M32" s="75" t="e">
        <f>#REF!</f>
        <v>#REF!</v>
      </c>
      <c r="N32" s="75" t="e">
        <f>#REF!</f>
        <v>#REF!</v>
      </c>
      <c r="O32" s="75" t="e">
        <f>#REF!</f>
        <v>#REF!</v>
      </c>
      <c r="P32" s="75" t="e">
        <f>#REF!</f>
        <v>#REF!</v>
      </c>
    </row>
    <row r="33" ht="44.25" hidden="1" customHeight="1" spans="1:16">
      <c r="A33" s="48">
        <v>26</v>
      </c>
      <c r="B33" s="49" t="str">
        <f>siswa!C30</f>
        <v>TUAHMAN</v>
      </c>
      <c r="C33" s="50">
        <f>siswa!D30</f>
        <v>2856</v>
      </c>
      <c r="D33" s="50" t="str">
        <f>siswa!E30</f>
        <v>0074996561</v>
      </c>
      <c r="E33" s="51">
        <f>'KI3'!FL34</f>
        <v>44</v>
      </c>
      <c r="F33" s="51" t="str">
        <f>'KI3'!FM34</f>
        <v>D</v>
      </c>
      <c r="G33" s="52" t="str">
        <f>IF(E33="","",'KI3'!QG34)</f>
        <v>Baik dalam jenis, sifat, karakter dan teknik pengolahan kerang, kaca, keramik dan botol plasti.  </v>
      </c>
      <c r="H33" s="51" t="str">
        <f>'KI4'!GC34</f>
        <v/>
      </c>
      <c r="I33" s="72" t="str">
        <f>'KI4'!GD34</f>
        <v/>
      </c>
      <c r="J33" s="73" t="str">
        <f>IF(H33="","",'KI4'!NR34)</f>
        <v/>
      </c>
      <c r="K33" s="69"/>
      <c r="L33" s="64"/>
      <c r="M33" s="75" t="e">
        <f>#REF!</f>
        <v>#REF!</v>
      </c>
      <c r="N33" s="75" t="e">
        <f>#REF!</f>
        <v>#REF!</v>
      </c>
      <c r="O33" s="75" t="e">
        <f>#REF!</f>
        <v>#REF!</v>
      </c>
      <c r="P33" s="75" t="e">
        <f>#REF!</f>
        <v>#REF!</v>
      </c>
    </row>
    <row r="34" ht="44.25" hidden="1" customHeight="1" spans="1:16">
      <c r="A34" s="48">
        <v>27</v>
      </c>
      <c r="B34" s="49" t="str">
        <f>siswa!C31</f>
        <v>VHARIL SUHAIB SIMBOLON</v>
      </c>
      <c r="C34" s="50">
        <f>siswa!D31</f>
        <v>2858</v>
      </c>
      <c r="D34" s="50" t="str">
        <f>siswa!E31</f>
        <v>0085321326</v>
      </c>
      <c r="E34" s="51">
        <f>'KI3'!FL35</f>
        <v>82</v>
      </c>
      <c r="F34" s="51" t="str">
        <f>'KI3'!FM35</f>
        <v>C</v>
      </c>
      <c r="G34" s="52" t="str">
        <f>IF(E34="","",'KI3'!QG35)</f>
        <v>Baik dalam prinsip perancangan, pembuatan dan penyajian produk kerajinan kerang, kaca, keramik dan botol plastik yang kreatif dan inovati.  Cukup Baik dalamjenis, sifat, karakter dan teknik pengolahan kerang, kaca, keramik dan botol plasti.</v>
      </c>
      <c r="H34" s="51" t="str">
        <f>'KI4'!GC35</f>
        <v/>
      </c>
      <c r="I34" s="72" t="str">
        <f>'KI4'!GD35</f>
        <v/>
      </c>
      <c r="J34" s="73" t="str">
        <f>IF(H34="","",'KI4'!NR35)</f>
        <v/>
      </c>
      <c r="K34" s="69"/>
      <c r="L34" s="64"/>
      <c r="M34" s="75" t="e">
        <f>#REF!</f>
        <v>#REF!</v>
      </c>
      <c r="N34" s="75" t="e">
        <f>#REF!</f>
        <v>#REF!</v>
      </c>
      <c r="O34" s="75" t="e">
        <f>#REF!</f>
        <v>#REF!</v>
      </c>
      <c r="P34" s="75" t="e">
        <f>#REF!</f>
        <v>#REF!</v>
      </c>
    </row>
    <row r="35" ht="44.25" hidden="1" customHeight="1" spans="1:16">
      <c r="A35" s="48">
        <v>28</v>
      </c>
      <c r="B35" s="49" t="str">
        <f>siswa!C32</f>
        <v>SISKA DIANA PUTRI</v>
      </c>
      <c r="C35" s="50">
        <f>siswa!D32</f>
        <v>2871</v>
      </c>
      <c r="D35" s="50" t="str">
        <f>siswa!E32</f>
        <v>0087659070</v>
      </c>
      <c r="E35" s="51">
        <f>'KI3'!FL36</f>
        <v>87</v>
      </c>
      <c r="F35" s="51" t="str">
        <f>'KI3'!FM36</f>
        <v>B</v>
      </c>
      <c r="G35" s="52" t="str">
        <f>IF(E35="","",'KI3'!QG36)</f>
        <v>Baik dalam prinsip perancangan, pembuatan dan penyajian produk kerajinan kerang, kaca, keramik dan botol plastik yang kreatif dan inovati.  </v>
      </c>
      <c r="H35" s="51">
        <f>'KI4'!GC36</f>
        <v>86</v>
      </c>
      <c r="I35" s="72" t="str">
        <f>'KI4'!GD36</f>
        <v>B</v>
      </c>
      <c r="J35" s="73" t="str">
        <f>IF(H35="","",'KI4'!NR36)</f>
        <v>Terampil dalam memilih jenis, bahan dan teknik pengolahan kerang, kaca, keramik dan botol plastik sesuai dengan potensi daerah setempatperancangan pembuatan dan penyajian kerajinan kerang, kaca, keramik dan botol plastik yang kreatif dan inovati.  </v>
      </c>
      <c r="K35" s="69"/>
      <c r="L35" s="64"/>
      <c r="M35" s="75" t="e">
        <f>#REF!</f>
        <v>#REF!</v>
      </c>
      <c r="N35" s="75" t="e">
        <f>#REF!</f>
        <v>#REF!</v>
      </c>
      <c r="O35" s="75" t="e">
        <f>#REF!</f>
        <v>#REF!</v>
      </c>
      <c r="P35" s="75" t="e">
        <f>#REF!</f>
        <v>#REF!</v>
      </c>
    </row>
    <row r="36" ht="44.25" hidden="1" customHeight="1" spans="1:16">
      <c r="A36" s="48">
        <v>29</v>
      </c>
      <c r="B36" s="49">
        <f>siswa!C33</f>
        <v>0</v>
      </c>
      <c r="C36" s="50">
        <f>siswa!D33</f>
        <v>0</v>
      </c>
      <c r="D36" s="50">
        <f>siswa!E33</f>
        <v>0</v>
      </c>
      <c r="E36" s="51" t="str">
        <f>'KI3'!FL37</f>
        <v/>
      </c>
      <c r="F36" s="51" t="str">
        <f>'KI3'!FM37</f>
        <v/>
      </c>
      <c r="G36" s="52" t="str">
        <f>IF(E36="","",'KI3'!QG37)</f>
        <v/>
      </c>
      <c r="H36" s="51" t="str">
        <f>'KI4'!GC37</f>
        <v/>
      </c>
      <c r="I36" s="72" t="str">
        <f>'KI4'!GD37</f>
        <v/>
      </c>
      <c r="J36" s="73" t="str">
        <f>IF(H36="","",'KI4'!NR37)</f>
        <v/>
      </c>
      <c r="K36" s="69"/>
      <c r="L36" s="64"/>
      <c r="M36" s="75" t="e">
        <f>#REF!</f>
        <v>#REF!</v>
      </c>
      <c r="N36" s="75" t="e">
        <f>#REF!</f>
        <v>#REF!</v>
      </c>
      <c r="O36" s="75" t="e">
        <f>#REF!</f>
        <v>#REF!</v>
      </c>
      <c r="P36" s="75" t="e">
        <f>#REF!</f>
        <v>#REF!</v>
      </c>
    </row>
    <row r="37" ht="44.25" hidden="1" customHeight="1" spans="1:16">
      <c r="A37" s="48">
        <v>30</v>
      </c>
      <c r="B37" s="49">
        <f>siswa!C34</f>
        <v>0</v>
      </c>
      <c r="C37" s="50">
        <f>siswa!D34</f>
        <v>0</v>
      </c>
      <c r="D37" s="50">
        <f>siswa!E34</f>
        <v>0</v>
      </c>
      <c r="E37" s="51" t="str">
        <f>'KI3'!FL38</f>
        <v/>
      </c>
      <c r="F37" s="51" t="str">
        <f>'KI3'!FM38</f>
        <v/>
      </c>
      <c r="G37" s="52" t="str">
        <f>IF(E37="","",'KI3'!QG38)</f>
        <v/>
      </c>
      <c r="H37" s="51" t="str">
        <f>'KI4'!GC38</f>
        <v/>
      </c>
      <c r="I37" s="72" t="str">
        <f>'KI4'!GD38</f>
        <v/>
      </c>
      <c r="J37" s="73" t="str">
        <f>IF(H37="","",'KI4'!NR38)</f>
        <v/>
      </c>
      <c r="K37" s="69"/>
      <c r="L37" s="64"/>
      <c r="M37" s="75" t="e">
        <f>#REF!</f>
        <v>#REF!</v>
      </c>
      <c r="N37" s="75" t="e">
        <f>#REF!</f>
        <v>#REF!</v>
      </c>
      <c r="O37" s="75" t="e">
        <f>#REF!</f>
        <v>#REF!</v>
      </c>
      <c r="P37" s="75" t="e">
        <f>#REF!</f>
        <v>#REF!</v>
      </c>
    </row>
    <row r="38" ht="44.25" hidden="1" customHeight="1" spans="1:16">
      <c r="A38" s="48">
        <v>31</v>
      </c>
      <c r="B38" s="49">
        <f>siswa!C35</f>
        <v>0</v>
      </c>
      <c r="C38" s="50">
        <f>siswa!D35</f>
        <v>0</v>
      </c>
      <c r="D38" s="50">
        <f>siswa!E35</f>
        <v>0</v>
      </c>
      <c r="E38" s="51" t="str">
        <f>'KI3'!FL39</f>
        <v/>
      </c>
      <c r="F38" s="51" t="str">
        <f>'KI3'!FM39</f>
        <v/>
      </c>
      <c r="G38" s="52" t="str">
        <f>IF(E38="","",'KI3'!QG39)</f>
        <v/>
      </c>
      <c r="H38" s="51" t="str">
        <f>'KI4'!GC39</f>
        <v/>
      </c>
      <c r="I38" s="72" t="str">
        <f>'KI4'!GD39</f>
        <v/>
      </c>
      <c r="J38" s="73" t="str">
        <f>IF(H38="","",'KI4'!NR39)</f>
        <v/>
      </c>
      <c r="K38" s="69"/>
      <c r="L38" s="64"/>
      <c r="M38" s="75" t="e">
        <f>#REF!</f>
        <v>#REF!</v>
      </c>
      <c r="N38" s="75" t="e">
        <f>#REF!</f>
        <v>#REF!</v>
      </c>
      <c r="O38" s="75" t="e">
        <f>#REF!</f>
        <v>#REF!</v>
      </c>
      <c r="P38" s="75" t="e">
        <f>#REF!</f>
        <v>#REF!</v>
      </c>
    </row>
    <row r="39" ht="44.25" hidden="1" customHeight="1" spans="1:16">
      <c r="A39" s="48">
        <v>32</v>
      </c>
      <c r="B39" s="49">
        <f>siswa!C36</f>
        <v>0</v>
      </c>
      <c r="C39" s="50">
        <f>siswa!D36</f>
        <v>0</v>
      </c>
      <c r="D39" s="50">
        <f>siswa!E36</f>
        <v>0</v>
      </c>
      <c r="E39" s="51" t="str">
        <f>'KI3'!FL40</f>
        <v/>
      </c>
      <c r="F39" s="51" t="str">
        <f>'KI3'!FM40</f>
        <v/>
      </c>
      <c r="G39" s="52" t="str">
        <f>IF(E39="","",'KI3'!QG40)</f>
        <v/>
      </c>
      <c r="H39" s="51" t="str">
        <f>'KI4'!GC40</f>
        <v/>
      </c>
      <c r="I39" s="72" t="str">
        <f>'KI4'!GD40</f>
        <v/>
      </c>
      <c r="J39" s="73" t="str">
        <f>IF(H39="","",'KI4'!NR40)</f>
        <v/>
      </c>
      <c r="K39" s="69"/>
      <c r="L39" s="64"/>
      <c r="M39" s="75" t="e">
        <f>#REF!</f>
        <v>#REF!</v>
      </c>
      <c r="N39" s="75" t="e">
        <f>#REF!</f>
        <v>#REF!</v>
      </c>
      <c r="O39" s="75" t="e">
        <f>#REF!</f>
        <v>#REF!</v>
      </c>
      <c r="P39" s="75" t="e">
        <f>#REF!</f>
        <v>#REF!</v>
      </c>
    </row>
    <row r="40" ht="44.25" hidden="1" customHeight="1" spans="1:16">
      <c r="A40" s="48">
        <v>33</v>
      </c>
      <c r="B40" s="49">
        <f>siswa!C37</f>
        <v>0</v>
      </c>
      <c r="C40" s="50">
        <f>siswa!D37</f>
        <v>0</v>
      </c>
      <c r="D40" s="50">
        <f>siswa!E37</f>
        <v>0</v>
      </c>
      <c r="E40" s="51" t="str">
        <f>'KI3'!FL41</f>
        <v/>
      </c>
      <c r="F40" s="51" t="str">
        <f>'KI3'!FM41</f>
        <v/>
      </c>
      <c r="G40" s="52" t="str">
        <f>IF(E40="","",'KI3'!QG41)</f>
        <v/>
      </c>
      <c r="H40" s="51" t="str">
        <f>'KI4'!GC41</f>
        <v/>
      </c>
      <c r="I40" s="72" t="str">
        <f>'KI4'!GD41</f>
        <v/>
      </c>
      <c r="J40" s="73" t="str">
        <f>IF(H40="","",'KI4'!NR41)</f>
        <v/>
      </c>
      <c r="K40" s="69"/>
      <c r="L40" s="64"/>
      <c r="M40" s="75" t="e">
        <f>#REF!</f>
        <v>#REF!</v>
      </c>
      <c r="N40" s="75" t="e">
        <f>#REF!</f>
        <v>#REF!</v>
      </c>
      <c r="O40" s="75" t="e">
        <f>#REF!</f>
        <v>#REF!</v>
      </c>
      <c r="P40" s="75" t="e">
        <f>#REF!</f>
        <v>#REF!</v>
      </c>
    </row>
    <row r="41" ht="44.25" hidden="1" customHeight="1" spans="1:16">
      <c r="A41" s="48">
        <v>34</v>
      </c>
      <c r="B41" s="49">
        <f>siswa!C38</f>
        <v>0</v>
      </c>
      <c r="C41" s="50">
        <f>siswa!D38</f>
        <v>0</v>
      </c>
      <c r="D41" s="50">
        <f>siswa!E38</f>
        <v>0</v>
      </c>
      <c r="E41" s="51" t="str">
        <f>'KI3'!FL42</f>
        <v/>
      </c>
      <c r="F41" s="51" t="str">
        <f>'KI3'!FM42</f>
        <v/>
      </c>
      <c r="G41" s="52" t="str">
        <f>IF(E41="","",'KI3'!QG42)</f>
        <v/>
      </c>
      <c r="H41" s="51" t="str">
        <f>'KI4'!GC42</f>
        <v/>
      </c>
      <c r="I41" s="72" t="str">
        <f>'KI4'!GD42</f>
        <v/>
      </c>
      <c r="J41" s="73" t="str">
        <f>IF(H41="","",'KI4'!NR42)</f>
        <v/>
      </c>
      <c r="K41" s="69"/>
      <c r="L41" s="64"/>
      <c r="M41" s="75" t="e">
        <f>#REF!</f>
        <v>#REF!</v>
      </c>
      <c r="N41" s="75" t="e">
        <f>#REF!</f>
        <v>#REF!</v>
      </c>
      <c r="O41" s="75" t="e">
        <f>#REF!</f>
        <v>#REF!</v>
      </c>
      <c r="P41" s="75" t="e">
        <f>#REF!</f>
        <v>#REF!</v>
      </c>
    </row>
    <row r="42" ht="44.25" hidden="1" customHeight="1" spans="1:16">
      <c r="A42" s="48">
        <v>35</v>
      </c>
      <c r="B42" s="49">
        <f>siswa!C39</f>
        <v>0</v>
      </c>
      <c r="C42" s="50">
        <f>siswa!D39</f>
        <v>0</v>
      </c>
      <c r="D42" s="50">
        <f>siswa!E39</f>
        <v>0</v>
      </c>
      <c r="E42" s="51" t="str">
        <f>'KI3'!FL43</f>
        <v/>
      </c>
      <c r="F42" s="51" t="str">
        <f>'KI3'!FM43</f>
        <v/>
      </c>
      <c r="G42" s="52" t="str">
        <f>IF(E42="","",'KI3'!QG43)</f>
        <v/>
      </c>
      <c r="H42" s="51" t="str">
        <f>'KI4'!GC43</f>
        <v/>
      </c>
      <c r="I42" s="72" t="str">
        <f>'KI4'!GD43</f>
        <v/>
      </c>
      <c r="J42" s="73" t="str">
        <f>IF(H42="","",'KI4'!NR43)</f>
        <v/>
      </c>
      <c r="K42" s="69"/>
      <c r="L42" s="64"/>
      <c r="M42" s="75" t="e">
        <f>#REF!</f>
        <v>#REF!</v>
      </c>
      <c r="N42" s="75" t="e">
        <f>#REF!</f>
        <v>#REF!</v>
      </c>
      <c r="O42" s="75" t="e">
        <f>#REF!</f>
        <v>#REF!</v>
      </c>
      <c r="P42" s="75" t="e">
        <f>#REF!</f>
        <v>#REF!</v>
      </c>
    </row>
    <row r="43" ht="44.25" hidden="1" customHeight="1" spans="1:16">
      <c r="A43" s="48">
        <v>36</v>
      </c>
      <c r="B43" s="49">
        <f>siswa!C40</f>
        <v>0</v>
      </c>
      <c r="C43" s="50">
        <f>siswa!D40</f>
        <v>0</v>
      </c>
      <c r="D43" s="50">
        <f>siswa!E40</f>
        <v>0</v>
      </c>
      <c r="E43" s="51" t="str">
        <f>'KI3'!FL44</f>
        <v/>
      </c>
      <c r="F43" s="51" t="str">
        <f>'KI3'!FM44</f>
        <v/>
      </c>
      <c r="G43" s="52" t="str">
        <f>IF(E43="","",'KI3'!QG44)</f>
        <v/>
      </c>
      <c r="H43" s="51" t="str">
        <f>'KI4'!GC44</f>
        <v/>
      </c>
      <c r="I43" s="72" t="str">
        <f>'KI4'!GD44</f>
        <v/>
      </c>
      <c r="J43" s="73" t="str">
        <f>IF(H43="","",'KI4'!NR44)</f>
        <v/>
      </c>
      <c r="K43" s="69"/>
      <c r="L43" s="64"/>
      <c r="M43" s="75" t="e">
        <f>#REF!</f>
        <v>#REF!</v>
      </c>
      <c r="N43" s="75" t="e">
        <f>#REF!</f>
        <v>#REF!</v>
      </c>
      <c r="O43" s="75" t="e">
        <f>#REF!</f>
        <v>#REF!</v>
      </c>
      <c r="P43" s="75" t="e">
        <f>#REF!</f>
        <v>#REF!</v>
      </c>
    </row>
    <row r="44" ht="44.25" hidden="1" customHeight="1" spans="1:16">
      <c r="A44" s="48">
        <v>37</v>
      </c>
      <c r="B44" s="49">
        <f>siswa!C41</f>
        <v>0</v>
      </c>
      <c r="C44" s="50">
        <f>siswa!D41</f>
        <v>0</v>
      </c>
      <c r="D44" s="50">
        <f>siswa!E41</f>
        <v>0</v>
      </c>
      <c r="E44" s="51" t="str">
        <f>'KI3'!FL45</f>
        <v/>
      </c>
      <c r="F44" s="51" t="str">
        <f>'KI3'!FM45</f>
        <v/>
      </c>
      <c r="G44" s="52" t="str">
        <f>IF(E44="","",'KI3'!QG45)</f>
        <v/>
      </c>
      <c r="H44" s="51" t="str">
        <f>'KI4'!GC45</f>
        <v/>
      </c>
      <c r="I44" s="72" t="str">
        <f>'KI4'!GD45</f>
        <v/>
      </c>
      <c r="J44" s="73" t="str">
        <f>IF(H44="","",'KI4'!NR45)</f>
        <v/>
      </c>
      <c r="K44" s="69"/>
      <c r="L44" s="64"/>
      <c r="M44" s="75" t="e">
        <f>#REF!</f>
        <v>#REF!</v>
      </c>
      <c r="N44" s="75" t="e">
        <f>#REF!</f>
        <v>#REF!</v>
      </c>
      <c r="O44" s="75" t="e">
        <f>#REF!</f>
        <v>#REF!</v>
      </c>
      <c r="P44" s="75" t="e">
        <f>#REF!</f>
        <v>#REF!</v>
      </c>
    </row>
    <row r="45" ht="44.25" hidden="1" customHeight="1" spans="1:16">
      <c r="A45" s="48">
        <v>38</v>
      </c>
      <c r="B45" s="49">
        <f>siswa!C42</f>
        <v>0</v>
      </c>
      <c r="C45" s="50">
        <f>siswa!D42</f>
        <v>0</v>
      </c>
      <c r="D45" s="50">
        <f>siswa!E42</f>
        <v>0</v>
      </c>
      <c r="E45" s="51" t="str">
        <f>'KI3'!FL46</f>
        <v/>
      </c>
      <c r="F45" s="51" t="str">
        <f>'KI3'!FM46</f>
        <v/>
      </c>
      <c r="G45" s="52" t="str">
        <f>IF(E45="","",'KI3'!QG46)</f>
        <v/>
      </c>
      <c r="H45" s="51" t="str">
        <f>'KI4'!GC46</f>
        <v/>
      </c>
      <c r="I45" s="72" t="str">
        <f>'KI4'!GD46</f>
        <v/>
      </c>
      <c r="J45" s="73" t="str">
        <f>IF(H45="","",'KI4'!NR46)</f>
        <v/>
      </c>
      <c r="K45" s="69"/>
      <c r="L45" s="64"/>
      <c r="M45" s="75" t="e">
        <f>#REF!</f>
        <v>#REF!</v>
      </c>
      <c r="N45" s="75" t="e">
        <f>#REF!</f>
        <v>#REF!</v>
      </c>
      <c r="O45" s="75" t="e">
        <f>#REF!</f>
        <v>#REF!</v>
      </c>
      <c r="P45" s="75" t="e">
        <f>#REF!</f>
        <v>#REF!</v>
      </c>
    </row>
    <row r="46" ht="44.25" hidden="1" customHeight="1" spans="1:16">
      <c r="A46" s="48">
        <v>39</v>
      </c>
      <c r="B46" s="49">
        <f>siswa!C43</f>
        <v>0</v>
      </c>
      <c r="C46" s="50">
        <f>siswa!D43</f>
        <v>0</v>
      </c>
      <c r="D46" s="50">
        <f>siswa!E43</f>
        <v>0</v>
      </c>
      <c r="E46" s="51" t="str">
        <f>'KI3'!FL47</f>
        <v/>
      </c>
      <c r="F46" s="51" t="str">
        <f>'KI3'!FM47</f>
        <v/>
      </c>
      <c r="G46" s="52" t="str">
        <f>IF(E46="","",'KI3'!QG47)</f>
        <v/>
      </c>
      <c r="H46" s="51" t="str">
        <f>'KI4'!GC47</f>
        <v/>
      </c>
      <c r="I46" s="72" t="str">
        <f>'KI4'!GD47</f>
        <v/>
      </c>
      <c r="J46" s="73" t="str">
        <f>IF(H46="","",'KI4'!NR47)</f>
        <v/>
      </c>
      <c r="K46" s="69"/>
      <c r="L46" s="64"/>
      <c r="M46" s="75" t="e">
        <f>#REF!</f>
        <v>#REF!</v>
      </c>
      <c r="N46" s="75" t="e">
        <f>#REF!</f>
        <v>#REF!</v>
      </c>
      <c r="O46" s="75" t="e">
        <f>#REF!</f>
        <v>#REF!</v>
      </c>
      <c r="P46" s="75" t="e">
        <f>#REF!</f>
        <v>#REF!</v>
      </c>
    </row>
    <row r="47" ht="44.25" hidden="1" customHeight="1" spans="1:16">
      <c r="A47" s="48">
        <v>40</v>
      </c>
      <c r="B47" s="49">
        <f>siswa!C44</f>
        <v>0</v>
      </c>
      <c r="C47" s="50">
        <f>siswa!D44</f>
        <v>0</v>
      </c>
      <c r="D47" s="50">
        <f>siswa!E44</f>
        <v>0</v>
      </c>
      <c r="E47" s="51" t="str">
        <f>'KI3'!FL48</f>
        <v/>
      </c>
      <c r="F47" s="51" t="str">
        <f>'KI3'!FM48</f>
        <v/>
      </c>
      <c r="G47" s="52" t="str">
        <f>IF(E47="","",'KI3'!QG48)</f>
        <v/>
      </c>
      <c r="H47" s="51" t="str">
        <f>'KI4'!GC48</f>
        <v/>
      </c>
      <c r="I47" s="72" t="str">
        <f>'KI4'!GD48</f>
        <v/>
      </c>
      <c r="J47" s="73" t="str">
        <f>IF(H47="","",'KI4'!NR48)</f>
        <v/>
      </c>
      <c r="K47" s="69"/>
      <c r="L47" s="64"/>
      <c r="M47" s="75" t="e">
        <f>#REF!</f>
        <v>#REF!</v>
      </c>
      <c r="N47" s="75" t="e">
        <f>#REF!</f>
        <v>#REF!</v>
      </c>
      <c r="O47" s="75" t="e">
        <f>#REF!</f>
        <v>#REF!</v>
      </c>
      <c r="P47" s="75" t="e">
        <f>#REF!</f>
        <v>#REF!</v>
      </c>
    </row>
    <row r="48" ht="44.25" hidden="1" customHeight="1" spans="1:16">
      <c r="A48" s="48">
        <v>41</v>
      </c>
      <c r="B48" s="49">
        <f>siswa!C45</f>
        <v>0</v>
      </c>
      <c r="C48" s="50">
        <f>siswa!D45</f>
        <v>0</v>
      </c>
      <c r="D48" s="50">
        <f>siswa!E45</f>
        <v>0</v>
      </c>
      <c r="E48" s="51" t="str">
        <f>'KI3'!FL49</f>
        <v/>
      </c>
      <c r="F48" s="51" t="str">
        <f>'KI3'!FM49</f>
        <v/>
      </c>
      <c r="G48" s="52" t="str">
        <f>IF(E48="","",'KI3'!QG49)</f>
        <v/>
      </c>
      <c r="H48" s="51" t="str">
        <f>'KI4'!GC49</f>
        <v/>
      </c>
      <c r="I48" s="72" t="str">
        <f>'KI4'!GD49</f>
        <v/>
      </c>
      <c r="J48" s="73" t="str">
        <f>IF(H48="","",'KI4'!NR49)</f>
        <v/>
      </c>
      <c r="K48" s="69"/>
      <c r="L48" s="64"/>
      <c r="M48" s="75" t="e">
        <f>#REF!</f>
        <v>#REF!</v>
      </c>
      <c r="N48" s="75" t="e">
        <f>#REF!</f>
        <v>#REF!</v>
      </c>
      <c r="O48" s="75" t="e">
        <f>#REF!</f>
        <v>#REF!</v>
      </c>
      <c r="P48" s="75" t="e">
        <f>#REF!</f>
        <v>#REF!</v>
      </c>
    </row>
    <row r="49" ht="44.25" hidden="1" customHeight="1" spans="1:16">
      <c r="A49" s="48">
        <v>42</v>
      </c>
      <c r="B49" s="49">
        <f>siswa!C46</f>
        <v>0</v>
      </c>
      <c r="C49" s="50">
        <f>siswa!D46</f>
        <v>0</v>
      </c>
      <c r="D49" s="50">
        <f>siswa!E46</f>
        <v>0</v>
      </c>
      <c r="E49" s="51" t="str">
        <f>'KI3'!FL50</f>
        <v/>
      </c>
      <c r="F49" s="51" t="str">
        <f>'KI3'!FM50</f>
        <v/>
      </c>
      <c r="G49" s="52" t="str">
        <f>IF(E49="","",'KI3'!QG50)</f>
        <v/>
      </c>
      <c r="H49" s="51" t="str">
        <f>'KI4'!GC50</f>
        <v/>
      </c>
      <c r="I49" s="72" t="str">
        <f>'KI4'!GD50</f>
        <v/>
      </c>
      <c r="J49" s="73" t="str">
        <f>IF(H49="","",'KI4'!NR50)</f>
        <v/>
      </c>
      <c r="K49" s="69"/>
      <c r="L49" s="64"/>
      <c r="M49" s="75" t="e">
        <f>#REF!</f>
        <v>#REF!</v>
      </c>
      <c r="N49" s="75" t="e">
        <f>#REF!</f>
        <v>#REF!</v>
      </c>
      <c r="O49" s="75" t="e">
        <f>#REF!</f>
        <v>#REF!</v>
      </c>
      <c r="P49" s="75" t="e">
        <f>#REF!</f>
        <v>#REF!</v>
      </c>
    </row>
    <row r="50" ht="44.25" hidden="1" customHeight="1" spans="1:16">
      <c r="A50" s="48">
        <v>43</v>
      </c>
      <c r="B50" s="49">
        <f>siswa!C47</f>
        <v>0</v>
      </c>
      <c r="C50" s="50">
        <f>siswa!D47</f>
        <v>0</v>
      </c>
      <c r="D50" s="50">
        <f>siswa!E47</f>
        <v>0</v>
      </c>
      <c r="E50" s="51" t="str">
        <f>'KI3'!FL51</f>
        <v/>
      </c>
      <c r="F50" s="51" t="str">
        <f>'KI3'!FM51</f>
        <v/>
      </c>
      <c r="G50" s="52" t="str">
        <f>IF(E50="","",'KI3'!QG51)</f>
        <v/>
      </c>
      <c r="H50" s="51" t="str">
        <f>'KI4'!GC51</f>
        <v/>
      </c>
      <c r="I50" s="72" t="str">
        <f>'KI4'!GD51</f>
        <v/>
      </c>
      <c r="J50" s="73" t="str">
        <f>IF(H50="","",'KI4'!NR51)</f>
        <v/>
      </c>
      <c r="K50" s="69"/>
      <c r="L50" s="64"/>
      <c r="M50" s="75" t="e">
        <f>#REF!</f>
        <v>#REF!</v>
      </c>
      <c r="N50" s="75" t="e">
        <f>#REF!</f>
        <v>#REF!</v>
      </c>
      <c r="O50" s="75" t="e">
        <f>#REF!</f>
        <v>#REF!</v>
      </c>
      <c r="P50" s="75" t="e">
        <f>#REF!</f>
        <v>#REF!</v>
      </c>
    </row>
    <row r="51" ht="44.25" hidden="1" customHeight="1" spans="1:16">
      <c r="A51" s="48">
        <v>44</v>
      </c>
      <c r="B51" s="49">
        <f>siswa!C48</f>
        <v>0</v>
      </c>
      <c r="C51" s="50">
        <f>siswa!D48</f>
        <v>0</v>
      </c>
      <c r="D51" s="50">
        <f>siswa!E48</f>
        <v>0</v>
      </c>
      <c r="E51" s="51" t="str">
        <f>'KI3'!FL52</f>
        <v/>
      </c>
      <c r="F51" s="51" t="str">
        <f>'KI3'!FM52</f>
        <v/>
      </c>
      <c r="G51" s="52" t="str">
        <f>IF(E51="","",'KI3'!QG52)</f>
        <v/>
      </c>
      <c r="H51" s="51" t="str">
        <f>'KI4'!GC52</f>
        <v/>
      </c>
      <c r="I51" s="72" t="str">
        <f>'KI4'!GD52</f>
        <v/>
      </c>
      <c r="J51" s="73" t="str">
        <f>IF(H51="","",'KI4'!NR52)</f>
        <v/>
      </c>
      <c r="K51" s="69"/>
      <c r="L51" s="64"/>
      <c r="M51" s="75" t="e">
        <f>#REF!</f>
        <v>#REF!</v>
      </c>
      <c r="N51" s="75" t="e">
        <f>#REF!</f>
        <v>#REF!</v>
      </c>
      <c r="O51" s="75" t="e">
        <f>#REF!</f>
        <v>#REF!</v>
      </c>
      <c r="P51" s="75" t="e">
        <f>#REF!</f>
        <v>#REF!</v>
      </c>
    </row>
    <row r="52" ht="44.25" hidden="1" customHeight="1" spans="1:16">
      <c r="A52" s="48">
        <v>45</v>
      </c>
      <c r="B52" s="49">
        <f>siswa!C49</f>
        <v>0</v>
      </c>
      <c r="C52" s="50">
        <f>siswa!D49</f>
        <v>0</v>
      </c>
      <c r="D52" s="50">
        <f>siswa!E49</f>
        <v>0</v>
      </c>
      <c r="E52" s="51" t="str">
        <f>'KI3'!FL53</f>
        <v/>
      </c>
      <c r="F52" s="51" t="str">
        <f>'KI3'!FM53</f>
        <v/>
      </c>
      <c r="G52" s="52" t="str">
        <f>IF(E52="","",'KI3'!QG53)</f>
        <v/>
      </c>
      <c r="H52" s="51" t="str">
        <f>'KI4'!GC53</f>
        <v/>
      </c>
      <c r="I52" s="72" t="str">
        <f>'KI4'!GD53</f>
        <v/>
      </c>
      <c r="J52" s="73" t="str">
        <f>IF(H52="","",'KI4'!NR53)</f>
        <v/>
      </c>
      <c r="K52" s="69"/>
      <c r="L52" s="64"/>
      <c r="M52" s="75" t="e">
        <f>#REF!</f>
        <v>#REF!</v>
      </c>
      <c r="N52" s="75" t="e">
        <f>#REF!</f>
        <v>#REF!</v>
      </c>
      <c r="O52" s="75" t="e">
        <f>#REF!</f>
        <v>#REF!</v>
      </c>
      <c r="P52" s="75" t="e">
        <f>#REF!</f>
        <v>#REF!</v>
      </c>
    </row>
    <row r="53" ht="44.25" hidden="1" customHeight="1" spans="1:16">
      <c r="A53" s="48">
        <v>46</v>
      </c>
      <c r="B53" s="49">
        <f>siswa!C50</f>
        <v>0</v>
      </c>
      <c r="C53" s="50">
        <f>siswa!D50</f>
        <v>0</v>
      </c>
      <c r="D53" s="50">
        <f>siswa!E50</f>
        <v>0</v>
      </c>
      <c r="E53" s="51" t="str">
        <f>'KI3'!FL54</f>
        <v/>
      </c>
      <c r="F53" s="51" t="str">
        <f>'KI3'!FM54</f>
        <v/>
      </c>
      <c r="G53" s="52" t="str">
        <f>IF(E53="","",'KI3'!QG54)</f>
        <v/>
      </c>
      <c r="H53" s="51" t="str">
        <f>'KI4'!GC54</f>
        <v/>
      </c>
      <c r="I53" s="72" t="str">
        <f>'KI4'!GD54</f>
        <v/>
      </c>
      <c r="J53" s="73" t="str">
        <f>IF(H53="","",'KI4'!NR54)</f>
        <v/>
      </c>
      <c r="K53" s="69"/>
      <c r="L53" s="64"/>
      <c r="M53" s="75" t="e">
        <f>#REF!</f>
        <v>#REF!</v>
      </c>
      <c r="N53" s="75" t="e">
        <f>#REF!</f>
        <v>#REF!</v>
      </c>
      <c r="O53" s="75" t="e">
        <f>#REF!</f>
        <v>#REF!</v>
      </c>
      <c r="P53" s="75" t="e">
        <f>#REF!</f>
        <v>#REF!</v>
      </c>
    </row>
    <row r="54" ht="44.25" hidden="1" customHeight="1" spans="1:16">
      <c r="A54" s="48">
        <v>47</v>
      </c>
      <c r="B54" s="49">
        <f>siswa!C51</f>
        <v>0</v>
      </c>
      <c r="C54" s="50">
        <f>siswa!D51</f>
        <v>0</v>
      </c>
      <c r="D54" s="50">
        <f>siswa!E51</f>
        <v>0</v>
      </c>
      <c r="E54" s="51" t="str">
        <f>'KI3'!FL55</f>
        <v/>
      </c>
      <c r="F54" s="51" t="str">
        <f>'KI3'!FM55</f>
        <v/>
      </c>
      <c r="G54" s="52" t="str">
        <f>IF(E54="","",'KI3'!QG55)</f>
        <v/>
      </c>
      <c r="H54" s="51" t="str">
        <f>'KI4'!GC55</f>
        <v/>
      </c>
      <c r="I54" s="72" t="str">
        <f>'KI4'!GD55</f>
        <v/>
      </c>
      <c r="J54" s="73" t="str">
        <f>IF(H54="","",'KI4'!NR55)</f>
        <v/>
      </c>
      <c r="K54" s="69"/>
      <c r="L54" s="64"/>
      <c r="M54" s="75" t="e">
        <f>#REF!</f>
        <v>#REF!</v>
      </c>
      <c r="N54" s="75" t="e">
        <f>#REF!</f>
        <v>#REF!</v>
      </c>
      <c r="O54" s="75" t="e">
        <f>#REF!</f>
        <v>#REF!</v>
      </c>
      <c r="P54" s="75" t="e">
        <f>#REF!</f>
        <v>#REF!</v>
      </c>
    </row>
    <row r="55" ht="44.25" hidden="1" customHeight="1" spans="1:16">
      <c r="A55" s="48">
        <v>48</v>
      </c>
      <c r="B55" s="49">
        <f>siswa!C52</f>
        <v>0</v>
      </c>
      <c r="C55" s="50">
        <f>siswa!D52</f>
        <v>0</v>
      </c>
      <c r="D55" s="50">
        <f>siswa!E52</f>
        <v>0</v>
      </c>
      <c r="E55" s="51" t="str">
        <f>'KI3'!FL56</f>
        <v/>
      </c>
      <c r="F55" s="51" t="str">
        <f>'KI3'!FM56</f>
        <v/>
      </c>
      <c r="G55" s="52" t="str">
        <f>IF(E55="","",'KI3'!QG56)</f>
        <v/>
      </c>
      <c r="H55" s="51" t="str">
        <f>'KI4'!GC56</f>
        <v/>
      </c>
      <c r="I55" s="72" t="str">
        <f>'KI4'!GD56</f>
        <v/>
      </c>
      <c r="J55" s="73" t="str">
        <f>IF(H55="","",'KI4'!NR56)</f>
        <v/>
      </c>
      <c r="K55" s="69"/>
      <c r="L55" s="64"/>
      <c r="M55" s="75" t="e">
        <f>#REF!</f>
        <v>#REF!</v>
      </c>
      <c r="N55" s="75" t="e">
        <f>#REF!</f>
        <v>#REF!</v>
      </c>
      <c r="O55" s="75" t="e">
        <f>#REF!</f>
        <v>#REF!</v>
      </c>
      <c r="P55" s="75" t="e">
        <f>#REF!</f>
        <v>#REF!</v>
      </c>
    </row>
    <row r="56" ht="44.25" hidden="1" customHeight="1" spans="1:16">
      <c r="A56" s="48">
        <v>49</v>
      </c>
      <c r="B56" s="49">
        <f>siswa!C53</f>
        <v>0</v>
      </c>
      <c r="C56" s="50">
        <f>siswa!D53</f>
        <v>0</v>
      </c>
      <c r="D56" s="50">
        <f>siswa!E53</f>
        <v>0</v>
      </c>
      <c r="E56" s="51" t="str">
        <f>'KI3'!FL57</f>
        <v/>
      </c>
      <c r="F56" s="51" t="str">
        <f>'KI3'!FM57</f>
        <v/>
      </c>
      <c r="G56" s="52" t="str">
        <f>IF(E56="","",'KI3'!QG57)</f>
        <v/>
      </c>
      <c r="H56" s="51" t="str">
        <f>'KI4'!GC57</f>
        <v/>
      </c>
      <c r="I56" s="72" t="str">
        <f>'KI4'!GD57</f>
        <v/>
      </c>
      <c r="J56" s="73" t="str">
        <f>IF(H56="","",'KI4'!NR57)</f>
        <v/>
      </c>
      <c r="K56" s="69"/>
      <c r="L56" s="64"/>
      <c r="M56" s="75" t="e">
        <f>#REF!</f>
        <v>#REF!</v>
      </c>
      <c r="N56" s="75" t="e">
        <f>#REF!</f>
        <v>#REF!</v>
      </c>
      <c r="O56" s="75" t="e">
        <f>#REF!</f>
        <v>#REF!</v>
      </c>
      <c r="P56" s="75" t="e">
        <f>#REF!</f>
        <v>#REF!</v>
      </c>
    </row>
    <row r="57" ht="44.25" hidden="1" customHeight="1" spans="1:16">
      <c r="A57" s="48">
        <v>50</v>
      </c>
      <c r="B57" s="49">
        <f>siswa!C54</f>
        <v>0</v>
      </c>
      <c r="C57" s="50">
        <f>siswa!D54</f>
        <v>0</v>
      </c>
      <c r="D57" s="50">
        <f>siswa!E54</f>
        <v>0</v>
      </c>
      <c r="E57" s="51" t="str">
        <f>'KI3'!FL58</f>
        <v/>
      </c>
      <c r="F57" s="51" t="str">
        <f>'KI3'!FM58</f>
        <v/>
      </c>
      <c r="G57" s="52" t="str">
        <f>IF(E57="","",'KI3'!QG58)</f>
        <v/>
      </c>
      <c r="H57" s="51" t="str">
        <f>'KI4'!GC58</f>
        <v/>
      </c>
      <c r="I57" s="72" t="str">
        <f>'KI4'!GD58</f>
        <v/>
      </c>
      <c r="J57" s="73" t="str">
        <f>IF(H57="","",'KI4'!NR58)</f>
        <v/>
      </c>
      <c r="K57" s="69"/>
      <c r="L57" s="64"/>
      <c r="M57" s="75" t="e">
        <f>#REF!</f>
        <v>#REF!</v>
      </c>
      <c r="N57" s="75" t="e">
        <f>#REF!</f>
        <v>#REF!</v>
      </c>
      <c r="O57" s="75" t="e">
        <f>#REF!</f>
        <v>#REF!</v>
      </c>
      <c r="P57" s="75" t="e">
        <f>#REF!</f>
        <v>#REF!</v>
      </c>
    </row>
    <row r="58" ht="24" customHeight="1" spans="1:16">
      <c r="A58" s="53"/>
      <c r="B58" s="54" t="s">
        <v>238</v>
      </c>
      <c r="C58" s="55"/>
      <c r="D58" s="56"/>
      <c r="E58" s="51">
        <f>'KI3'!FL59</f>
        <v>0</v>
      </c>
      <c r="F58" s="57"/>
      <c r="G58" s="57"/>
      <c r="H58" s="58">
        <f>IFERROR(AVERAGE(H8:H57),"")</f>
        <v>89.2</v>
      </c>
      <c r="I58" s="57"/>
      <c r="J58" s="57"/>
      <c r="K58" s="69"/>
      <c r="L58" s="64"/>
      <c r="M58" s="78"/>
      <c r="N58" s="78"/>
      <c r="O58" s="78"/>
      <c r="P58" s="78"/>
    </row>
    <row r="59" ht="24" customHeight="1" spans="1:13">
      <c r="A59" s="53"/>
      <c r="B59" s="54" t="s">
        <v>239</v>
      </c>
      <c r="C59" s="55"/>
      <c r="D59" s="56"/>
      <c r="E59" s="51">
        <f>'KI3'!FL60</f>
        <v>0</v>
      </c>
      <c r="F59" s="57"/>
      <c r="G59" s="57"/>
      <c r="H59" s="59">
        <f>IFERROR(COUNTIF(H8:H57,"&gt;="&amp;'KI4'!$GD$3)/COUNTA(siswa!$C$5:$C$54),"")</f>
        <v>0.535714285714286</v>
      </c>
      <c r="I59" s="57"/>
      <c r="J59" s="57"/>
      <c r="K59" s="69"/>
      <c r="L59" s="64"/>
      <c r="M59" s="60" t="s">
        <v>220</v>
      </c>
    </row>
    <row r="60" ht="24" customHeight="1" spans="3:13">
      <c r="C60" s="60"/>
      <c r="K60" s="69"/>
      <c r="L60" s="64"/>
      <c r="M60" s="60" t="s">
        <v>223</v>
      </c>
    </row>
    <row r="61" ht="24" customHeight="1" spans="3:16">
      <c r="C61" s="60"/>
      <c r="H61" s="16" t="s">
        <v>240</v>
      </c>
      <c r="K61" s="69"/>
      <c r="L61" s="64"/>
      <c r="M61" s="79"/>
      <c r="N61" s="80"/>
      <c r="O61" s="80"/>
      <c r="P61" s="80"/>
    </row>
    <row r="62" ht="24" customHeight="1" spans="3:16">
      <c r="C62" s="60"/>
      <c r="K62" s="69"/>
      <c r="L62" s="64"/>
      <c r="M62" s="79"/>
      <c r="N62" s="80"/>
      <c r="O62" s="80"/>
      <c r="P62" s="80"/>
    </row>
    <row r="63" ht="24" customHeight="1" spans="3:16">
      <c r="C63" s="60"/>
      <c r="K63" s="69"/>
      <c r="L63" s="64"/>
      <c r="M63" s="79"/>
      <c r="N63" s="80"/>
      <c r="O63" s="80"/>
      <c r="P63" s="80"/>
    </row>
    <row r="64" ht="24" customHeight="1" spans="3:16">
      <c r="C64" s="60"/>
      <c r="H64" s="61" t="s">
        <v>43</v>
      </c>
      <c r="K64" s="69"/>
      <c r="L64" s="64"/>
      <c r="M64" s="81" t="str">
        <f>G3</f>
        <v>VERI USDI, S.E</v>
      </c>
      <c r="N64" s="80"/>
      <c r="O64" s="80"/>
      <c r="P64" s="80"/>
    </row>
    <row r="65" ht="24" customHeight="1" spans="3:16">
      <c r="C65" s="60"/>
      <c r="K65" s="69"/>
      <c r="L65" s="64"/>
      <c r="M65" s="79" t="e">
        <f>#REF!</f>
        <v>#REF!</v>
      </c>
      <c r="N65" s="80"/>
      <c r="O65" s="80"/>
      <c r="P65" s="80"/>
    </row>
    <row r="66" ht="24" customHeight="1" spans="1:16">
      <c r="A66" s="82"/>
      <c r="B66" s="82"/>
      <c r="C66" s="82"/>
      <c r="D66" s="82"/>
      <c r="E66" s="83"/>
      <c r="F66" s="82"/>
      <c r="G66" s="84"/>
      <c r="H66" s="83"/>
      <c r="I66" s="82"/>
      <c r="J66" s="84"/>
      <c r="K66" s="69"/>
      <c r="L66" s="64"/>
      <c r="M66" s="82"/>
      <c r="N66" s="82"/>
      <c r="O66" s="82"/>
      <c r="P66" s="82"/>
    </row>
  </sheetData>
  <sheetProtection password="F8E5" sheet="1" formatCells="0" formatColumns="0" formatRows="0" objects="1"/>
  <mergeCells count="11">
    <mergeCell ref="A1:J1"/>
    <mergeCell ref="E5:G5"/>
    <mergeCell ref="H5:J5"/>
    <mergeCell ref="B58:D58"/>
    <mergeCell ref="B59:D59"/>
    <mergeCell ref="A5:A7"/>
    <mergeCell ref="B5:B7"/>
    <mergeCell ref="C5:C7"/>
    <mergeCell ref="D5:D7"/>
    <mergeCell ref="K1:K5"/>
    <mergeCell ref="A2:D4"/>
  </mergeCells>
  <conditionalFormatting sqref="H8:H57">
    <cfRule type="cellIs" dxfId="6" priority="414" operator="equal">
      <formula>0</formula>
    </cfRule>
    <cfRule type="cellIs" dxfId="1" priority="415" operator="lessThan">
      <formula>#REF!</formula>
    </cfRule>
    <cfRule type="cellIs" dxfId="1" priority="1" operator="lessThan">
      <formula>'KI4'!$GD$3</formula>
    </cfRule>
  </conditionalFormatting>
  <conditionalFormatting sqref="B8:D57">
    <cfRule type="cellIs" dxfId="7" priority="12" operator="equal">
      <formula>0</formula>
    </cfRule>
  </conditionalFormatting>
  <conditionalFormatting sqref="M8:P57;E8:J8;F9:J57;E9:E59">
    <cfRule type="cellIs" dxfId="6" priority="11" operator="equal">
      <formula>0</formula>
    </cfRule>
  </conditionalFormatting>
  <conditionalFormatting sqref="E8:F8;F9:F57;E9:E59">
    <cfRule type="cellIs" dxfId="6" priority="416" operator="equal">
      <formula>0</formula>
    </cfRule>
    <cfRule type="cellIs" dxfId="1" priority="417" operator="lessThan">
      <formula>#REF!</formula>
    </cfRule>
    <cfRule type="cellIs" dxfId="1" priority="2" operator="lessThan">
      <formula>'KI3'!$FN$4</formula>
    </cfRule>
  </conditionalFormatting>
  <dataValidations count="1">
    <dataValidation allowBlank="1" sqref="E8:E59;M8:P57;F8:J57"/>
  </dataValidations>
  <pageMargins left="0.511811023622047" right="0.196850393700787" top="0.748031496062992" bottom="0.393700787401575" header="0.31496062992126" footer="0.196850393700787"/>
  <pageSetup paperSize="9" scale="78" fitToHeight="2" orientation="portrait"/>
  <headerFooter>
    <oddFooter>&amp;R&amp;P</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000066"/>
  </sheetPr>
  <dimension ref="A1:E19"/>
  <sheetViews>
    <sheetView showGridLines="0" showRowColHeaders="0" zoomScale="50" zoomScaleNormal="50" workbookViewId="0">
      <selection activeCell="B15" sqref="B15"/>
    </sheetView>
  </sheetViews>
  <sheetFormatPr defaultColWidth="0" defaultRowHeight="36" outlineLevelCol="4"/>
  <cols>
    <col min="1" max="4" width="25.375" style="1" customWidth="1"/>
    <col min="5" max="5" width="34.875" style="2" customWidth="1"/>
    <col min="6" max="6" width="9" style="1" customWidth="1"/>
    <col min="7" max="13" width="9" style="1" hidden="1" customWidth="1"/>
    <col min="14" max="15" width="0" style="1" hidden="1" customWidth="1"/>
    <col min="16" max="16384" width="9" style="1" hidden="1"/>
  </cols>
  <sheetData>
    <row r="1" ht="15.75" spans="1:5">
      <c r="A1" s="3" t="s">
        <v>241</v>
      </c>
      <c r="B1" s="3"/>
      <c r="C1" s="3"/>
      <c r="D1" s="3"/>
      <c r="E1" s="3"/>
    </row>
    <row r="2" ht="15.75" spans="1:5">
      <c r="A2" s="3"/>
      <c r="B2" s="3"/>
      <c r="C2" s="3"/>
      <c r="D2" s="3"/>
      <c r="E2" s="3"/>
    </row>
    <row r="3" spans="1:5">
      <c r="A3" s="4" t="s">
        <v>242</v>
      </c>
      <c r="B3" s="4"/>
      <c r="C3" s="4"/>
      <c r="D3" s="4"/>
      <c r="E3" s="4"/>
    </row>
    <row r="4" ht="34.5" spans="1:5">
      <c r="A4" s="5" t="s">
        <v>243</v>
      </c>
      <c r="B4" s="5"/>
      <c r="C4" s="5"/>
      <c r="D4" s="5" t="s">
        <v>244</v>
      </c>
      <c r="E4" s="5" t="s">
        <v>120</v>
      </c>
    </row>
    <row r="5" spans="1:5">
      <c r="A5" s="6">
        <v>92</v>
      </c>
      <c r="B5" s="6" t="s">
        <v>45</v>
      </c>
      <c r="C5" s="6">
        <v>100</v>
      </c>
      <c r="D5" s="6" t="s">
        <v>25</v>
      </c>
      <c r="E5" s="7" t="s">
        <v>245</v>
      </c>
    </row>
    <row r="6" spans="1:5">
      <c r="A6" s="6">
        <v>83</v>
      </c>
      <c r="B6" s="6" t="s">
        <v>45</v>
      </c>
      <c r="C6" s="6">
        <v>91</v>
      </c>
      <c r="D6" s="6" t="s">
        <v>133</v>
      </c>
      <c r="E6" s="7" t="s">
        <v>246</v>
      </c>
    </row>
    <row r="7" spans="1:5">
      <c r="A7" s="6">
        <v>73</v>
      </c>
      <c r="B7" s="6" t="s">
        <v>45</v>
      </c>
      <c r="C7" s="6">
        <v>82</v>
      </c>
      <c r="D7" s="6" t="s">
        <v>128</v>
      </c>
      <c r="E7" s="7" t="s">
        <v>247</v>
      </c>
    </row>
    <row r="8" spans="1:5">
      <c r="A8" s="8">
        <v>0</v>
      </c>
      <c r="B8" s="6" t="s">
        <v>45</v>
      </c>
      <c r="C8" s="8">
        <v>72</v>
      </c>
      <c r="D8" s="6" t="s">
        <v>248</v>
      </c>
      <c r="E8" s="7" t="s">
        <v>249</v>
      </c>
    </row>
    <row r="10" spans="1:5">
      <c r="A10" s="4" t="s">
        <v>250</v>
      </c>
      <c r="B10" s="4"/>
      <c r="C10" s="4"/>
      <c r="D10" s="4"/>
      <c r="E10" s="4"/>
    </row>
    <row r="11" ht="34.5" spans="1:5">
      <c r="A11" s="5" t="s">
        <v>243</v>
      </c>
      <c r="B11" s="5"/>
      <c r="C11" s="5"/>
      <c r="D11" s="5" t="s">
        <v>244</v>
      </c>
      <c r="E11" s="5" t="s">
        <v>120</v>
      </c>
    </row>
    <row r="12" spans="1:5">
      <c r="A12" s="6">
        <v>92</v>
      </c>
      <c r="B12" s="6" t="s">
        <v>45</v>
      </c>
      <c r="C12" s="6">
        <v>100</v>
      </c>
      <c r="D12" s="6" t="s">
        <v>25</v>
      </c>
      <c r="E12" s="7" t="s">
        <v>251</v>
      </c>
    </row>
    <row r="13" spans="1:5">
      <c r="A13" s="6">
        <v>83</v>
      </c>
      <c r="B13" s="6" t="s">
        <v>45</v>
      </c>
      <c r="C13" s="6">
        <v>91</v>
      </c>
      <c r="D13" s="6" t="s">
        <v>133</v>
      </c>
      <c r="E13" s="7" t="s">
        <v>252</v>
      </c>
    </row>
    <row r="14" spans="1:5">
      <c r="A14" s="6">
        <v>73</v>
      </c>
      <c r="B14" s="6" t="s">
        <v>45</v>
      </c>
      <c r="C14" s="6">
        <v>82</v>
      </c>
      <c r="D14" s="6" t="s">
        <v>128</v>
      </c>
      <c r="E14" s="7" t="s">
        <v>253</v>
      </c>
    </row>
    <row r="15" spans="1:5">
      <c r="A15" s="8">
        <v>0</v>
      </c>
      <c r="B15" s="6" t="s">
        <v>45</v>
      </c>
      <c r="C15" s="8">
        <v>72</v>
      </c>
      <c r="D15" s="6" t="s">
        <v>248</v>
      </c>
      <c r="E15" s="7" t="s">
        <v>254</v>
      </c>
    </row>
    <row r="16" spans="1:5">
      <c r="A16" s="9"/>
      <c r="B16" s="10"/>
      <c r="C16" s="9"/>
      <c r="D16" s="10"/>
      <c r="E16" s="11"/>
    </row>
    <row r="17" spans="1:5">
      <c r="A17" s="12" t="s">
        <v>255</v>
      </c>
      <c r="B17" s="12"/>
      <c r="C17" s="12"/>
      <c r="D17" s="12"/>
      <c r="E17" s="12"/>
    </row>
    <row r="18" spans="1:5">
      <c r="A18" s="13" t="s">
        <v>256</v>
      </c>
      <c r="B18" s="13"/>
      <c r="C18" s="13" t="s">
        <v>257</v>
      </c>
      <c r="D18" s="13"/>
      <c r="E18" s="13"/>
    </row>
    <row r="19" spans="1:5">
      <c r="A19" s="14" t="s">
        <v>258</v>
      </c>
      <c r="B19" s="14"/>
      <c r="C19" s="14" t="s">
        <v>259</v>
      </c>
      <c r="D19" s="14"/>
      <c r="E19" s="14"/>
    </row>
  </sheetData>
  <sheetProtection formatCells="0" formatColumns="0" formatRows="0"/>
  <sortState ref="D5:G105">
    <sortCondition ref="D5"/>
  </sortState>
  <mergeCells count="10">
    <mergeCell ref="A3:E3"/>
    <mergeCell ref="A4:C4"/>
    <mergeCell ref="A10:E10"/>
    <mergeCell ref="A11:C11"/>
    <mergeCell ref="A17:E17"/>
    <mergeCell ref="A18:B18"/>
    <mergeCell ref="C18:E18"/>
    <mergeCell ref="A19:B19"/>
    <mergeCell ref="C19:E19"/>
    <mergeCell ref="A1:E2"/>
  </mergeCells>
  <pageMargins left="0.7" right="0.7" top="0.75" bottom="0.75" header="0.3" footer="0.3"/>
  <pageSetup paperSize="768"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5" master=""/>
  <rangeList sheetStid="30" master=""/>
  <rangeList sheetStid="54" master=""/>
  <rangeList sheetStid="52" master="">
    <arrUserId title="Range1" rangeCreator="" othersAccessPermission="edit"/>
  </rangeList>
  <rangeList sheetStid="19" master=""/>
  <rangeList sheetStid="47" master=""/>
  <rangeList sheetStid="17" master=""/>
  <rangeList sheetStid="50" master=""/>
  <rangeList sheetStid="36" master=""/>
  <rangeList sheetStid="55" master=""/>
  <rangeList sheetStid="44" master=""/>
  <rangeList sheetStid="5"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Macros</vt:lpstr>
      <vt:lpstr>Petunjuk</vt:lpstr>
      <vt:lpstr>Presensi</vt:lpstr>
      <vt:lpstr>RefGuru</vt:lpstr>
      <vt:lpstr>siswa</vt:lpstr>
      <vt:lpstr>RefKI3KI4</vt:lpstr>
      <vt:lpstr>LOGIN</vt:lpstr>
      <vt:lpstr>KI3</vt:lpstr>
      <vt:lpstr>KI4</vt:lpstr>
      <vt:lpstr>RekapTengahSemester</vt:lpstr>
      <vt:lpstr>RekapAkhirSemester</vt:lpstr>
      <vt:lpstr>KONVERSI</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Aliansyah Akbar S.Si</dc:creator>
  <cp:lastModifiedBy>User</cp:lastModifiedBy>
  <dcterms:created xsi:type="dcterms:W3CDTF">2013-11-12T07:56:00Z</dcterms:created>
  <cp:lastPrinted>2015-12-23T04:14:00Z</cp:lastPrinted>
  <dcterms:modified xsi:type="dcterms:W3CDTF">2022-04-06T06:04:13Z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DB7B558DCC79426A98343F71E5A1E024</vt:lpwstr>
  </property>
  <property fmtid="{D5CDD505-2E9C-101B-9397-08002B2CF9AE}" pid="3" name="KSOProductBuildVer">
    <vt:lpwstr>1033-11.2.0.11042</vt:lpwstr>
  </property>
</Properties>
</file>